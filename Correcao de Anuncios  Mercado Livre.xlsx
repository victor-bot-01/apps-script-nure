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📖 Como Usar" sheetId="1" r:id="rId5"/>
    <sheet state="visible" name="📊 Painel Geral" sheetId="2" r:id="rId6"/>
    <sheet state="visible" name="🧴 Perfumes" sheetId="3" r:id="rId7"/>
    <sheet state="visible" name="💧 Óleos Essenciais" sheetId="4" r:id="rId8"/>
    <sheet state="visible" name="📿 Colares" sheetId="5" r:id="rId9"/>
    <sheet state="visible" name="🔶 Pingentes" sheetId="6" r:id="rId10"/>
    <sheet state="visible" name="💍 Joias e Acessórios" sheetId="7" r:id="rId11"/>
    <sheet state="visible" name="🌬️ Difusores e Aromatizadores" sheetId="8" r:id="rId12"/>
    <sheet state="visible" name="🧖 Cuidados Pessoais" sheetId="9" r:id="rId13"/>
    <sheet state="visible" name="🗑️ Descontinuar" sheetId="10" r:id="rId14"/>
    <sheet state="visible" name="⚠️ Nomes a Confirmar" sheetId="11" r:id="rId15"/>
    <sheet state="visible" name="🔁 Possíveis Duplicados" sheetId="12" r:id="rId16"/>
    <sheet state="visible" name="🏷️ Categorias Cadastradas" sheetId="13" r:id="rId17"/>
  </sheets>
  <definedNames>
    <definedName hidden="1" localSheetId="2" name="_xlnm._FilterDatabase">'🧴 Perfumes'!$A$1:$K$3139</definedName>
    <definedName hidden="1" localSheetId="3" name="_xlnm._FilterDatabase">'💧 Óleos Essenciais'!$A$1:$K$1533</definedName>
    <definedName hidden="1" localSheetId="4" name="_xlnm._FilterDatabase">'📿 Colares'!$A$1:$K$425</definedName>
    <definedName hidden="1" localSheetId="5" name="_xlnm._FilterDatabase">'🔶 Pingentes'!$A$1:$K$501</definedName>
    <definedName hidden="1" localSheetId="6" name="_xlnm._FilterDatabase">'💍 Joias e Acessórios'!$A$1:$K$36</definedName>
    <definedName hidden="1" localSheetId="7" name="_xlnm._FilterDatabase">'🌬️ Difusores e Aromatizadores'!$A$1:$K$45</definedName>
    <definedName hidden="1" localSheetId="8" name="_xlnm._FilterDatabase">'🧖 Cuidados Pessoais'!$A$1:$K$56</definedName>
    <definedName hidden="1" localSheetId="9" name="_xlnm._FilterDatabase">'🗑️ Descontinuar'!$A$1:$I$13</definedName>
    <definedName hidden="1" localSheetId="10" name="_xlnm._FilterDatabase">'⚠️ Nomes a Confirmar'!$A$1:$F$3</definedName>
    <definedName hidden="1" localSheetId="11" name="_xlnm._FilterDatabase">'🔁 Possíveis Duplicados'!$A$1:$G$1245</definedName>
    <definedName hidden="1" localSheetId="12" name="_xlnm._FilterDatabase">'🏷️ Categorias Cadastradas'!$A$1:$F$24</definedName>
  </definedNames>
  <calcPr/>
</workbook>
</file>

<file path=xl/sharedStrings.xml><?xml version="1.0" encoding="utf-8"?>
<sst xmlns="http://schemas.openxmlformats.org/spreadsheetml/2006/main" count="46617" uniqueCount="11774">
  <si>
    <t>Como usar esta planilha</t>
  </si>
  <si>
    <t>Status</t>
  </si>
  <si>
    <t>Gravidade</t>
  </si>
  <si>
    <t>Código do Anúncio</t>
  </si>
  <si>
    <t>Link</t>
  </si>
  <si>
    <t>Título Atual</t>
  </si>
  <si>
    <t>Situação no ML</t>
  </si>
  <si>
    <t>Problema(s) Encontrado(s)</t>
  </si>
  <si>
    <t>Detalhes / Sugestão de Correção</t>
  </si>
  <si>
    <t>Responsável</t>
  </si>
  <si>
    <t>Data</t>
  </si>
  <si>
    <t>Observações</t>
  </si>
  <si>
    <t>Não verificado</t>
  </si>
  <si>
    <t>O que é</t>
  </si>
  <si>
    <t>Crítico</t>
  </si>
  <si>
    <t>MLB1857908107</t>
  </si>
  <si>
    <t>Checklist de correção dos anúncios do Mercado Livre da Essência do Brasil e Ponte Vecchio Joias, baseado em auditoria automática de 6.549 anúncios. Esta planilha é só um checklist de acompanhamento - a correção de verdade é feita direto no painel do Mercado Livre.</t>
  </si>
  <si>
    <t>MLB1786382784</t>
  </si>
  <si>
    <t>Abas de categoria (Perfumes, Óleos Essenciais, Colares, Pingentes, Joias e Acessórios, Difusores e Aromatizadores, Cuidados Pessoais)</t>
  </si>
  <si>
    <t>Cada linha é um anúncio com pelo menos um problema encontrado. "Cada um pega o que der": qualquer pessoa da equipe pode abrir a aba, escolher uma linha, clicar no link para abrir o anúncio no Mercado Livre, corrigir lá, e depois atualizar o Status aqui.</t>
  </si>
  <si>
    <t>Coluna Status</t>
  </si>
  <si>
    <t>"Não verificado" (ainda não olhado) → "Em andamento" (alguém já está corrigindo) → "Corrigido" (já ajustado no Mercado Livre) → "Não se aplica" (revisado e não precisa mexer). As cores mudam sozinhas.</t>
  </si>
  <si>
    <t>Coluna Gravidade</t>
  </si>
  <si>
    <t>🔴 Crítico = risco de bloqueio/penalização da conta ou de venda errada. 🟠 Alto = pode levar o cliente a comprar errado. 🟡 Médio = atributo técnico incompleto, sem risco imediato. 🔵 Baixo = padronização/cosmético.</t>
  </si>
  <si>
    <t>Colunas Responsável / Data / Observações</t>
  </si>
  <si>
    <t>Preencha com seu nome, a data que corrigiu, e qualquer observação relevante (ex: "já estava certo, falso positivo").</t>
  </si>
  <si>
    <t>Perfume Almíscar Selvagem 100ml - Masculino</t>
  </si>
  <si>
    <t>🗑️ Descontinuar</t>
  </si>
  <si>
    <t>Óleo Essencial De Lemongrass 10ml - Puro E Natural - Oferta</t>
  </si>
  <si>
    <t>Ativo</t>
  </si>
  <si>
    <t>Documento de Notificação/Comunicação prévia na Anvisa não preenchido; Óleo essencial 100% puro marcado como adequado para massagem (risco ao cliente)</t>
  </si>
  <si>
    <t>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</si>
  <si>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Descrição repetida em outros anúncios com título diferente (verificar se é boilerplate ou erro); Documento de Notificação/Comunicação prévia na Anvisa não preenchido; Possível menção a marca concorrente no título/descrição</t>
  </si>
  <si>
    <t>12 anúncios de categorias fora do negócio (roupas/acessórios) que devem ser excluídos do Mercado Livre. Marque "Sim" depois de excluir.</t>
  </si>
  <si>
    <t>Possível menção a marca concorrente no título/descrição: Possível menção a marca concorrente "chanel"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</si>
  <si>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⚠️ Nomes a Confirmar</t>
  </si>
  <si>
    <t>MLB1857949829</t>
  </si>
  <si>
    <t>MLB1926329694</t>
  </si>
  <si>
    <t>Nomes/marcas suspeitos encontrados na varredura automática. Confirme se são produtos/nomes próprios ("Sim") ou se precisam ser corrigidos ("Não").</t>
  </si>
  <si>
    <t>Kit 6 Óleos Essenciais 10ml - Puro E Natural</t>
  </si>
  <si>
    <t>🔁 Possíveis Duplicados</t>
  </si>
  <si>
    <t>Perfume Almíscar Selvagem 100ml Masculino + Mni Perfume 10ml</t>
  </si>
  <si>
    <t>1.244 anúncios com título repetido - para revisão manual, sem gravidade pré-definida.</t>
  </si>
  <si>
    <t>MLB1872203615</t>
  </si>
  <si>
    <t>🏷️ Categorias Cadastradas</t>
  </si>
  <si>
    <t>Óleo Essencial Erva Cidreira 10ml - Puro E Natural  - Oferta</t>
  </si>
  <si>
    <t>MLB2199406677</t>
  </si>
  <si>
    <t>Panorama de todas as categorias usadas no Mercado Livre, com contagem de ativos/inativos e a marca própria esperada para cada uma.</t>
  </si>
  <si>
    <t>MLB1874306660</t>
  </si>
  <si>
    <t>Perfume Almíscar Selvagem 100ml + Perfume 30ml - Ed Especial</t>
  </si>
  <si>
    <t>📊 Painel Geral</t>
  </si>
  <si>
    <t>Óleo Essencial Ylang Ylang 10 Ml - Puro E Natural</t>
  </si>
  <si>
    <t>Documento de Notificação/Comunicação prévia na Anvisa não preenchido; Possível menção a marca concorrente no título/descrição</t>
  </si>
  <si>
    <t>Possível menção a marca concorrente no título/descrição: Possível menção a marca concorrente "chanel" | Documento de Notificação/Comunicação prévia na Anvisa não preenchido: Número de Notificação/Comunicação prévia na Anvisa não preenchido</t>
  </si>
  <si>
    <t>Todos os números aqui são fórmulas ligadas às abas de categoria - atualiza sozinho conforme a equipe marca os status.</t>
  </si>
  <si>
    <t>MLB1874312989</t>
  </si>
  <si>
    <t>Sobre os links dos anúncios</t>
  </si>
  <si>
    <t>Óleo Essencial Hortelã Pimenta 10 Ml - Puro E Natural</t>
  </si>
  <si>
    <t>MLB3919357185</t>
  </si>
  <si>
    <t>Os links abrem a busca desse código dentro do seu painel de anúncios no Mercado Livre (https://www.mercadolivre.com.br/anuncios?search={código}), como confirmado pela equipe.</t>
  </si>
  <si>
    <t>Perfume Feminino Essência Do Brasil Dama Da Noite &amp; Baunilha 100ml</t>
  </si>
  <si>
    <t>Automação (Apps Script)</t>
  </si>
  <si>
    <t>MLB1959749529</t>
  </si>
  <si>
    <t>Anúncio sem descrição; Anúncio sem preço definido; Documento de Notificação/Comunicação prévia na Anvisa não preenchido; País de origem diferente de "Brasil"; Título com mais de 60 caracteres</t>
  </si>
  <si>
    <t>Kit 2 Óleos Essenciais 10ml - Lemongrass + Anis Estrelado</t>
  </si>
  <si>
    <t>Título com mais de 60 caracteres: Título com 66 caracteres (limite ML=60) | Anúncio sem descrição: Descrição vazia | Anúncio sem preço definido: Sem preço definido | País de origem diferente de "Brasil": País de origem = "(vazio)", deveria ser "Brasil" | Documento de Notificação/Comunicação prévia na Anvisa não preenchido: Número de Notificação/Comunicação prévia na Anvisa não preenchido</t>
  </si>
  <si>
    <t>Um código opcional de Apps Script foi entregue separadamente (menu personalizado, trava de colunas, carimbo de data automático). Veja as instruções de instalação no arquivo entregue junto.</t>
  </si>
  <si>
    <t>Código universal do produto (GTIN) não preenchido (texto de exemplo do ML ainda lá); Documento de Notificação/Comunicação prévia na Anvisa não preenchido; Óleo essencial 100% puro marcado como adequado para massagem (risco ao cliente)</t>
  </si>
  <si>
    <t>Código universal do produto (GTIN) não preenchido (texto de exemplo do ML ainda lá): Texto de exemplo do template não foi substituído pelo código real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</si>
  <si>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MLB1959749539</t>
  </si>
  <si>
    <t>MLB4220216467</t>
  </si>
  <si>
    <t>Kit 2 Óleos Essenciais - 2 Alecrim 10ml</t>
  </si>
  <si>
    <t>Perfume Essencial Natura Eau De Parfum Masculino 100 Ml</t>
  </si>
  <si>
    <t>Documento de Notificação/Comunicação prévia na Anvisa não preenchido; Gênero cadastrado diverge do gênero indicado no título; Marca cadastrada incorreta/inconsistente; Possível menção a marca concorrente no título/descrição</t>
  </si>
  <si>
    <t>Possível menção a marca concorrente no título/descrição: Possível menção a marca concorrente "natura" | Marca cadastrada incorreta/inconsistente: Marca "Natura" difere da marca própria esperada "Essência do Brasil" | Documento de Notificação/Comunicação prévia na Anvisa não preenchido: Número de Notificação/Comunicação prévia na Anvisa não preenchido | Gênero cadastrado diverge do gênero indicado no título: Título indica um gênero mas campo Gênero está "Feminino" - risco do cliente comprar errado</t>
  </si>
  <si>
    <t>MLB1959755622</t>
  </si>
  <si>
    <t>Kit 2 Óleos Essenciais - 2 Eucalipto (lima Limão) 10ml</t>
  </si>
  <si>
    <t>MLB5560866312</t>
  </si>
  <si>
    <t>Perfume Sinergia 1 - Lavanda, Bergamota, Ylang-ylang 10ml</t>
  </si>
  <si>
    <t>Anúncio sem preço definido; Documento de Notificação/Comunicação prévia na Anvisa não preenchido</t>
  </si>
  <si>
    <t>Anúncio sem preço definido: Sem preço definido | Documento de Notificação/Comunicação prévia na Anvisa não preenchido: Número de Notificação/Comunicação prévia na Anvisa não preenchido</t>
  </si>
  <si>
    <t>MLB1959766656</t>
  </si>
  <si>
    <t>Alto</t>
  </si>
  <si>
    <t>MLB1349521824</t>
  </si>
  <si>
    <t>Kit 2 Óleos Essenciais - 2 Melaleuca 10ml</t>
  </si>
  <si>
    <t>Perfume Feminino Natural Pau Rosa 100ml</t>
  </si>
  <si>
    <t>Inativo</t>
  </si>
  <si>
    <t>Código universal do produto (GTIN) não preenchido (texto de exemplo do ML ainda lá); Descrição repetida em outros anúncios com título diferente (verificar se é boilerplate ou erro); Documento de Notificação/Comunicação prévia na Anvisa não preenchido</t>
  </si>
  <si>
    <t>Descrição repetida em outros anúncios com título diferente (verificar se é boilerplate ou erro): Mesma descrição usada em 27 anúncios com títulos diferentes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</si>
  <si>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MLB1959766667</t>
  </si>
  <si>
    <t>MLB1349521825</t>
  </si>
  <si>
    <t>Kit 2 Óleos Essenciais 10ml - Melaleuca + Citronela</t>
  </si>
  <si>
    <t>Perfume Feminino Natural Flor Angélica 100ml</t>
  </si>
  <si>
    <t>Código universal do produto (GTIN) não preenchido (texto de exemplo do ML ainda lá); Documento de Notificação/Comunicação prévia na Anvisa não preenchido; Marca cadastrada incorreta/inconsistente; País de origem diferente de "Brasil"</t>
  </si>
  <si>
    <t>Marca cadastrada incorreta/inconsistente: Marca "Perfume" difere da marca própria esperada "Essência do Brasil"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</si>
  <si>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MLB1959766813</t>
  </si>
  <si>
    <t>Kit 2 Óleos Essenciais 10ml - Alecrim + Limão Siciliano</t>
  </si>
  <si>
    <t>MLB1349521834</t>
  </si>
  <si>
    <t>Perfume Feminino Natural De Gardênia 100ml</t>
  </si>
  <si>
    <t>Descrição repetida em outros anúncios com título diferente (verificar se é boilerplate ou erro); Documento de Notificação/Comunicação prévia na Anvisa não preenchido</t>
  </si>
  <si>
    <t>Descrição repetida em outros anúncios com título diferente (verificar se é boilerplate ou erro): Mesma descrição usada em 27 anúncios com títulos diferentes | Documento de Notificação/Comunicação prévia na Anvisa não preenchido: Número de Notificação/Comunicação prévia na Anvisa não preenchido</t>
  </si>
  <si>
    <t>MLB1960337097</t>
  </si>
  <si>
    <t>Kit 2 Óleos Essenciais 10ml - Laranja Amarga + Laranja Doce</t>
  </si>
  <si>
    <t>MLB1349521867</t>
  </si>
  <si>
    <t>Perfume Natural De Mirra - Feminino Natural 100ml</t>
  </si>
  <si>
    <t>MLB1960337826</t>
  </si>
  <si>
    <t>Código universal do produto (GTIN) não preenchido (texto de exemplo do ML ainda lá); Descrição repetida em outros anúncios com título diferente (verificar se é boilerplate ou erro); Documento de Notificação/Comunicação prévia na Anvisa não preenchido; Gênero cadastrado diverge do gênero indicado no título</t>
  </si>
  <si>
    <t>Descrição repetida em outros anúncios com título diferente (verificar se é boilerplate ou erro): Mesma descrição usada em 27 anúncios com títulos diferentes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 | Gênero cadastrado diverge do gênero indicado no título: Título indica um gênero mas campo Gênero está "Masculino" - risco do cliente comprar errado</t>
  </si>
  <si>
    <t>Kit 2 Óleos Essenciais 10ml - Cedro Do Himalaia + Melaleuca</t>
  </si>
  <si>
    <t>Documento de Notificação/Comunicação prévia na Anvisa não preenchido; Marca cadastrada incorreta/inconsistente; Óleo essencial 100% puro marcado como adequado para massagem (risco ao cliente)</t>
  </si>
  <si>
    <t>Marca cadastrada incorreta/inconsistente: Marca "Essencia Brasil" difere da marca própria esperada "Essência do Brasil"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</si>
  <si>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MLB1349521870</t>
  </si>
  <si>
    <t>MLB1960340487</t>
  </si>
  <si>
    <t>Perfume Masculino Natural Gengibre 100ml</t>
  </si>
  <si>
    <t>Kit 2 Óleos Essenciais 10ml - Melaleuca + Eucalipto</t>
  </si>
  <si>
    <t>MLB1960340495</t>
  </si>
  <si>
    <t>Kit 2 Óleos Essenciais 10ml - Menta Piperita + Eucalipto</t>
  </si>
  <si>
    <t>MLB1349521882</t>
  </si>
  <si>
    <t>Perfume Masculino Natural Eucalipto 100ml</t>
  </si>
  <si>
    <t>Ano de lançamento preenchido (deveria ficar em branco); Descrição repetida em outros anúncios com título diferente (verificar se é boilerplate ou erro); Documento de Notificação/Comunicação prévia na Anvisa não preenchido</t>
  </si>
  <si>
    <t>MLB1960449555</t>
  </si>
  <si>
    <t>Descrição repetida em outros anúncios com título diferente (verificar se é boilerplate ou erro): Mesma descrição usada em 27 anúncios com títulos diferentes | Ano de lançamento preenchido (deveria ficar em branco): Ano de lançamento preenchido ("1996") - regra do negócio é deixar em branco | Documento de Notificação/Comunicação prévia na Anvisa não preenchido: Número de Notificação/Comunicação prévia na Anvisa não preenchido</t>
  </si>
  <si>
    <t>Óleo Essencial Tangerina 60ml - Puro E Natural</t>
  </si>
  <si>
    <t>MLB1349521887</t>
  </si>
  <si>
    <t>Perfume Feminino Natural Aniz 100ml</t>
  </si>
  <si>
    <t>MLB1960449557</t>
  </si>
  <si>
    <t>Descrição repetida em outros anúncios com título diferente (verificar se é boilerplate ou erro): Mesma descrição usada em 2 anúncios com títulos diferentes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</si>
  <si>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Óleo Essencial Alecrim 100ml - Puro E Natural</t>
  </si>
  <si>
    <t>MLB1349524207</t>
  </si>
  <si>
    <t>Perfume Masculino Natural Cálamo 100ml</t>
  </si>
  <si>
    <t>MLB1960449559</t>
  </si>
  <si>
    <t>Óleo Essencial Cedro Deodara 60ml - Puro E Natural</t>
  </si>
  <si>
    <t>Código universal do produto (GTIN) não preenchido (texto de exemplo do ML ainda lá); Descrição repetida em outros anúncios com título diferente (verificar se é boilerplate ou erro); Documento de Notificação/Comunicação prévia na Anvisa não preenchido; Marca cadastrada incorreta/inconsistente; Óleo essencial 100% puro marcado como adequado para massagem (risco ao cliente)</t>
  </si>
  <si>
    <t>Descrição repetida em outros anúncios com título diferente (verificar se é boilerplate ou erro): Mesma descrição usada em 2 anúncios com títulos diferentes | Marca cadastrada incorreta/inconsistente: Marca "Essencial" difere da marca própria esperada "Essência do Brasil" | Código universal do produto (GTIN) não preenchido (texto de exemplo do ML ainda lá): Texto de exemplo do template não foi substituído pelo código real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</si>
  <si>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MLB1349524242</t>
  </si>
  <si>
    <t>MLB1960455137</t>
  </si>
  <si>
    <t>Perfume Natural De Mirra - Masculino Natural 100ml</t>
  </si>
  <si>
    <t>Óleo Essencial Eucalipto (lima Limão) 60ml - Puro E Natural</t>
  </si>
  <si>
    <t>MLB1349527757</t>
  </si>
  <si>
    <t>MLB1960455144</t>
  </si>
  <si>
    <t>Painel de Correção de Anúncios — Mercado Livre</t>
  </si>
  <si>
    <t>Óleo Essencial Citronela 100ml - Puro E Natural</t>
  </si>
  <si>
    <t>Perfume Feminino Natural Dama Da Noite 100ml</t>
  </si>
  <si>
    <t>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</si>
  <si>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Essência do Brasil · Ponte Vecchio Joias</t>
  </si>
  <si>
    <t>MLB1960455147</t>
  </si>
  <si>
    <t>Total de Anúncios Auditados</t>
  </si>
  <si>
    <t>Óleo Essencial Melaleuca 100ml - Puro E Natural</t>
  </si>
  <si>
    <t>MLB1349527766</t>
  </si>
  <si>
    <t>Perfume Feminino Natural Petitgrain 100ml</t>
  </si>
  <si>
    <t>Concluídos</t>
  </si>
  <si>
    <t>MLB1960455157</t>
  </si>
  <si>
    <t>MLB3259717695</t>
  </si>
  <si>
    <t>Óleo Essencial Tangerina 100ml - Puro E Natural</t>
  </si>
  <si>
    <t>Em Andamento</t>
  </si>
  <si>
    <t>MLB1349527772</t>
  </si>
  <si>
    <t>Perfume Masculino Natural Bergamota 100ml</t>
  </si>
  <si>
    <t>Documento de Notificação/Comunicação prévia na Anvisa não preenchido; Marca cadastrada incorreta/inconsistente; País de origem diferente de "Brasil"</t>
  </si>
  <si>
    <t>Marca cadastrada incorreta/inconsistente: Marca "Perfume"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</si>
  <si>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MLB1960459037</t>
  </si>
  <si>
    <t>Críticos em Aberto</t>
  </si>
  <si>
    <t>Óleo Essencial Lemongrass 60ml - Puro E Natural</t>
  </si>
  <si>
    <t>% Concluído</t>
  </si>
  <si>
    <t>MLB1349527786</t>
  </si>
  <si>
    <t>Colar Prata 925 Larimar Bruto Legítimo - Ponte Vecchio Joias</t>
  </si>
  <si>
    <t>MLB1960459047</t>
  </si>
  <si>
    <t>Perfume Masculino Natural De Manjericão 100ml</t>
  </si>
  <si>
    <t>Anúncio sem preço definido</t>
  </si>
  <si>
    <t>Óleo Essencial Laranja Amarga 60ml - Puro E Natural</t>
  </si>
  <si>
    <t>Anúncio sem preço definido: Sem preço definido</t>
  </si>
  <si>
    <t>MLB1960459055</t>
  </si>
  <si>
    <t>MLB2607133402</t>
  </si>
  <si>
    <t>Óleo Essencial Alecrim 60ml - Puro E Natural</t>
  </si>
  <si>
    <t>Colar Em Prata D Lei 925 Pedra Da Lua + Perfume Jasmine 30ml</t>
  </si>
  <si>
    <t>MLB1349527791</t>
  </si>
  <si>
    <t>Perfume Feminino Natural Cássia 100ml</t>
  </si>
  <si>
    <t>MLB1960459056</t>
  </si>
  <si>
    <t>Marca cadastrada incorreta/inconsistente</t>
  </si>
  <si>
    <t>Marca cadastrada incorreta/inconsistente: Marca "Ponte Vecchio" difere da marca própria esperada "Ponte Vecchio Joias"</t>
  </si>
  <si>
    <t>Óleo Essencial Laranja Amarga 100ml - Puro E Natural</t>
  </si>
  <si>
    <t>MLB1349527801</t>
  </si>
  <si>
    <t>MLB2624168942</t>
  </si>
  <si>
    <t>MLB1960459061</t>
  </si>
  <si>
    <t>Perfume Masculino Natural Imperial Sândalo Plus  100ml</t>
  </si>
  <si>
    <t>Colar Em Prata Banhado Ouro - Veneziano 50cm Trevo Cravejado</t>
  </si>
  <si>
    <t>Óleo Essencial Melaleuca 60ml - Puro E Natural</t>
  </si>
  <si>
    <t>Código universal do produto (GTIN) não preenchido (texto de exemplo do ML ainda lá); Descrição repetida em outros anúncios com título diferente (verificar se é boilerplate ou erro); Documento de Notificação/Comunicação prévia na Anvisa não preenchido; Marca cadastrada incorreta/inconsistente; País de origem diferente de "Brasil"</t>
  </si>
  <si>
    <t>Descrição repetida em outros anúncios com título diferente (verificar se é boilerplate ou erro): Mesma descrição usada em 3 anúncios com títulos diferentes | Marca cadastrada incorreta/inconsistente: Marca "Perfume" difere da marca própria esperada "Essência do Brasil"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</si>
  <si>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MLB1960459062</t>
  </si>
  <si>
    <t>MLB1349793319</t>
  </si>
  <si>
    <t>Óleo Essencial Laranja Doce (pêra) 60ml - Puro E Natural</t>
  </si>
  <si>
    <t>MLB2624174758</t>
  </si>
  <si>
    <t>Descrição repetida em outros anúncios com título diferente (verificar se é boilerplate ou erro); Documento de Notificação/Comunicação prévia na Anvisa não preenchido; Óleo essencial 100% puro marcado como adequado para massagem (risco ao cliente)</t>
  </si>
  <si>
    <t>Perfume Masculino Natural Patchouli Puro 30ml</t>
  </si>
  <si>
    <t>Colar Em Prata 925 Com Banho Em Ouro- Elo Corda 50cm Premium</t>
  </si>
  <si>
    <t>Descrição repetida em outros anúncios com título diferente (verificar se é boilerplate ou erro): Mesma descrição usada em 2 anúncios com títulos diferentes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</si>
  <si>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Descrição promete "frete grátis" (isso é definido pelo Mercado Envios); Documento de Notificação/Comunicação prévia na Anvisa não preenchido</t>
  </si>
  <si>
    <t>Descrição promete "frete grátis" (isso é definido pelo Mercado Envios): Descrição promete "frete grátis" - isso é definido pelo Mercado Envios, não deveria estar hardcoded no texto | Documento de Notificação/Comunicação prévia na Anvisa não preenchido: Número de Notificação/Comunicação prévia na Anvisa não preenchido</t>
  </si>
  <si>
    <t>MLB1960459072</t>
  </si>
  <si>
    <t>Óleo Essencial Limão Siciliano 60ml - Puro E Natural</t>
  </si>
  <si>
    <t>MLB1349793338</t>
  </si>
  <si>
    <t>MLB2624174767</t>
  </si>
  <si>
    <t>Colar Em Prata 925 Elo Veneziano Ponto De Luz Quadrado 7mm</t>
  </si>
  <si>
    <t>Perfume Feminino Natural Laranja Doce 50ml</t>
  </si>
  <si>
    <t>MLB1960459939</t>
  </si>
  <si>
    <t>Óleo Essencial Anis Estrelado 60ml - Puro E Natural</t>
  </si>
  <si>
    <t>MLB1349793345</t>
  </si>
  <si>
    <t>MLB1960459940</t>
  </si>
  <si>
    <t>MLB2624181226</t>
  </si>
  <si>
    <t>Perfume Feminino Natural Lírios Dourados 50ml</t>
  </si>
  <si>
    <t>Óleo Essencial Cedro Da Virgínia 100ml - Puro E Natural</t>
  </si>
  <si>
    <t>Colar Em Prata Banhado Ouro Veneziano 45cm Ponto De Luz 6mm</t>
  </si>
  <si>
    <t>Descrição repetida em outros anúncios com título diferente (verificar se é boilerplate ou erro); Marca cadastrada incorreta/inconsistente</t>
  </si>
  <si>
    <t>Descrição repetida em outros anúncios com título diferente (verificar se é boilerplate ou erro): Mesma descrição usada em 2 anúncios com títulos diferentes | Marca cadastrada incorreta/inconsistente: Marca "Ponte Vecchio" difere da marca própria esperada "Ponte Vecchio Joias"</t>
  </si>
  <si>
    <t>MLB1960459945</t>
  </si>
  <si>
    <t>MLB1349793349</t>
  </si>
  <si>
    <t>Óleo Essencial Laranja Doce (pêra) 100ml - Puro E Natural</t>
  </si>
  <si>
    <t>Perfume Masculino Natural Imperial Sândalo Plus  30ml</t>
  </si>
  <si>
    <t>Descrição repetida em outros anúncios com título diferente (verificar se é boilerplate ou erro): Mesma descrição usada em 3 anúncios com títulos diferentes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</si>
  <si>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MLB1960459949</t>
  </si>
  <si>
    <t>MLB2624181239</t>
  </si>
  <si>
    <t>Óleo Essencial Cedro Da Virgínia 60ml - Puro E Natural</t>
  </si>
  <si>
    <t>Colar Banhado Em Ouro Elo Veneziano 50cm Ponto De Luz 5mm</t>
  </si>
  <si>
    <t>MLB1349793357</t>
  </si>
  <si>
    <t>Perfume Masculino Natural Manjerona 30ml</t>
  </si>
  <si>
    <t>MLB1963596892</t>
  </si>
  <si>
    <t>Óleo Essencial De Ho Wood 10ml - Puro E Natural - Oferta</t>
  </si>
  <si>
    <t>Documento de Notificação/Comunicação prévia na Anvisa não preenchido; Possível menção a marca concorrente no título/descrição; Óleo essencial 100% puro marcado como adequado para massagem (risco ao cliente)</t>
  </si>
  <si>
    <t>Possível menção a marca concorrente no título/descrição: Possível menção a marca concorrente "chanel"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</si>
  <si>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MLB2624181240</t>
  </si>
  <si>
    <t>Colar Em Prata 925 Elo Veneziano Ponto De Luz Coração 5mm</t>
  </si>
  <si>
    <t>MLB1349793388</t>
  </si>
  <si>
    <t>MLB1963719557</t>
  </si>
  <si>
    <t>Óleo Essencial De Tangerina 10ml - Puro E Natural - Oferta</t>
  </si>
  <si>
    <t>Perfume Masculino Natural De Manjerição 30ml</t>
  </si>
  <si>
    <t>MLB1963722676</t>
  </si>
  <si>
    <t>MLB2624187577</t>
  </si>
  <si>
    <t>Óleo Essencial De Cedro Virgínia Essência Do Brasil Para Difusor E Massagem 10 Ml</t>
  </si>
  <si>
    <t>Documento de Notificação/Comunicação prévia na Anvisa não preenchido; Título com mais de 60 caracteres; Óleo essencial 100% puro marcado como adequado para massagem (risco ao cliente)</t>
  </si>
  <si>
    <t>Colar Em Prata Banhado Ouro Veneziano 45cm Ponto De Luz 5mm</t>
  </si>
  <si>
    <t>Título com mais de 60 caracteres: Título com 81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</si>
  <si>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MLB1349793412</t>
  </si>
  <si>
    <t>Perfume Masculino Natural De Manjerição 50ml</t>
  </si>
  <si>
    <t>MLB1965025260</t>
  </si>
  <si>
    <t>Kit Completo Aromaterapia - Top 15 Óleos Essenciais</t>
  </si>
  <si>
    <t>MLB2624187578</t>
  </si>
  <si>
    <t>Colar Em Prata Banhado Ouro Veneziano 50cm Ponto De Luz 6mm</t>
  </si>
  <si>
    <t>MLB1965903025</t>
  </si>
  <si>
    <t>MLB1349793415</t>
  </si>
  <si>
    <t>Blend De Óleos Essenciais Para Relaxar - Roll On 10ml</t>
  </si>
  <si>
    <t>Perfume Lemongrass 30ml</t>
  </si>
  <si>
    <t>MLB2624187580</t>
  </si>
  <si>
    <t>MLB1965911631</t>
  </si>
  <si>
    <t>Colar Banhado Em Ouro Elo Veneziano 50cm Coração Pequeno</t>
  </si>
  <si>
    <t>Blend De Óleos Essenciais Para Acalmar - Roll On 10ml</t>
  </si>
  <si>
    <t>MLB1349796096</t>
  </si>
  <si>
    <t>Progresso por Gravidade</t>
  </si>
  <si>
    <t>Perfume Masculino Natural Imperial Sândalo Plus  50ml</t>
  </si>
  <si>
    <t>MLB1965916036</t>
  </si>
  <si>
    <t>Blend De Óleos Essenciais Para Focar - Roll On 10ml</t>
  </si>
  <si>
    <t>Total</t>
  </si>
  <si>
    <t>Concluído</t>
  </si>
  <si>
    <t>MLB2624187597</t>
  </si>
  <si>
    <t>Pendente</t>
  </si>
  <si>
    <t>Colar Banhado Em Ouro Elo Veneziano 50cm Ponto De Luz 6mm</t>
  </si>
  <si>
    <t>MLB1965918529</t>
  </si>
  <si>
    <t>MLB1349796107</t>
  </si>
  <si>
    <t>Blend De Óleos Essenciais Para Inspirar 30ml</t>
  </si>
  <si>
    <t>Perfume Feminino Natural Notas De Alecrim 30ml</t>
  </si>
  <si>
    <t>MLB1965926937</t>
  </si>
  <si>
    <t>MLB2624193241</t>
  </si>
  <si>
    <t>Blend De Óleos Essenciais Para Focar 30ml</t>
  </si>
  <si>
    <t>Colar Em Prata 925 Elo Veneziano 45cm Ponto De Luz 4mm</t>
  </si>
  <si>
    <t>MLB1349796109</t>
  </si>
  <si>
    <t>Perfume Natural De Mirra - Feminino Natural 50ml</t>
  </si>
  <si>
    <t>MLB1978285359</t>
  </si>
  <si>
    <t>Óleo Essencial Eucalipto 10ml Roll On - Puro E Natural</t>
  </si>
  <si>
    <t>Descrição repetida em outros anúncios com título diferente (verificar se é boilerplate ou erro); Documento de Notificação/Comunicação prévia na Anvisa não preenchido; Gênero cadastrado diverge do gênero indicado no título</t>
  </si>
  <si>
    <t>Descrição repetida em outros anúncios com título diferente (verificar se é boilerplate ou erro): Mesma descrição usada em 27 anúncios com títulos diferentes | Documento de Notificação/Comunicação prévia na Anvisa não preenchido: Número de Notificação/Comunicação prévia na Anvisa não preenchido | Gênero cadastrado diverge do gênero indicado no título: Título indica um gênero mas campo Gênero está "Masculino" - risco do cliente comprar errado</t>
  </si>
  <si>
    <t>MLB2624193242</t>
  </si>
  <si>
    <t>MLB1978291194</t>
  </si>
  <si>
    <t>Óleo Essencial Ho Wood 10ml Roll On - Puro E Natural Oferta</t>
  </si>
  <si>
    <t>Colar Em Prata Banhado Ouro 18k 50cm Nossa Senhora Redonda</t>
  </si>
  <si>
    <t>MLB1349796149</t>
  </si>
  <si>
    <t>Perfume Feminino Natural Flor De Laranjeira 50ml</t>
  </si>
  <si>
    <t>MLB1978295903</t>
  </si>
  <si>
    <t>Óleo Essencial Manjerona 10ml Roll On - Puro E Natural</t>
  </si>
  <si>
    <t>MLB2624198960</t>
  </si>
  <si>
    <t>Colar Em Prata Banhado Ouro Elo Veneziano 45cm Coração</t>
  </si>
  <si>
    <t>MLB1978366324</t>
  </si>
  <si>
    <t>MLB1349796153</t>
  </si>
  <si>
    <t>Kit Top 3 Óleos Essenciais Cítricos 10ml - Puro E Natural</t>
  </si>
  <si>
    <t>Perfume Masculino Natural Madeira Nobre 50ml</t>
  </si>
  <si>
    <t>MLB1981507206</t>
  </si>
  <si>
    <t>Óleo Essencial 10ml - Puro E Natural - Escolha O Aroma</t>
  </si>
  <si>
    <t>MLB2624205111</t>
  </si>
  <si>
    <t>MLB1349796155</t>
  </si>
  <si>
    <t>Campo Marca em branco; Código universal do produto (GTIN) não preenchido (texto de exemplo do ML ainda lá); Descrição menciona horário/prazo fixo de despacho; Descrição promete "frete grátis" (isso é definido pelo Mercado Envios); Documento de Notificação/Comunicação prévia na Anvisa não preenchido; Marca cadastrada incorreta/inconsistente; Óleo essencial 100% puro marcado como adequado para massagem (risco ao cliente)</t>
  </si>
  <si>
    <t>Marca cadastrada incorreta/inconsistente: Marca "Essencia Brasil" difere da marca própria esperada "Essência do Brasil"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Óleo essencial 100% puro marcado como adequado para massagem (risco ao cliente): Óleo essencial 100% puro (sem óleo vegetal/carreador) marcado como adequado para massagens - risco de uso incorreto/queimadura pelo cliente | Descrição promete "frete grátis" (isso é definido pelo Mercado Envios): Descrição promete "frete grátis" - isso é definido pelo Mercado Envios, não deveria estar hardcoded no texto | Descrição menciona horário/prazo fixo de despacho: Descrição menciona horário/prazo de despacho fixo - texto operacional que pode ficar desatualizado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</t>
  </si>
  <si>
    <t>Perfume Masculino Natural Patchouli Imperial Singapura 30ml</t>
  </si>
  <si>
    <t>Colar Em Prata Banhado Ouro 50cm Ponto De Luz Zircônia 4mm</t>
  </si>
  <si>
    <t>MLB1985494448</t>
  </si>
  <si>
    <t>Kit 8 Óleos Essenciais 10ml - Puros - Com Óleos Raros</t>
  </si>
  <si>
    <t>Documento de Notificação/Comunicação prévia na Anvisa não preenchido; Marca cadastrada incorreta/inconsistente; Possível menção a marca concorrente no título/descrição</t>
  </si>
  <si>
    <t>Possível menção a marca concorrente no título/descrição: Possível menção a marca concorrente "chanel" | Marca cadastrada incorreta/inconsistente: Marca "Essencia Brasil" difere da marca própria esperada "Essência do Brasil" | Documento de Notificação/Comunicação prévia na Anvisa não preenchido: Número de Notificação/Comunicação prévia na Anvisa não preenchido</t>
  </si>
  <si>
    <t>MLB1349796159</t>
  </si>
  <si>
    <t>MLB2624205117</t>
  </si>
  <si>
    <t>Perfume Feminino Natural Notas De Alecrim 50ml</t>
  </si>
  <si>
    <t>MLB1992513396</t>
  </si>
  <si>
    <t>Blend De Óleos Essenciais Alegria 10ml - Natural</t>
  </si>
  <si>
    <t>Colar Em Prata Banhado Ouro 18k- 45cm Ponto De Luz Cravejado</t>
  </si>
  <si>
    <t>Descrição repetida em outros anúncios com título diferente (verificar se é boilerplate ou erro): Mesma descrição usada em 5 anúncios com títulos diferentes | Documento de Notificação/Comunicação prévia na Anvisa não preenchido: Número de Notificação/Comunicação prévia na Anvisa não preenchido</t>
  </si>
  <si>
    <t>MLB2025393929</t>
  </si>
  <si>
    <t>MLB1349796168</t>
  </si>
  <si>
    <t>Óleo Essencial Cânfora Branca 10ml - Puro E Natural</t>
  </si>
  <si>
    <t>Perfume Masculino Natural Canfora 50ml</t>
  </si>
  <si>
    <t>MLB2624211550</t>
  </si>
  <si>
    <t>MLB2025395654</t>
  </si>
  <si>
    <t>Colar Em Prata Banhado Ouro Veneziano 50cm Ponto De Luz 5mm</t>
  </si>
  <si>
    <t>Óleo Essencial Noz Moscada 10ml - Puro E Natural</t>
  </si>
  <si>
    <t>MLB1349796193</t>
  </si>
  <si>
    <t>Perfume Natural De Mirra - Feminino Natural 30ml</t>
  </si>
  <si>
    <t>MLB2025412417</t>
  </si>
  <si>
    <t>Código universal do produto (GTIN) não preenchido (texto de exemplo do ML ainda lá); Documento de Notificação/Comunicação prévia na Anvisa não preenchido; Gênero cadastrado diverge do gênero indicado no título</t>
  </si>
  <si>
    <t>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 | Gênero cadastrado diverge do gênero indicado no título: Título indica um gênero mas campo Gênero está "Masculino" - risco do cliente comprar errado</t>
  </si>
  <si>
    <t>Óleo Essencial Basilicão (manjericão) 10ml - Puro E Natural</t>
  </si>
  <si>
    <t>MLB2624211553</t>
  </si>
  <si>
    <t>Colar Em Prata Banhado Ouro Elo Veneziano 50cm Coração</t>
  </si>
  <si>
    <t>MLB1349796205</t>
  </si>
  <si>
    <t>MLB2025432123</t>
  </si>
  <si>
    <t>Perfume Masculino Natural Benjoim 30ml</t>
  </si>
  <si>
    <t>Óleo Essencial Bergamota (itália) 10ml - Puro E Natural</t>
  </si>
  <si>
    <t>Código universal do produto (GTIN) não preenchido (texto de exemplo do ML ainda lá); Descrição promete "frete grátis" (isso é definido pelo Mercado Envios); Documento de Notificação/Comunicação prévia na Anvisa não preenchido</t>
  </si>
  <si>
    <t>Código universal do produto (GTIN) não preenchido (texto de exemplo do ML ainda lá): Texto de exemplo do template não foi substituído pelo código real | Descrição promete "frete grátis" (isso é definido pelo Mercado Envios): Descrição promete "frete grátis" - isso é definido pelo Mercado Envios, não deveria estar hardcoded no texto | Documento de Notificação/Comunicação prévia na Anvisa não preenchido: Número de Notificação/Comunicação prévia na Anvisa não preenchido</t>
  </si>
  <si>
    <t>MLB2026034462</t>
  </si>
  <si>
    <t>MLB2624211560</t>
  </si>
  <si>
    <t>Óleo Essencial Zimbro (junípero) 10ml - Puro E Natural</t>
  </si>
  <si>
    <t>MLB1349796214</t>
  </si>
  <si>
    <t>Perfume Lemongrass 50ml</t>
  </si>
  <si>
    <t>MLB2037768383</t>
  </si>
  <si>
    <t>Kit 4 Óleos Essenciais Lavandin, Limão, Tangerina, Citronela</t>
  </si>
  <si>
    <t>MLB1349796218</t>
  </si>
  <si>
    <t>Perfume Feminino Natural Pau Rosa 30ml</t>
  </si>
  <si>
    <t>MLB2037779752</t>
  </si>
  <si>
    <t>Kit 5 Óleos Essenciais Puros E Naturais</t>
  </si>
  <si>
    <t>MLB2624211579</t>
  </si>
  <si>
    <t>MLB1349796226</t>
  </si>
  <si>
    <t>Colar Em Prata Banhado Ouro Veneziano 50cm Coração Pequeno</t>
  </si>
  <si>
    <t>MLB2172875002</t>
  </si>
  <si>
    <t>Perfume Feminino Natural Lírios Dourados 30ml</t>
  </si>
  <si>
    <t>Óleo Essencial De Sândalo Amyris 10ml Puro E Natural Oferta</t>
  </si>
  <si>
    <t>MLB2624211584</t>
  </si>
  <si>
    <t>MLB2212323620</t>
  </si>
  <si>
    <t>MLB1349796237</t>
  </si>
  <si>
    <t>Óleo Essencial Anis Estrelado 30ml - Puro E Natural</t>
  </si>
  <si>
    <t>Colar Em Prata 925 Elo Veneziano 45cm Ponto De Luz 5mm</t>
  </si>
  <si>
    <t>Perfume Unissex Capim Limão Original  30ml</t>
  </si>
  <si>
    <t>MLB2212359050</t>
  </si>
  <si>
    <t>Óleo Essencial Bergamota (itália) 30ml - Puro E Natural</t>
  </si>
  <si>
    <t>Médio</t>
  </si>
  <si>
    <t>MLB1349796238</t>
  </si>
  <si>
    <t>MLB2624211585</t>
  </si>
  <si>
    <t>MLB2212396614</t>
  </si>
  <si>
    <t>Perfume Masculino Natural Patchouli Puro 50ml</t>
  </si>
  <si>
    <t>Óleo Essencial Cedro Da Virgínia 30ml - Puro E Natural</t>
  </si>
  <si>
    <t>Colar Em Prata Banhado Ouro Veneziano 50cm Cruz Cravejada</t>
  </si>
  <si>
    <t>MLB2212420958</t>
  </si>
  <si>
    <t>MLB1349796240</t>
  </si>
  <si>
    <t>Óleo Essencial Cipreste 60ml - Puro E Natural</t>
  </si>
  <si>
    <t>Perfume Feminino Natural Pau Rosa 50ml</t>
  </si>
  <si>
    <t>MLB2624236355</t>
  </si>
  <si>
    <t>MLB2212421161</t>
  </si>
  <si>
    <t>Colar Em Prata Banhado Ouro 18k- 50cm Nossa Senhora Clássica</t>
  </si>
  <si>
    <t>Óleo Essencial Menta Piperita 60ml - Puro E Natural</t>
  </si>
  <si>
    <t>MLB1349796244</t>
  </si>
  <si>
    <t>Perfume Masculino Natural Grapefruit Splash Cítrico  30ml</t>
  </si>
  <si>
    <t>MLB2212427182</t>
  </si>
  <si>
    <t>Óleo Essencial Copaíba 60ml - Puro E Natural</t>
  </si>
  <si>
    <t>MLB2624236357</t>
  </si>
  <si>
    <t>MLB1349796249</t>
  </si>
  <si>
    <t>Colar Banhado Em Ouro 18k Elo Veneziano 50cm Trevo Cravejado</t>
  </si>
  <si>
    <t>Perfume Feminino Natural Aniz 30ml</t>
  </si>
  <si>
    <t>MLB2212432921</t>
  </si>
  <si>
    <t>Óleo Essencial Menta Arvensis 60ml - Puro E Natural</t>
  </si>
  <si>
    <t>MLB2212433044</t>
  </si>
  <si>
    <t>MLB1349796259</t>
  </si>
  <si>
    <t>Óleo Essencial Tomilho Branco 30ml - Puro E Natural</t>
  </si>
  <si>
    <t>MLB2624242224</t>
  </si>
  <si>
    <t>Perfume Masculino Natural Patchouli Intenso 30ml</t>
  </si>
  <si>
    <t>Colar Banhado Em Ouro- Veneziano 50cm Ponto De Luz Cravejado</t>
  </si>
  <si>
    <t>MLB2212439476</t>
  </si>
  <si>
    <t>Óleo Essencial De Benjoim 60ml - Puro E Natural - Oferta</t>
  </si>
  <si>
    <t>MLB2624242229</t>
  </si>
  <si>
    <t>MLB1349796263</t>
  </si>
  <si>
    <t>Colar Em Prata Banhado Ouro 45cm Ponto De Luz Zircônia 4mm</t>
  </si>
  <si>
    <t>Perfume Feminino Natural Flor De Laranjeira 30ml</t>
  </si>
  <si>
    <t>MLB2212445589</t>
  </si>
  <si>
    <t>Óleo Essencial Ho Wood 30ml - Puro E Natural</t>
  </si>
  <si>
    <t>Baixo</t>
  </si>
  <si>
    <t>MLB2624242245</t>
  </si>
  <si>
    <t>MLB1349796267</t>
  </si>
  <si>
    <t>MLB2212445609</t>
  </si>
  <si>
    <t>Perfume Feminino Natural De Alfazema 30ml</t>
  </si>
  <si>
    <t>Colar Em Prata 925 Elo Veneziano 45cm Nossa Senhora Clássica</t>
  </si>
  <si>
    <t>Óleo Essencial Eucalipto Citriodora</t>
  </si>
  <si>
    <t>MLB2212452046</t>
  </si>
  <si>
    <t>MLB2639715630</t>
  </si>
  <si>
    <t>Óleo Essencial Canela 60ml - Puro E Natural - Oferta</t>
  </si>
  <si>
    <t>MLB1349796268</t>
  </si>
  <si>
    <t>Perfume Masculino Natural Manjerona 50ml</t>
  </si>
  <si>
    <t>Colar Em Prata + Ouro Elo Veneziano 45cm Sodalita</t>
  </si>
  <si>
    <t>MLB2212452047</t>
  </si>
  <si>
    <t>Óleo Essencial Cânfora Branca 60ml - Puro E Natural</t>
  </si>
  <si>
    <t>MLB2639733324</t>
  </si>
  <si>
    <t>MLB1349796269</t>
  </si>
  <si>
    <t>Colar Em Prata + Ouro Elo Veneziano 45cm Amazonita</t>
  </si>
  <si>
    <t>Perfume Feminino Natural Sexy Cravo Flor 50ml</t>
  </si>
  <si>
    <t>MLB2212452218</t>
  </si>
  <si>
    <t>Óleo Essencial Sândalo 30ml - Puro E Natural</t>
  </si>
  <si>
    <t>MLB2639750198</t>
  </si>
  <si>
    <t>MLB2212462675</t>
  </si>
  <si>
    <t>MLB1349796270</t>
  </si>
  <si>
    <t>Colar Em Prata + Ouro Elo Veneziano 45cm Citrino</t>
  </si>
  <si>
    <t>Óleo Essencial Copaíba 30ml - Puro E Natural</t>
  </si>
  <si>
    <t>Perfume Masculino Natural Eucalipto 50ml</t>
  </si>
  <si>
    <t>MLB2212462812</t>
  </si>
  <si>
    <t>MLB2650806149</t>
  </si>
  <si>
    <t>Óleo Essencial Menta Spicata 60ml - Puro E Natural</t>
  </si>
  <si>
    <t>MLB1349796272</t>
  </si>
  <si>
    <t>Colar Em Prata + Ouro 45cm - Cruz Em Hematita Negra Natural</t>
  </si>
  <si>
    <t>Perfume Feminino Natural Cássia 30ml</t>
  </si>
  <si>
    <t>MLB2212462814</t>
  </si>
  <si>
    <t>Óleo Essencial Ho Wood 60ml - Puro E Natural</t>
  </si>
  <si>
    <t>MLB2650825517</t>
  </si>
  <si>
    <t>Colar Em Prata + Ouro 45cm - Cruz Quartzo Rosa Natural 3cm</t>
  </si>
  <si>
    <t>MLB2212474539</t>
  </si>
  <si>
    <t>MLB1349796279</t>
  </si>
  <si>
    <t>Óleo Essencial Hortelã Pimenta 30ml - Puro E Natural</t>
  </si>
  <si>
    <t>Perfume Feminino Natural Flor De Jasmim 50ml</t>
  </si>
  <si>
    <t>Progresso por Categoria</t>
  </si>
  <si>
    <t>MLB2650842240</t>
  </si>
  <si>
    <t>Categoria</t>
  </si>
  <si>
    <t>MLB2222333024</t>
  </si>
  <si>
    <t>Óleo Essencial Cânfora Branca 10ml Roll On - Puro E Natural</t>
  </si>
  <si>
    <t>Colar Em Prata 925 Elo Veneziano Com Hematita Negra Natural</t>
  </si>
  <si>
    <t>🧴 Perfumes</t>
  </si>
  <si>
    <t>MLB2222345022</t>
  </si>
  <si>
    <t>Óleo Essencial Tomilho Branco 10ml Roll On - Puro E Natural</t>
  </si>
  <si>
    <t>MLB1349796298</t>
  </si>
  <si>
    <t>MLB2650842242</t>
  </si>
  <si>
    <t>Perfume Unissex Capim Limão Original  50ml</t>
  </si>
  <si>
    <t>Colar Em Prata 925 Elo Veneziano Com Granada Natural De 2cm</t>
  </si>
  <si>
    <t>MLB2222363552</t>
  </si>
  <si>
    <t>Óleo Essencial Ho Wood 10ml Roll On - Puro E Natural</t>
  </si>
  <si>
    <t>MLB1349796308</t>
  </si>
  <si>
    <t>MLB2650852081</t>
  </si>
  <si>
    <t>Perfume Patchouli Sexy Feminino Natural 30ml</t>
  </si>
  <si>
    <t>MLB2222381872</t>
  </si>
  <si>
    <t>Óleo Essencial Cravo Folha 10ml Roll On - Puro E Natural</t>
  </si>
  <si>
    <t>Colar Em Prata 925 Elo Veneziano Com Cruz Em Quartzo Verde</t>
  </si>
  <si>
    <t>Descrição repetida em outros anúncios com título diferente (verificar se é boilerplate ou erro): Mesma descrição usada em 2 anúncios com títulos diferentes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 | Gênero cadastrado diverge do gênero indicado no título: Título indica um gênero mas campo Gênero está "Masculino" - risco do cliente comprar errado</t>
  </si>
  <si>
    <t>MLB2222387628</t>
  </si>
  <si>
    <t>MLB1349798964</t>
  </si>
  <si>
    <t>Óleo Essencial Bergamota 10ml Roll On - Puro E Natural</t>
  </si>
  <si>
    <t>💧 Óleos Essenciais</t>
  </si>
  <si>
    <t>MLB2650852082</t>
  </si>
  <si>
    <t>Perfume Patchouli Sexy Feminino Natural 50ml</t>
  </si>
  <si>
    <t>Colar Prata 925 Veneziana Esmeralda Bruta - P. Vecchio Joias</t>
  </si>
  <si>
    <t>Documento de Notificação/Comunicação prévia na Anvisa não preenchido; Valor incomum em campo que deveria ser curto/categórico (dado errado colado)</t>
  </si>
  <si>
    <t>Valor incomum em campo que deveria ser curto/categórico (dado errado colado): Valor incomum/muito longo para o campo "LINE" (padrão da coluna é curto/categórico; parece dado errado colado aqui) | Documento de Notificação/Comunicação prévia na Anvisa não preenchido: Número de Notificação/Comunicação prévia na Anvisa não preenchido</t>
  </si>
  <si>
    <t>Descrição repetida em outros anúncios com título diferente (verificar se é boilerplate ou erro)</t>
  </si>
  <si>
    <t>MLB2223618117</t>
  </si>
  <si>
    <t>Descrição repetida em outros anúncios com título diferente (verificar se é boilerplate ou erro): Mesma descrição usada em 2 anúncios com títulos diferentes</t>
  </si>
  <si>
    <t>Kit 3 Óleos Menta Arvensis, Spicata, Piperita Roll On 10ml</t>
  </si>
  <si>
    <t>MLB1349798973</t>
  </si>
  <si>
    <t>Perfume Masculino Natural Tangerina Cítrica  30ml</t>
  </si>
  <si>
    <t>MLB2223628754</t>
  </si>
  <si>
    <t>MLB2680875082</t>
  </si>
  <si>
    <t>Kit 3 Óleos Essenciais Roll On 10ml</t>
  </si>
  <si>
    <t>Colar Prata 925 Banhada Em Ouro 18k Gota Marrom E Brilhantes</t>
  </si>
  <si>
    <t>MLB1349798976</t>
  </si>
  <si>
    <t>📿 Colares</t>
  </si>
  <si>
    <t>MLB2649714229</t>
  </si>
  <si>
    <t>Perfume Feminino Natural Gerânio 50ml</t>
  </si>
  <si>
    <t>Óleo Essencial De Orégano 10ml - Puro E Natural</t>
  </si>
  <si>
    <t>Descrição repetida em outros anúncios com título diferente (verificar se é boilerplate ou erro): Mesma descrição usada em 27 anúncios com títulos diferentes | Marca cadastrada incorreta/inconsistente: Marca "Perfume" difere da marca própria esperada "Essência do Brasil"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</si>
  <si>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MLB2680875083</t>
  </si>
  <si>
    <t>MLB2649746518</t>
  </si>
  <si>
    <t>MLB1349798990</t>
  </si>
  <si>
    <t>Óleo Essencial De Sálvia Sclarea 10ml - Puro E Natural</t>
  </si>
  <si>
    <t>Colar Prata 925 Banhada Em Ouro 18k - Cravejado Cor Rubi</t>
  </si>
  <si>
    <t>Perfume Feminino Natural Cássia 50ml</t>
  </si>
  <si>
    <t>Código universal do produto (GTIN) não preenchido (texto de exemplo do ML ainda lá); Documento de Notificação/Comunicação prévia na Anvisa não preenchido; Marca cadastrada incorreta/inconsistente</t>
  </si>
  <si>
    <t>Marca cadastrada incorreta/inconsistente: Marca "Perfume" difere da marca própria esperada "Essência do Brasil"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</si>
  <si>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🔶 Pingentes</t>
  </si>
  <si>
    <t>MLB2702247664</t>
  </si>
  <si>
    <t>Óleo Essencial De Mandarina 10ml - Puro E Natural - Oferta</t>
  </si>
  <si>
    <t>MLB2680903534</t>
  </si>
  <si>
    <t>MLB1349798994</t>
  </si>
  <si>
    <t>Colar Prata 925 Banhada Em Ouro 18k Nossa Senhora Cravejada</t>
  </si>
  <si>
    <t>Perfume Feminino Natural Lavanda 50ml</t>
  </si>
  <si>
    <t>MLB2751308894</t>
  </si>
  <si>
    <t>Óleo Essencial Pimenta Rosa 100ml - Puro E Natural</t>
  </si>
  <si>
    <t>MLB2680941328</t>
  </si>
  <si>
    <t>MLB2751314675</t>
  </si>
  <si>
    <t>MLB1349799006</t>
  </si>
  <si>
    <t>Colar Prata 925 Banhada Em Ouro 18k - Nossa Senhora</t>
  </si>
  <si>
    <t>Óleo Essencial Tomilho 60ml - Puro E Natural - Oferta</t>
  </si>
  <si>
    <t>💍 Joias e Acessórios</t>
  </si>
  <si>
    <t>Perfume Masculino Natural Menta Adventure 50ml</t>
  </si>
  <si>
    <t>MLB2751314687</t>
  </si>
  <si>
    <t>Óleo Essencial Sândalo 100ml - Puro E Natural - Oferta</t>
  </si>
  <si>
    <t>MLB1349799022</t>
  </si>
  <si>
    <t>MLB2823316416</t>
  </si>
  <si>
    <t>Perfume Feminino Natural Sexy Cravo Flor 30ml</t>
  </si>
  <si>
    <t>Colar Prata 925 Ametista Oval Natural Verdadeira - P Vecchio</t>
  </si>
  <si>
    <t>MLB2751314708</t>
  </si>
  <si>
    <t>Óleo Essencial Cipreste 100ml - Puro E Natural - Oferta</t>
  </si>
  <si>
    <t>🌬️ Difusores e Aromatizadores</t>
  </si>
  <si>
    <t>Descrição repetida em outros anúncios com título diferente (verificar se é boilerplate ou erro): Mesma descrição usada em 5 anúncios com títulos diferentes</t>
  </si>
  <si>
    <t>MLB1349799025</t>
  </si>
  <si>
    <t>MLB2897270037</t>
  </si>
  <si>
    <t>MLB2751333200</t>
  </si>
  <si>
    <t>Perfume Feminino Natural De Baunilha 50ml</t>
  </si>
  <si>
    <t>Colar Ametista Natural E Legítima Em Coração - Ponte Vecchio</t>
  </si>
  <si>
    <t>Óleo Essencial Sândalo 60ml - Puro E Natural - Oferta</t>
  </si>
  <si>
    <t>MLB2751339278</t>
  </si>
  <si>
    <t>🧖 Cuidados Pessoais</t>
  </si>
  <si>
    <t>Óleo Essencial Canela 100ml - Puro E Natural - Oferta</t>
  </si>
  <si>
    <t>MLB1349799027</t>
  </si>
  <si>
    <t>Perfume Feminino Natural Flor De Artemísia 50ml</t>
  </si>
  <si>
    <t>MLB2751339306</t>
  </si>
  <si>
    <t>MLB2897294395</t>
  </si>
  <si>
    <t>Óleo Essencial Ho Wood 100ml - Puro E Natural</t>
  </si>
  <si>
    <t>Colar Ametista Bruta Natural E Legítima - Ponte Vecchio</t>
  </si>
  <si>
    <t>MLB1349799029</t>
  </si>
  <si>
    <t>MLB2751344715</t>
  </si>
  <si>
    <t>Perfume Feminino Natural Laranja Doce 30ml</t>
  </si>
  <si>
    <t>Óleo Essencial Tomilho 100ml - Puro E Natural - Oferta</t>
  </si>
  <si>
    <t>Distribuição por Status</t>
  </si>
  <si>
    <t>MLB3208347883</t>
  </si>
  <si>
    <t>MLB2751375155</t>
  </si>
  <si>
    <t>MLB1349799034</t>
  </si>
  <si>
    <t>Colar Prata 925 Âmber Em Gota Natural Legítimo P. Vecchio</t>
  </si>
  <si>
    <t>Óleo Essencial Capim Limão 100ml - Puro E Natural</t>
  </si>
  <si>
    <t>Perfume Masculino Natural Cravo Da Índia Intenso  50ml</t>
  </si>
  <si>
    <t>MLB2756028393</t>
  </si>
  <si>
    <t>Óleo Essencial Capim Limão 10ml Roll On - Puro E Natural</t>
  </si>
  <si>
    <t>MLB3259709123</t>
  </si>
  <si>
    <t>MLB1476570427</t>
  </si>
  <si>
    <t>Perfume Natural Feminino Afrodite 100ml - Coleção Deuses Gre</t>
  </si>
  <si>
    <t>Colar Prata 925 Granada Polida Oval Legítima P. Vecchio</t>
  </si>
  <si>
    <t>Em andamento</t>
  </si>
  <si>
    <t>MLB2756060419</t>
  </si>
  <si>
    <t>Óleo Essencial Eucalipto Citriodora 10ml Roll On - Puro</t>
  </si>
  <si>
    <t>MLB1476572464</t>
  </si>
  <si>
    <t>Perfume Natural Masculino Vulcano 100ml - Coleção Deuses Rom</t>
  </si>
  <si>
    <t>MLB2756066740</t>
  </si>
  <si>
    <t>MLB3259729095</t>
  </si>
  <si>
    <t>Óleo Essencial Petitgrain 10ml Roll On - Puro E Natural</t>
  </si>
  <si>
    <t>Descrição repetida em outros anúncios com título diferente (verificar se é boilerplate ou erro): Mesma descrição usada em 3 anúncios com títulos diferentes | Documento de Notificação/Comunicação prévia na Anvisa não preenchido: Número de Notificação/Comunicação prévia na Anvisa não preenchido</t>
  </si>
  <si>
    <t>Colar Prata 925 Granada Polida Legítima Peça Exclusiva</t>
  </si>
  <si>
    <t>Corrigido</t>
  </si>
  <si>
    <t>MLB1476576468</t>
  </si>
  <si>
    <t>MLB2897276449</t>
  </si>
  <si>
    <t>Kit 2 Óleos Essenciais 10ml - Menta Piperita + Lavandim</t>
  </si>
  <si>
    <t>Perfume Natural Masculino Poseidon 100ml - Coleção Deuses Gr</t>
  </si>
  <si>
    <t>MLB3299012203</t>
  </si>
  <si>
    <t>MLB2897281915</t>
  </si>
  <si>
    <t>Colar Em Couro Grego E Prata Ametista Em Gota - P. Vecchio</t>
  </si>
  <si>
    <t>Kit 2 Óleos Essen. Melaleuca E Lavandin Roll On 10ml - Puro</t>
  </si>
  <si>
    <t>MLB1488153743</t>
  </si>
  <si>
    <t>Não se aplica</t>
  </si>
  <si>
    <t>Perfume Aloés &amp; Cássia 100ml Masculino + Presente</t>
  </si>
  <si>
    <t>Código universal do produto (GTIN) não preenchido (texto de exemplo do ML ainda lá); Descrição repetida em outros anúncios com título diferente (verificar se é boilerplate ou erro); Documento de Notificação/Comunicação prévia na Anvisa não preenchido; País de origem diferente de "Brasil"</t>
  </si>
  <si>
    <t>Descrição repetida em outros anúncios com título diferente (verificar se é boilerplate ou erro): Mesma descrição usada em 25 anúncios com títulos diferentes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</si>
  <si>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MLB2897281980</t>
  </si>
  <si>
    <t>Kit 2 Óleos Essenciais 10ml - Menta Piperita + Alecrim</t>
  </si>
  <si>
    <t>MLB3299012231</t>
  </si>
  <si>
    <t>MLB1488153876</t>
  </si>
  <si>
    <t>Colar Em Couro Grego E Prata Quartzo Rosa - Ponte Vecchio</t>
  </si>
  <si>
    <t>Perfume Lavanda Suiça &amp; Acácia 100ml Masculino + Presente</t>
  </si>
  <si>
    <t>MLB2897282025</t>
  </si>
  <si>
    <t>Descrição repetida em outros anúncios com título diferente (verificar se é boilerplate ou erro); Documento de Notificação/Comunicação prévia na Anvisa não preenchido; País de origem diferente de "Brasil"</t>
  </si>
  <si>
    <t>Descrição repetida em outros anúncios com título diferente (verificar se é boilerplate ou erro): Mesma descrição usada em 3 anúncios com títulos diferentes</t>
  </si>
  <si>
    <t>Kit 2 Óleos Essenciais Lavandin Grosso Roll On 10ml - Puro</t>
  </si>
  <si>
    <t>Descrição repetida em outros anúncios com título diferente (verificar se é boilerplate ou erro): Mesma descrição usada em 25 anúncios com títulos diferentes | País de origem diferente de "Brasil": País de origem = "(vazio)", deveria ser "Brasil" | Documento de Notificação/Comunicação prévia na Anvisa não preenchido: Número de Notificação/Comunicação prévia na Anvisa não preenchido</t>
  </si>
  <si>
    <t>MLB2897294392</t>
  </si>
  <si>
    <t>MLB1488153971</t>
  </si>
  <si>
    <t>MLB3322887131</t>
  </si>
  <si>
    <t>Kit 2 Óleos Essenciais Laranja Amarga E Lavandin Rollon 10ml</t>
  </si>
  <si>
    <t>Perfume Erva Doce &amp; Petitgrain 100ml Masculino + Presente</t>
  </si>
  <si>
    <t>Colar Prata 925 Jaspe Dálmata Polido - Ponte Vecchio Joias</t>
  </si>
  <si>
    <t>MLB2897294407</t>
  </si>
  <si>
    <t>Kit 2 Óleos Essenciais 10ml - Menta Piperita + Melaleuca</t>
  </si>
  <si>
    <t>MLB1488157409</t>
  </si>
  <si>
    <t>Perfume Baunilha &amp; Flor De Maçã 100ml Masculino + Presente</t>
  </si>
  <si>
    <t>MLB3521179235</t>
  </si>
  <si>
    <t>MLB2897300739</t>
  </si>
  <si>
    <t>Kit 2 Óleos Essenciais 10ml - Melaleuca + Alecrim</t>
  </si>
  <si>
    <t>Colar Prata 925 Com Quartzo Rosa Metalizado Bruto P. Vecchio</t>
  </si>
  <si>
    <t>MLB1488157575</t>
  </si>
  <si>
    <t>Valor incomum em campo que deveria ser curto/categórico (dado errado colado)</t>
  </si>
  <si>
    <t>Valor incomum em campo que deveria ser curto/categórico (dado errado colado): Valor incomum/muito longo para o campo "MODEL" (padrão da coluna é curto/categórico; parece dado errado colado aqui)</t>
  </si>
  <si>
    <t>Perfume Alfazema &amp; Lavanda 100ml Masculino + Presente</t>
  </si>
  <si>
    <t>MLB2897306349</t>
  </si>
  <si>
    <t>Kit 2 Óleos Essenciais Hortelã Pimenta E Alecrim Rollon 10ml</t>
  </si>
  <si>
    <t>MLB3531006880</t>
  </si>
  <si>
    <t>MLB1488161699</t>
  </si>
  <si>
    <t>MLB2897306364</t>
  </si>
  <si>
    <t>Perfume Baunilha &amp; Dama Da Noite 100ml Masculino + Presente</t>
  </si>
  <si>
    <t>Kit Óleo Essencial Eucalipto + Roll On 10ml - Puro E Natural</t>
  </si>
  <si>
    <t>Colar Prata 925 + Ouro Turmalina Rosa - Original P Vecchio</t>
  </si>
  <si>
    <t>MLB2897306528</t>
  </si>
  <si>
    <t>Óleo Vegetal De Amêndoas Doces - 100ml Puro E Natural</t>
  </si>
  <si>
    <t>MLB1488161885</t>
  </si>
  <si>
    <t>Perfume Gerânio &amp; Laranja Doce 100ml Masculino + Presente</t>
  </si>
  <si>
    <t>Descrição repetida em outros anúncios com título diferente (verificar se é boilerplate ou erro): Mesma descrição usada em 3 anúncios com títulos diferentes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</si>
  <si>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MLB3531006888</t>
  </si>
  <si>
    <t>MLB2932830011</t>
  </si>
  <si>
    <t>Colar Prata 925 + Ouro Ametista Clássica Sofisticada Natural</t>
  </si>
  <si>
    <t>Óleo De Melaleuca Com Rosa Mosqueta 30ml - Pronto Para Uso</t>
  </si>
  <si>
    <t>MLB1488162035</t>
  </si>
  <si>
    <t>MLB3037002084</t>
  </si>
  <si>
    <t>Óleo Essencial Camomila Romana 2ml - Puro E Natural</t>
  </si>
  <si>
    <t>MLB3531006914</t>
  </si>
  <si>
    <t>Colar Em Ouro 18k Ametista Clássica Sofisticada Natural</t>
  </si>
  <si>
    <t>MLB1488254709</t>
  </si>
  <si>
    <t>Descrição repetida em outros anúncios com título diferente (verificar se é boilerplate ou erro); Valor incomum em campo que deveria ser curto/categórico (dado errado colado)</t>
  </si>
  <si>
    <t>MLB3151356571</t>
  </si>
  <si>
    <t>Descrição repetida em outros anúncios com título diferente (verificar se é boilerplate ou erro): Mesma descrição usada em 3 anúncios com títulos diferentes | Valor incomum em campo que deveria ser curto/categórico (dado errado colado): Valor incomum/muito longo para o campo "MODEL" (padrão da coluna é curto/categórico; parece dado errado colado aqui)</t>
  </si>
  <si>
    <t>Perfume Patchouli &amp; Rosa Branca 100ml Masculino + Presente</t>
  </si>
  <si>
    <t>Óleo Essencial Eucalipto - Lima Limão 20ml - Puro E Natural</t>
  </si>
  <si>
    <t>Código universal do produto (GTIN) não preenchido (texto de exemplo do ML ainda lá); Descrição repetida em outros anúncios com título diferente (verificar se é boilerplate ou erro); Documento de Notificação/Comunicação prévia na Anvisa não preenchido; Valor incomum em campo que deveria ser curto/categórico (dado errado colado)</t>
  </si>
  <si>
    <t>Descrição repetida em outros anúncios com título diferente (verificar se é boilerplate ou erro): Mesma descrição usada em 2 anúncios com títulos diferentes | Código universal do produto (GTIN) não preenchido (texto de exemplo do ML ainda lá): Texto de exemplo do template não foi substituído pelo código real | Valor incomum em campo que deveria ser curto/categórico (dado errado colado): Valor incomum/muito longo para o campo "LINE" (padrão da coluna é curto/categórico; parece dado errado colado aqui) | Documento de Notificação/Comunicação prévia na Anvisa não preenchido: Número de Notificação/Comunicação prévia na Anvisa não preenchido</t>
  </si>
  <si>
    <t>MLB3531006920</t>
  </si>
  <si>
    <t>MLB3151356580</t>
  </si>
  <si>
    <t>MLB1488257608</t>
  </si>
  <si>
    <t>Óleo Essencial Cravo Folha 20ml - Puro E Natural</t>
  </si>
  <si>
    <t>Colar Prata 925 + Ouro Citrino Incrível - Original P Vecchio</t>
  </si>
  <si>
    <t>Perfume Verbena &amp; Alfazema 100ml Masculino + Presente</t>
  </si>
  <si>
    <t>MLB3151363013</t>
  </si>
  <si>
    <t>Óleo Essencial Pimenta Rosa 20ml - Puro E Natural</t>
  </si>
  <si>
    <t>MLB3531006928</t>
  </si>
  <si>
    <t>MLB1488257961</t>
  </si>
  <si>
    <t>Colar Em Ouro 18k Turmalina Rosa - Original P. Vecchio</t>
  </si>
  <si>
    <t>Perfume Cravo Intenso &amp; Mirra 100ml Masculino + Presente</t>
  </si>
  <si>
    <t>MLB3151369118</t>
  </si>
  <si>
    <t>Óleo Essencial Citronela 20ml - Puro E Natural</t>
  </si>
  <si>
    <t>MLB1488258261</t>
  </si>
  <si>
    <t>Perfume Verbena &amp; Jasmim 100ml Masculino + Presente</t>
  </si>
  <si>
    <t>MLB3531019620</t>
  </si>
  <si>
    <t>Colar Em Ouro 18k Ametista Clássica Elegante P. Vecchio</t>
  </si>
  <si>
    <t>MLB3151369124</t>
  </si>
  <si>
    <t>Óleo Essencial Funcho Doce (erva Doce) 20ml - Puro E Natural</t>
  </si>
  <si>
    <t>MLB1488261188</t>
  </si>
  <si>
    <t>Perfume Laranja Doce &amp; Lima-limão 100ml Masculino + Presente</t>
  </si>
  <si>
    <t>MLB3151388009</t>
  </si>
  <si>
    <t>MLB3531019664</t>
  </si>
  <si>
    <t>Óleo Essencial Menta Spicata 20ml - Puro E Natural</t>
  </si>
  <si>
    <t>Colar Prata 925 + Ouro Citrino - Original P Vecchio</t>
  </si>
  <si>
    <t>MLB1488261254</t>
  </si>
  <si>
    <t>MLB3151394213</t>
  </si>
  <si>
    <t>Perfume Patchouli &amp; Verbena 100ml Masculino + Presente</t>
  </si>
  <si>
    <t>Óleo Essencial Sândalo 20ml - Puro E Natural</t>
  </si>
  <si>
    <t>MLB3531019690</t>
  </si>
  <si>
    <t>Colar Prata 925 + Ouro Ametista Delicada P. Vecchio</t>
  </si>
  <si>
    <t>MLB3151464674</t>
  </si>
  <si>
    <t>MLB1488261348</t>
  </si>
  <si>
    <t>Óleo Essencial Ho Wood 20ml - Puro E Natural</t>
  </si>
  <si>
    <t>Perfume Patchouli &amp; Cedro 100ml Masculino + Presente</t>
  </si>
  <si>
    <t>MLB3531032464</t>
  </si>
  <si>
    <t>MLB3151464676</t>
  </si>
  <si>
    <t>Óleo Essencial Cedro Da Virgínia 20ml - Puro E Natural</t>
  </si>
  <si>
    <t>Colar Em Couro Grego E Prata Turmalina Bruta - Ponte Vecchio</t>
  </si>
  <si>
    <t>MLB1488261372</t>
  </si>
  <si>
    <t>Perfume Sálvia &amp; Notas De Alecrim 100ml Masculino + Presente</t>
  </si>
  <si>
    <t>MLB3151541947</t>
  </si>
  <si>
    <t>Óleo Essencial Alecrim  20ml - Puro E Natural</t>
  </si>
  <si>
    <t>MLB3531032506</t>
  </si>
  <si>
    <t>MLB1488261515</t>
  </si>
  <si>
    <t>Colar Em Couro Grego E Prata Citrino Semi Lapidado Original</t>
  </si>
  <si>
    <t>Perfume Laranjeira &amp; Grapefruit 100ml Masculino + Presente</t>
  </si>
  <si>
    <t>MLB3151606425</t>
  </si>
  <si>
    <t>Óleo Essencial Wintergreen 20ml - Puro E Natural</t>
  </si>
  <si>
    <t>MLB3151606453</t>
  </si>
  <si>
    <t>MLB1488261709</t>
  </si>
  <si>
    <t>MLB3531045478</t>
  </si>
  <si>
    <t>Óleo Essencial Poejo (pennyroyal) 20ml - Puro E Natural</t>
  </si>
  <si>
    <t>Perfume Patchouli &amp; Laranja Doce 100ml Masculino + Presente</t>
  </si>
  <si>
    <t>Colar Em Ouro 18k Ametista Delicada - Original P. Vecchio</t>
  </si>
  <si>
    <t>MLB3151638291</t>
  </si>
  <si>
    <t>Óleo Essencial Menta Arvensis 20ml - Puro E Natural</t>
  </si>
  <si>
    <t>MLB1488623580</t>
  </si>
  <si>
    <t>Perfume Lavanda Suiça &amp; Lavanda 100ml Feminino + Presente</t>
  </si>
  <si>
    <t>MLB3531045528</t>
  </si>
  <si>
    <t>Descrição repetida em outros anúncios com título diferente (verificar se é boilerplate ou erro): Mesma descrição usada em 11 anúncios com títulos diferentes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</si>
  <si>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MLB3151638293</t>
  </si>
  <si>
    <t>Óleo Essencial Tangerina 20ml - Puro E Natural</t>
  </si>
  <si>
    <t>Colar Em Couro Grego E Prata Turmalina - Ponte Vecchio Joias</t>
  </si>
  <si>
    <t>MLB1488623634</t>
  </si>
  <si>
    <t>Perfume Alfazema &amp; Dama Da Noite 100ml Feminino + Presente</t>
  </si>
  <si>
    <t>MLB3249074729</t>
  </si>
  <si>
    <t>Óleo De Sálvia 10ml Roll On- Com Rosa Mosqueta - Pronto Uso</t>
  </si>
  <si>
    <t>Descrição repetida em outros anúncios com título diferente (verificar se é boilerplate ou erro): Mesma descrição usada em 11 anúncios com títulos diferentes | País de origem diferente de "Brasil": País de origem = "(vazio)", deveria ser "Brasil" | Documento de Notificação/Comunicação prévia na Anvisa não preenchido: Número de Notificação/Comunicação prévia na Anvisa não preenchido</t>
  </si>
  <si>
    <t>MLB3531095650</t>
  </si>
  <si>
    <t>MLB3249084745</t>
  </si>
  <si>
    <t>Colar Em Couro Grego E Prata Citrino Grande Oval Original</t>
  </si>
  <si>
    <t>MLB1488623740</t>
  </si>
  <si>
    <t>Óleo De Patchouli Dark 10ml Roll On C\ Rosa Mosqueta- Pronto</t>
  </si>
  <si>
    <t>Perfume Baunilha &amp; Patchouli 100ml Feminino + Presente</t>
  </si>
  <si>
    <t>MLB3249084757</t>
  </si>
  <si>
    <t>Óleo De Anis Estrelado 10ml Roll On C\ Rosa Mosqueta- Pronto</t>
  </si>
  <si>
    <t>MLB4834813528</t>
  </si>
  <si>
    <t>MLB3531107252</t>
  </si>
  <si>
    <t>Colar Em Couro Grego E Prata Quartzo Rosa Bruto - P. Vecchio</t>
  </si>
  <si>
    <t>MLB1488623777</t>
  </si>
  <si>
    <t>Perfume Dama Da Noite &amp; Verbena 100ml Feminino + Presente</t>
  </si>
  <si>
    <t>MLB3274324176</t>
  </si>
  <si>
    <t>Óleo De Hortelã Pimenta 10ml Roll On C\ Rosa Mosqueta Pronto</t>
  </si>
  <si>
    <t>MLB3531132018</t>
  </si>
  <si>
    <t>Colar Prata 925 Singapura Hematita Cruz - P. Vecchio Joias</t>
  </si>
  <si>
    <t>Colar Em Ouro 18k Turmalina Rosa - Original Ponte Vecchio</t>
  </si>
  <si>
    <t>Anúncio sem preço definido; Descrição repetida em outros anúncios com título diferente (verificar se é boilerplate ou erro)</t>
  </si>
  <si>
    <t>Anúncio sem preço definido: Sem preço definido | Descrição repetida em outros anúncios com título diferente (verificar se é boilerplate ou erro): Mesma descrição usada em 3 anúncios com títulos diferentes</t>
  </si>
  <si>
    <t>MLB3274411912</t>
  </si>
  <si>
    <t>MLB1488623826</t>
  </si>
  <si>
    <t>Óleo De Limão Siciliano 10ml Roll On- Com Rosa Mosqueta</t>
  </si>
  <si>
    <t>Perfume Baunilha &amp; Flor De Jasmim 100ml Feminino + Presente</t>
  </si>
  <si>
    <t>MLB3531132066</t>
  </si>
  <si>
    <t>MLB2624168954</t>
  </si>
  <si>
    <t>Colar Em Ouro 18k Citrino Clássico - Original P. Vecchio</t>
  </si>
  <si>
    <t>Colar Em Prata Banhado Ouro Elo Veneziano 45cm Nossa Senhora</t>
  </si>
  <si>
    <t>MLB3274411918</t>
  </si>
  <si>
    <t>Óleo De Cipreste 10ml Roll On- Com Rosa Mosqueta- Pronto Uso</t>
  </si>
  <si>
    <t>MLB1488623840</t>
  </si>
  <si>
    <t>MLB3274524476</t>
  </si>
  <si>
    <t>MLB2624187595</t>
  </si>
  <si>
    <t>MLB3531132072</t>
  </si>
  <si>
    <t>Óleo De Menta Arvensis 10ml Roll On C\ Rosa Mosqueta- Pronto</t>
  </si>
  <si>
    <t>Perfume Dama Da Noite &amp; Petitgrain 100ml Feminino + Presente</t>
  </si>
  <si>
    <t>Colar Em Couro Grego E Prata Esmeralda Bruta - Ponte Vecchio</t>
  </si>
  <si>
    <t>Colar Em Prata 925 Elo Veneziano Ponto De Luz Estrela 7mm</t>
  </si>
  <si>
    <t>MLB3359337885</t>
  </si>
  <si>
    <t>Anúncio sem descrição; Documento de Notificação/Comunicação prévia na Anvisa não preenchido; Óleo essencial 100% puro marcado como adequado para massagem (risco ao cliente)</t>
  </si>
  <si>
    <t>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</si>
  <si>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MLB1488624797</t>
  </si>
  <si>
    <t>MLB3531132088</t>
  </si>
  <si>
    <t>Colar Prata 925 + Ouro Turmalina Rosa - Original P. Vecchio</t>
  </si>
  <si>
    <t>Perfume Flor De Jasmim &amp; Patchouli 100ml Feminino + Presente</t>
  </si>
  <si>
    <t>MLB3360541003</t>
  </si>
  <si>
    <t>MLB2624211586</t>
  </si>
  <si>
    <t>Kit Óleo Essencial Alecrim + Roll On 10ml - Puro E Natural</t>
  </si>
  <si>
    <t>Colar Em Prata Banhado Ouro 18k - 45cm Coração Pequeno</t>
  </si>
  <si>
    <t>MLB3387463843</t>
  </si>
  <si>
    <t>MLB3567214641</t>
  </si>
  <si>
    <t>MLB1488624801</t>
  </si>
  <si>
    <t>Colar Prata 925 3 Em 1 Oceano Profundo - Ponte Vecchio Joias</t>
  </si>
  <si>
    <t>Perfume Flor De Maçã &amp; Gengibre 100ml Feminino + Presente</t>
  </si>
  <si>
    <t>Valor incomum em campo que deveria ser curto/categórico (dado errado colado): Valor incomum/muito longo para o campo "GEMSTONE_TYPES" (padrão da coluna é curto/categórico; parece dado errado colado aqui)</t>
  </si>
  <si>
    <t>MLB2639709004</t>
  </si>
  <si>
    <t>MLB3387511457</t>
  </si>
  <si>
    <t>Colar Em Prata + Ouro Elo Veneziano 45cm Ágata Redonda</t>
  </si>
  <si>
    <t>Óleo Essencial Pimenta Preta 10ml Roll On - Puro E Natural</t>
  </si>
  <si>
    <t>MLB3587736473</t>
  </si>
  <si>
    <t>MLB3387527175</t>
  </si>
  <si>
    <t>MLB1488625095</t>
  </si>
  <si>
    <t>Colar Diamantado Prata 925 Citrino Bruto - P. Vecchio Joias</t>
  </si>
  <si>
    <t>Óleo Essencial De Pinho 10ml - Natural</t>
  </si>
  <si>
    <t>Perfume Aloés &amp; Flor De Artemísia 100ml Feminino + Presente</t>
  </si>
  <si>
    <t>MLB2639727199</t>
  </si>
  <si>
    <t>Descrição repetida em outros anúncios com título diferente (verificar se é boilerplate ou erro): Mesma descrição usada em 4 anúncios com títulos diferentes</t>
  </si>
  <si>
    <t>Colar Em Prata + Ouro Elo Veneziano 45cm Olho De Tigre</t>
  </si>
  <si>
    <t>MLB3388842705</t>
  </si>
  <si>
    <t>Óleo Essencial Hortelã Pimenta 10ml Roll On - Puro E Natural</t>
  </si>
  <si>
    <t>MLB3587736537</t>
  </si>
  <si>
    <t>MLB1488628427</t>
  </si>
  <si>
    <t>MLB3396958675</t>
  </si>
  <si>
    <t>MLB2639727212</t>
  </si>
  <si>
    <t>Colar Cadeado Prata 925 Citrino Drusa - Ponte Vecchio Joias</t>
  </si>
  <si>
    <t>Perfume Lavanda &amp; Flor De Maçã 100ml Feminino + Presente</t>
  </si>
  <si>
    <t>Colar Em Prata + Ouro Elo Veneziano 45cm Quartzo Verde</t>
  </si>
  <si>
    <t>MLB3431573037</t>
  </si>
  <si>
    <t>MLB3587747823</t>
  </si>
  <si>
    <t>Kit Com 4 Óleos Essenciais - Floral - Puros E Naturais 10ml</t>
  </si>
  <si>
    <t>Colar Cadeado Prata 925 Esmeralda Gota - Ponte Vecchio Joias</t>
  </si>
  <si>
    <t>MLB2650799843</t>
  </si>
  <si>
    <t>MLB1488628740</t>
  </si>
  <si>
    <t>MLB3431597915</t>
  </si>
  <si>
    <t>Kit Luxo Perfume Dama Da Noite + Colar Prata 925 E Esmeralda</t>
  </si>
  <si>
    <t>Kit 8 Óleos Essenciais - Especiado - Puros E Naturais 10ml</t>
  </si>
  <si>
    <t>Perfume Baunilha &amp; Gerânio 100ml Feminino + Presente</t>
  </si>
  <si>
    <t>MLB3587747995</t>
  </si>
  <si>
    <t>MLB3431610601</t>
  </si>
  <si>
    <t>Kit 3 Óleos Essenciais - Óleos Do Oriente Médio - Puros 10ml</t>
  </si>
  <si>
    <t>Colar Diamantado Prata 925 Angelita Polida - Ponte Vecchio</t>
  </si>
  <si>
    <t>MLB3462959453</t>
  </si>
  <si>
    <t>Kit Óleo Essen Eucalipto Citriodora + Rosa Mosqueta 10ml</t>
  </si>
  <si>
    <t>MLB2650825516</t>
  </si>
  <si>
    <t>MLB1488628820</t>
  </si>
  <si>
    <t>Perfume Flor De Laranjeira &amp; Cedro 100ml Feminino + Presente</t>
  </si>
  <si>
    <t>MLB3463071235</t>
  </si>
  <si>
    <t>MLB3587748003</t>
  </si>
  <si>
    <t>Descrição repetida em outros anúncios com título diferente (verificar se é boilerplate ou erro): Mesma descrição usada em 11 anúncios com títulos diferentes | Documento de Notificação/Comunicação prévia na Anvisa não preenchido: Número de Notificação/Comunicação prévia na Anvisa não preenchido</t>
  </si>
  <si>
    <t>Colar Cadeado Prata 925 Angelita Bruta - Ponte Vecchio Joias</t>
  </si>
  <si>
    <t>MLB2650852077</t>
  </si>
  <si>
    <t>MLB3494440613</t>
  </si>
  <si>
    <t>Colar Prata 925 Esmeralda Polida Natural - P Vecchio Joias</t>
  </si>
  <si>
    <t>MLB1488637207</t>
  </si>
  <si>
    <t>Perfume Jasmim &amp; Almíscar Oriental 100ml Feminino + Presente</t>
  </si>
  <si>
    <t>MLB3494503137</t>
  </si>
  <si>
    <t>Óleo Essencial Louro Folhas 10ml - Puro E Natural</t>
  </si>
  <si>
    <t>MLB3587748021</t>
  </si>
  <si>
    <t>Colar Diamantado Prata 925 Howlita Bruta - P. Vecchio Joias</t>
  </si>
  <si>
    <t>MLB2658353974</t>
  </si>
  <si>
    <t>MLB3494534099</t>
  </si>
  <si>
    <t>Colar Banhado Ouro 18 Elo Veneziano Zirconia Verde Esmeralda</t>
  </si>
  <si>
    <t>MLB1488637258</t>
  </si>
  <si>
    <t>MLB3494547089</t>
  </si>
  <si>
    <t>Perfume Lótus &amp; Almíscar Oriental 100ml Feminino + Presente</t>
  </si>
  <si>
    <t>Óleo Essencial Poejo 10ml Roll On - Puro E Natural</t>
  </si>
  <si>
    <t>MLB3587760843</t>
  </si>
  <si>
    <t>MLB2680910115</t>
  </si>
  <si>
    <t>Colar Diamantado Prata 925 Ametista Bruta - P. Vecchio Joias</t>
  </si>
  <si>
    <t>Colar Prata 925 Banhada Em Ouro 18k - Pingente Borboleta</t>
  </si>
  <si>
    <t>MLB3494547139</t>
  </si>
  <si>
    <t>Óleo Essencial Cedro Atlas 10ml Roll On - Puro E Natural</t>
  </si>
  <si>
    <t>MLB1488637482</t>
  </si>
  <si>
    <t>MLB3587773565</t>
  </si>
  <si>
    <t>Perfume Cedro &amp; Patchouli Puro 100ml Feminino + Presente</t>
  </si>
  <si>
    <t>MLB3494549867</t>
  </si>
  <si>
    <t>Colar Cadeado Prata 925 Citrino Oval - Ponte Vecchio Joias</t>
  </si>
  <si>
    <t>MLB2803497845</t>
  </si>
  <si>
    <t>Óleo Essencial Mandarina 10ml Roll On - Puro E Natural</t>
  </si>
  <si>
    <t>Pingente Citrino Claro Genuíno 2,5cm Original Ponte Vecchio</t>
  </si>
  <si>
    <t>Descrição repetida em outros anúncios com título diferente (verificar se é boilerplate ou erro): Mesma descrição usada em 32 anúncios com títulos diferentes</t>
  </si>
  <si>
    <t>MLB3494599381</t>
  </si>
  <si>
    <t>MLB3587773667</t>
  </si>
  <si>
    <t>MLB1488637502</t>
  </si>
  <si>
    <t>Óleo Essencial De Cravo Folha Puro 10 Ml Para Aromaterapia Essência Do Brasil</t>
  </si>
  <si>
    <t>Colar Cadeado Prata 925 Citrino Bruto - Ponte Vecchio Joias</t>
  </si>
  <si>
    <t>Anúncio sem descrição; Documento de Notificação/Comunicação prévia na Anvisa não preenchido; Título com mais de 60 caracteres; Óleo essencial 100% puro marcado como adequado para massagem (risco ao cliente)</t>
  </si>
  <si>
    <t>Título com mais de 60 caracteres: Título com 77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</si>
  <si>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MLB2803497860</t>
  </si>
  <si>
    <t>Perfume Cravo Intenso &amp; Hortelã 100ml Feminino + Presente</t>
  </si>
  <si>
    <t>Pingente Ponto De Luz Quadrado 8mm Prata 925 Original Ponte</t>
  </si>
  <si>
    <t>MLB3494599693</t>
  </si>
  <si>
    <t>Óleo Essencial Sândalo 10ml Roll On - Puro E Natural</t>
  </si>
  <si>
    <t>MLB3587773811</t>
  </si>
  <si>
    <t>Colar Diamantado Prata 925 Água Marinha Polida - P. Vecchio</t>
  </si>
  <si>
    <t>MLB1488637575</t>
  </si>
  <si>
    <t>MLB2803497883</t>
  </si>
  <si>
    <t>MLB3494611913</t>
  </si>
  <si>
    <t>Perfume Cravo Intenso &amp; Canela 100ml Feminino + Presente</t>
  </si>
  <si>
    <t>Pingente Cruz Quartzo Azul 3cm - Original Ponte Vecchio</t>
  </si>
  <si>
    <t>MLB3587786737</t>
  </si>
  <si>
    <t>Colar Diamantado Prata 925 Angelita Bruta - P. Vecchio Joias</t>
  </si>
  <si>
    <t>MLB3494613163</t>
  </si>
  <si>
    <t>Óleo Essencial Wintergreen 10ml Roll On - Puro E Natural</t>
  </si>
  <si>
    <t>MLB1488641543</t>
  </si>
  <si>
    <t>MLB2803509746</t>
  </si>
  <si>
    <t>Perfume Patchouli &amp; Rosa Branca 100ml Feminino + Presente</t>
  </si>
  <si>
    <t>Pingente Olho De Tigre Natural 1,5cm Original Ponte Vecchio</t>
  </si>
  <si>
    <t>MLB3494614681</t>
  </si>
  <si>
    <t>MLB3587799063</t>
  </si>
  <si>
    <t>Colar Cadeado Prata 925 Hematita Bruta - Ponte Vecchio Joias</t>
  </si>
  <si>
    <t>MLB3505202005</t>
  </si>
  <si>
    <t>MLB1488641826</t>
  </si>
  <si>
    <t>Kit Com 4 Óleos Essenciais Puros Para Difusor: Lavandin, Limão, Tangerina E Citronela</t>
  </si>
  <si>
    <t>MLB2803516086</t>
  </si>
  <si>
    <t>Perfume Cravo Intenso &amp; Manjerição 100ml Feminino + Presente</t>
  </si>
  <si>
    <t>Título com mais de 60 caracteres: Título com 85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</si>
  <si>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Pingente Sodalita Natural 2,5cm - Original Ponte Vecchio</t>
  </si>
  <si>
    <t>MLB3587799079</t>
  </si>
  <si>
    <t>MLB3505207979</t>
  </si>
  <si>
    <t>Óleo Essencial Menta Spicata 100ml - Puro E Natural</t>
  </si>
  <si>
    <t>Colar Cadeado Prata 925 Água Marinha Polida - Ponte Vecchio</t>
  </si>
  <si>
    <t>MLB1488644197</t>
  </si>
  <si>
    <t>MLB3505263457</t>
  </si>
  <si>
    <t>Perfume Patchouli &amp; Verbena 100ml Feminino + Presente</t>
  </si>
  <si>
    <t>MLB2803516106</t>
  </si>
  <si>
    <t>MLB3587799283</t>
  </si>
  <si>
    <t>Pingente Nossa Senhora Clássica Em Zircônia - Banhado Ouro</t>
  </si>
  <si>
    <t>Colar Cadeado Prata 925 Citrino Gota - Ponte Vecchio Joias</t>
  </si>
  <si>
    <t>MLB3505273179</t>
  </si>
  <si>
    <t>MLB1488644245</t>
  </si>
  <si>
    <t>Perfume Verbena &amp; Aloés 100ml Feminino + Presente</t>
  </si>
  <si>
    <t>MLB3587799319</t>
  </si>
  <si>
    <t>MLB3505275093</t>
  </si>
  <si>
    <t>Colar Diamantado Prata 925 Citrino Drusa - P. Vecchio Joias</t>
  </si>
  <si>
    <t>MLB2803516110</t>
  </si>
  <si>
    <t>Óleo Essencial Camomila Romana 2ml Essência Do Brasil Aromaterapia Puro</t>
  </si>
  <si>
    <t>Descrição repetida em outros anúncios com título diferente (verificar se é boilerplate ou erro); Documento de Notificação/Comunicação prévia na Anvisa não preenchido; Título com mais de 60 caracteres; Óleo essencial 100% puro marcado como adequado para massagem (risco ao cliente)</t>
  </si>
  <si>
    <t>Pingente Ponto De Luz Quadrado 5mm Banhado Em Ouro</t>
  </si>
  <si>
    <t>Título com mais de 60 caracteres: Título com 71 caracteres (limite ML=60) | Descrição repetida em outros anúncios com título diferente (verificar se é boilerplate ou erro): Mesma descrição usada em 2 anúncios com títulos diferentes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</si>
  <si>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MLB1488644376</t>
  </si>
  <si>
    <t>MLB3515617669</t>
  </si>
  <si>
    <t>Perfume Madeira Nobre &amp; Olíbano 100ml Feminino + Presente</t>
  </si>
  <si>
    <t>MLB3587799379</t>
  </si>
  <si>
    <t>Descrição repetida em outros anúncios com título diferente (verificar se é boilerplate ou erro): Mesma descrição usada em 25 anúncios com títulos diferentes | Documento de Notificação/Comunicação prévia na Anvisa não preenchido: Número de Notificação/Comunicação prévia na Anvisa não preenchido</t>
  </si>
  <si>
    <t>Colar Diamantado Prata 925 Hematita Bruta - P. Vecchio Joias</t>
  </si>
  <si>
    <t>MLB2803522282</t>
  </si>
  <si>
    <t>MLB3521723645</t>
  </si>
  <si>
    <t>Pingente Ponto De Luz Retangular 6mm Banhado Em Ouro</t>
  </si>
  <si>
    <t>Óleo Essencial De Pimenta Rosa Puro Para Aromaterapia 30ml  Essência Do Brasil</t>
  </si>
  <si>
    <t>MLB1488644607</t>
  </si>
  <si>
    <t>Título com mais de 60 caracteres: Título com 78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</si>
  <si>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Perfume Cravo Intenso &amp; Petitgrain 100ml Feminino + Presente</t>
  </si>
  <si>
    <t>MLB3587824681</t>
  </si>
  <si>
    <t>Colar Diamantado Prata 925 Água Marinha Bruta - P. Vecchio</t>
  </si>
  <si>
    <t>MLB3521725803</t>
  </si>
  <si>
    <t>Óleo De Cravo Com Rosa Mosqueta 60ml - Pronto Para Uso</t>
  </si>
  <si>
    <t>MLB1490230775</t>
  </si>
  <si>
    <t>MLB3521779221</t>
  </si>
  <si>
    <t>Perfume Masculino Sheik 100ml - Coleção Árabes</t>
  </si>
  <si>
    <t>Óleo Essencial Cravo Botão 100ml Essência Do Brasil Aromaterapia</t>
  </si>
  <si>
    <t>MLB3587824877</t>
  </si>
  <si>
    <t>MLB2803527973</t>
  </si>
  <si>
    <t>Título com mais de 60 caracteres: Título com 64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</si>
  <si>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Colar Diamantado Prata 925 Howlita Gota - P. Vecchio Joias</t>
  </si>
  <si>
    <t>Pingente Nossa Senhora Em Prata Maciça 1,7cm Original Ponte</t>
  </si>
  <si>
    <t>MLB3521779901</t>
  </si>
  <si>
    <t>Óleo Essencial Laranja Amarga 30ml - Puro E Natural</t>
  </si>
  <si>
    <t>MLB3587824975</t>
  </si>
  <si>
    <t>MLB1490231822</t>
  </si>
  <si>
    <t>MLB3529547795</t>
  </si>
  <si>
    <t>Colar Cadeado Prata 925 Howlita Gota - Ponte Vecchio Joias</t>
  </si>
  <si>
    <t>Óleo Essencial Limão Tahiti 10ml - Puro E Natural -</t>
  </si>
  <si>
    <t>MLB2803527986</t>
  </si>
  <si>
    <t>Perfume Dama Da Noite Feminino 100ml</t>
  </si>
  <si>
    <t>Pingente Quartzo Folha Verdadeiro 4cm Original Ponte Vecchio</t>
  </si>
  <si>
    <t>MLB3532637967</t>
  </si>
  <si>
    <t>Óleo Essencial Pinho Da Sibéria Puro Para Aromaterapia E Difusor, 30ml</t>
  </si>
  <si>
    <t>MLB3587837611</t>
  </si>
  <si>
    <t>Título com mais de 60 caracteres: Título com 70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</si>
  <si>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Colar Diamantado Prata 925 Hematita Polida - Ponte Vecchio</t>
  </si>
  <si>
    <t>MLB3532686455</t>
  </si>
  <si>
    <t>MLB1490232365</t>
  </si>
  <si>
    <t>MLB2803533312</t>
  </si>
  <si>
    <t>Óleo Essencial Alecrim 20ml - Puro E Natural</t>
  </si>
  <si>
    <t>Perfume Masculino Poseidon 100ml - Coleção Deuses Gregos</t>
  </si>
  <si>
    <t>Pingente Amazonita Verdadeira 1,7cm - Original Ponte Vecchio</t>
  </si>
  <si>
    <t>MLB3587850371</t>
  </si>
  <si>
    <t>MLB3534511711</t>
  </si>
  <si>
    <t>Colar Diamantado Prata 925 Citrino Polido - P. Vecchio Joias</t>
  </si>
  <si>
    <t>MLB2803533336</t>
  </si>
  <si>
    <t>MLB1490232402</t>
  </si>
  <si>
    <t>MLB3534525147</t>
  </si>
  <si>
    <t>Óleo Essencial Melaleuca 30ml - Puro E Natural</t>
  </si>
  <si>
    <t>Pingente Nossa Senhora Cravejado - Banhado Em Ouro</t>
  </si>
  <si>
    <t>Perfume Baunilha Feminino 100ml</t>
  </si>
  <si>
    <t>MLB3587850391</t>
  </si>
  <si>
    <t>Colar Diamantado Prata 925 Howlita Polida - P. Vecchio Joias</t>
  </si>
  <si>
    <t>MLB3540458247</t>
  </si>
  <si>
    <t>Óleo Essencial De Anis Estrelado Puro E Orgânico Para Difusor E Massagem Essência Do Brasil 60ml</t>
  </si>
  <si>
    <t>Título com mais de 60 caracteres: Título com 96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</si>
  <si>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MLB1490232435</t>
  </si>
  <si>
    <t>MLB2803545522</t>
  </si>
  <si>
    <t>Perfume Masculino Vulcano 100ml - Coleção Deuses Romanos</t>
  </si>
  <si>
    <t>MLB3542358267</t>
  </si>
  <si>
    <t>Pingente Hematita Negra Natural Verdadeira 1,5cm</t>
  </si>
  <si>
    <t>Óleo Essencial Pimenta Rosa Puro Para Difusor E Massagem 20ml</t>
  </si>
  <si>
    <t>MLB3597190483</t>
  </si>
  <si>
    <t>Título com mais de 60 caracteres: Título com 61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</si>
  <si>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Colar Diamantado Prata 925 Howlita Polida - P. Vecchio Joias Cor Prateado</t>
  </si>
  <si>
    <t>Anúncio sem descrição; Título com mais de 60 caracteres</t>
  </si>
  <si>
    <t>MLB3543688757</t>
  </si>
  <si>
    <t>Título com mais de 60 caracteres: Título com 73 caracteres (limite ML=60) | Anúncio sem descrição: Descrição vazia</t>
  </si>
  <si>
    <t>MLB1490232493</t>
  </si>
  <si>
    <t>Perfume Blue Masculino 100ml</t>
  </si>
  <si>
    <t>MLB2803602001</t>
  </si>
  <si>
    <t>MLB3597215411</t>
  </si>
  <si>
    <t>Pingente Citrino Coração Puro 2,5cm Original Ponte Vecchio</t>
  </si>
  <si>
    <t>MLB3543904721</t>
  </si>
  <si>
    <t>Colar Ponte Vecchio Prata 925 Banhada Ouro 18k Pingente Zircônio Dourado 45cm</t>
  </si>
  <si>
    <t>Óleo Essencial De Citronela Puro Para Aromaterapia E Massagem 20 Ml</t>
  </si>
  <si>
    <t>Anúncio sem descrição; Marca cadastrada incorreta/inconsistente; Título com mais de 60 caracteres</t>
  </si>
  <si>
    <t>Título com mais de 60 caracteres: Título com 67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</si>
  <si>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MLB1490232623</t>
  </si>
  <si>
    <t>Título com mais de 60 caracteres: Título com 77 caracteres (limite ML=60) | Anúncio sem descrição: Descrição vazia | Marca cadastrada incorreta/inconsistente: Marca "Ponte Vecchio" difere da marca própria esperada "Ponte Vecchio Joias"</t>
  </si>
  <si>
    <t>Perfume Patchouli Clássico 100ml</t>
  </si>
  <si>
    <t>MLB3543917717</t>
  </si>
  <si>
    <t>MLB2803602002</t>
  </si>
  <si>
    <t>Óleo Essencial Ho Wood Puro De 20 Ml, Essência Do Brasil</t>
  </si>
  <si>
    <t>Pingente Gota Cor Topázio - Banhado Em Ouro - Ponte Vecchio</t>
  </si>
  <si>
    <t>MLB3599043899</t>
  </si>
  <si>
    <t>Colar Prata + Ouro Ametista 6 Quilates Legítima Cor Dourado</t>
  </si>
  <si>
    <t>MLB3543929469</t>
  </si>
  <si>
    <t>MLB1490232999</t>
  </si>
  <si>
    <t>Óleo Essencial Laranja Doce Puro 60ml Essência Do Brasil Aromaterapia</t>
  </si>
  <si>
    <t>Perfume Adventure Masculino 100ml</t>
  </si>
  <si>
    <t>Anúncio sem descrição</t>
  </si>
  <si>
    <t>Título com mais de 60 caracteres: Título com 69 caracteres (limite ML=60) | Descrição repetida em outros anúncios com título diferente (verificar se é boilerplate ou erro): Mesma descrição usada em 2 anúncios com títulos diferentes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</si>
  <si>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Anúncio sem descrição: Descrição vazia</t>
  </si>
  <si>
    <t>Descrição repetida em outros anúncios com título diferente (verificar se é boilerplate ou erro): Mesma descrição usada em 2 anúncios com títulos diferentes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</si>
  <si>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MLB3543931155</t>
  </si>
  <si>
    <t>MLB2803602005</t>
  </si>
  <si>
    <t>MLB3620386739</t>
  </si>
  <si>
    <t>MLB1490258309</t>
  </si>
  <si>
    <t>Colar Ponte Vecchio Joias Moderno De 45cm Feito De Ouro Dourado</t>
  </si>
  <si>
    <t>Pingente Quartzo Verde Coração Grande 3cm - Natural</t>
  </si>
  <si>
    <t>Perfume Masculino Floral Cítrico 100ml</t>
  </si>
  <si>
    <t>MLB3543942305</t>
  </si>
  <si>
    <t>Título com mais de 60 caracteres: Título com 63 caracteres (limite ML=60) | Anúncio sem descrição: Descrição vazia</t>
  </si>
  <si>
    <t>Óleo Essencial Cânfora Branca 60ml Essência Do Brasil Aromaterapia</t>
  </si>
  <si>
    <t>Descrição repetida em outros anúncios com título diferente (verificar se é boilerplate ou erro): Mesma descrição usada em 18 anúncios com títulos diferentes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</si>
  <si>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Título com mais de 60 caracteres: Título com 66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</si>
  <si>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MLB3624706407</t>
  </si>
  <si>
    <t>MLB3543969663</t>
  </si>
  <si>
    <t>MLB1490258325</t>
  </si>
  <si>
    <t>Óleo Essencial Eucalipto Citriodora Puro Da Essência Do Brasil 60ml</t>
  </si>
  <si>
    <t>MLB2857355142</t>
  </si>
  <si>
    <t>Colar Pedras Naturais De Água Marinha Verdadeira P. Vecchio Cor Prateado</t>
  </si>
  <si>
    <t>Perfume Masculino Oriental Floral 100ml</t>
  </si>
  <si>
    <t>Pingente São Bento Em Relevo Banhado Em Ouro - Ponte Vecchio</t>
  </si>
  <si>
    <t>Título com mais de 60 caracteres: Título com 72 caracteres (limite ML=60) | Anúncio sem descrição: Descrição vazia</t>
  </si>
  <si>
    <t>MLB3546011131</t>
  </si>
  <si>
    <t>MLB3650351588</t>
  </si>
  <si>
    <t>Colar Prata 925 Lindo Jaspe Dálmata Polido - Ponte Vecchio</t>
  </si>
  <si>
    <t>MLB1490258352</t>
  </si>
  <si>
    <t>MLB2857367911</t>
  </si>
  <si>
    <t>MLB3549983799</t>
  </si>
  <si>
    <t>Perfume Feminino Cítrico Oriental 100ml</t>
  </si>
  <si>
    <t>Pingente Tudo Posso Naquele Banhado Em Ouro - Ponte Vecchio</t>
  </si>
  <si>
    <t>Óleo Essencial Bálsamo Do Peru 10ml - Natural E Puro</t>
  </si>
  <si>
    <t>MLB3650403122</t>
  </si>
  <si>
    <t>MLB3550882409</t>
  </si>
  <si>
    <t>Óleo Essencial De Olíbano 10ml Puro Para Aromaterapia Essência Do Brasil</t>
  </si>
  <si>
    <t>Colar Prata 925 Ametista Coração Semi Lapidada Prata</t>
  </si>
  <si>
    <t>MLB1490258359</t>
  </si>
  <si>
    <t>MLB2857380922</t>
  </si>
  <si>
    <t>Título com mais de 60 caracteres: Título com 72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</si>
  <si>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Perfume Masculino Cítrico Especiado 100ml</t>
  </si>
  <si>
    <t>Pingente São Jorge Em Relevo Banhado Em Ouro - Ponte Vecchio</t>
  </si>
  <si>
    <t>MLB3550953371</t>
  </si>
  <si>
    <t>MLB1490258360</t>
  </si>
  <si>
    <t>MLB3563019151</t>
  </si>
  <si>
    <t>MLB2857394067</t>
  </si>
  <si>
    <t>Óleo Essencial Erva Baleeira 10ml - Puro E Natural</t>
  </si>
  <si>
    <t>Perfume Masculino Refrescante Floral 100ml</t>
  </si>
  <si>
    <t>Pingente Espírito Santo Banhado Em Ouro - Ponte Vecchio</t>
  </si>
  <si>
    <t>MLB3663467763</t>
  </si>
  <si>
    <t>MLB3563021147</t>
  </si>
  <si>
    <t>Colar Ponte Vecchio Prata 925 Hematita Natural Estilo Veneziano Prateado</t>
  </si>
  <si>
    <t>MLB1490258362</t>
  </si>
  <si>
    <t>MLB2897253462</t>
  </si>
  <si>
    <t>Título com mais de 60 caracteres: Título com 72 caracteres (limite ML=60) | Anúncio sem descrição: Descrição vazia | Marca cadastrada incorreta/inconsistente: Marca "Ponte Vecchio" difere da marca própria esperada "Ponte Vecchio Joias"</t>
  </si>
  <si>
    <t>Perfume Masculino Doce Aquático 100ml</t>
  </si>
  <si>
    <t>Pingente Ponto De Luz Cor Rubi - Ponte Vecchio</t>
  </si>
  <si>
    <t>MLB3571551871</t>
  </si>
  <si>
    <t>Kit 6 Essências Premium 10ml - Jardim Exótico</t>
  </si>
  <si>
    <t>MLB3693749395</t>
  </si>
  <si>
    <t>Colar Prata + Ouro 18k Ametista Metalizada Polida P. Vecchio Cor Dourado</t>
  </si>
  <si>
    <t>MLB3580880793</t>
  </si>
  <si>
    <t>Título com mais de 60 caracteres</t>
  </si>
  <si>
    <t>MLB1490258385</t>
  </si>
  <si>
    <t>Título com mais de 60 caracteres: Título com 72 caracteres (limite ML=60)</t>
  </si>
  <si>
    <t>Óleo Essencial Pinho Da Sibéria Puro E Natural Para Difusor</t>
  </si>
  <si>
    <t>Perfume Feminino Cítrico Amadeirado 100ml</t>
  </si>
  <si>
    <t>MLB2897253531</t>
  </si>
  <si>
    <t>Pingente Quartzo Rosa Bruta Natural Legítima Ponte Vecchio</t>
  </si>
  <si>
    <t>MLB3758265897</t>
  </si>
  <si>
    <t>MLB3580891943</t>
  </si>
  <si>
    <t>Kit 2 Óleos Essenciais 10ml Alecrim Limão Siciliano Essência Do Brasil</t>
  </si>
  <si>
    <t>Colar Prata 925 Singapura Pirita Coração - P. Vecchio Joias</t>
  </si>
  <si>
    <t>MLB1490258514</t>
  </si>
  <si>
    <t>MLB3580908821</t>
  </si>
  <si>
    <t>Perfume Masculino Doce Refrescante 100ml</t>
  </si>
  <si>
    <t>Anúncio sem descrição; Código universal do produto (GTIN) não preenchido (texto de exemplo do ML ainda lá); Documento de Notificação/Comunicação prévia na Anvisa não preenchido; Marca cadastrada incorreta/inconsistente; Óleo essencial 100% puro marcado como adequado para massagem (risco ao cliente)</t>
  </si>
  <si>
    <t>MLB3758265899</t>
  </si>
  <si>
    <t>Anúncio sem descrição: Descrição vazia | Marca cadastrada incorreta/inconsistente: Marca "Essencia Brasil" difere da marca própria esperada "Essência do Brasil" | Código universal do produto (GTIN) não preenchido (texto de exemplo do ML ainda lá): Texto de exemplo do template não foi substituído pelo código real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</si>
  <si>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MLB2897258370</t>
  </si>
  <si>
    <t>Colar Prata 925 Singapura Ametista Coração P. Vecchio Joias</t>
  </si>
  <si>
    <t>MLB3580910349</t>
  </si>
  <si>
    <t>Pingente Turmalina Melancia Bruta Natural - Ponte Vecchio</t>
  </si>
  <si>
    <t>Kit Com 2 Óleos Essenciais Puros: Alecrim E Melaleuca 10ml Essencia Brasil</t>
  </si>
  <si>
    <t>MLB1490258521</t>
  </si>
  <si>
    <t>Documento de Notificação/Comunicação prévia na Anvisa não preenchido; Marca cadastrada incorreta/inconsistente; Título com mais de 60 caracteres; Óleo essencial 100% puro marcado como adequado para massagem (risco ao cliente)</t>
  </si>
  <si>
    <t>Título com mais de 60 caracteres: Título com 74 caracteres (limite ML=60) | Marca cadastrada incorreta/inconsistente: Marca "Essencia Brasil" difere da marca própria esperada "Essência do Brasil"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</si>
  <si>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Perfume Feminino Especiado Puro 100ml</t>
  </si>
  <si>
    <t>MLB3758265911</t>
  </si>
  <si>
    <t>MLB3580937181</t>
  </si>
  <si>
    <t>Descrição repetida em outros anúncios com título diferente (verificar se é boilerplate ou erro): Mesma descrição usada em 4 anúncios com títulos diferentes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</si>
  <si>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MLB2897258375</t>
  </si>
  <si>
    <t>Colar Prata 925 Singapura Granada Bruta - P. Vecchio Joias</t>
  </si>
  <si>
    <t>Pingente Turmalina Negra Bruta Natural - Ponte Vecchio</t>
  </si>
  <si>
    <t>MLB1490258528</t>
  </si>
  <si>
    <t>MLB3580939423</t>
  </si>
  <si>
    <t>Perfume Feminino Cítrico Doce 100ml</t>
  </si>
  <si>
    <t>MLB3758265919</t>
  </si>
  <si>
    <t>Colar Prata 925 Singapura Água-marinha Polida - P. Vecchio</t>
  </si>
  <si>
    <t>MLB2897264627</t>
  </si>
  <si>
    <t>MLB3580944195</t>
  </si>
  <si>
    <t>Pingente Selenita Retangular Natural Legítima Ponte Vecchio</t>
  </si>
  <si>
    <t>Óleo Essencial Zimbro 20ml Puro Para Difusor, Kit Com 2</t>
  </si>
  <si>
    <t>MLB1490258531</t>
  </si>
  <si>
    <t>Perfume Masculino Amadeirado Puro 50ml</t>
  </si>
  <si>
    <t>MLB3580964845</t>
  </si>
  <si>
    <t>Kit Com 6 Óleos Essenciais - Cítrico - Puros E Naturais 10ml</t>
  </si>
  <si>
    <t>MLB2897270044</t>
  </si>
  <si>
    <t>Pingente Ametista Bruta Natural E Legítima - Ponte Vecchio</t>
  </si>
  <si>
    <t>MLB3758265927</t>
  </si>
  <si>
    <t>MLB3580971157</t>
  </si>
  <si>
    <t>MLB1490258536</t>
  </si>
  <si>
    <t>Colar Prata 925 Singapura Citrino Oval - Ponte Vecchio Joias</t>
  </si>
  <si>
    <t>Kit 2 Perfumes Masculinos Amadeirado 100ml + Aquático 100ml</t>
  </si>
  <si>
    <t>Descrição repetida em outros anúncios com título diferente (verificar se é boilerplate ou erro): Mesma descrição usada em 7 anúncios com títulos diferentes</t>
  </si>
  <si>
    <t>Descrição repetida em outros anúncios com título diferente (verificar se é boilerplate ou erro): Mesma descrição usada em 2 anúncios com títulos diferentes | País de origem diferente de "Brasil": País de origem = "(vazio)", deveria ser "Brasil" | Documento de Notificação/Comunicação prévia na Anvisa não preenchido: Número de Notificação/Comunicação prévia na Anvisa não preenchido</t>
  </si>
  <si>
    <t>MLB3581000385</t>
  </si>
  <si>
    <t>MLB2897294477</t>
  </si>
  <si>
    <t>Kit 2 Óleos Essenciais 10ml Lemongrass E Anis Estrelado Essência Do Brasil</t>
  </si>
  <si>
    <t>Código universal do produto (GTIN) não preenchido (texto de exemplo do ML ainda lá); Documento de Notificação/Comunicação prévia na Anvisa não preenchido; Título com mais de 60 caracteres; Óleo essencial 100% puro marcado como adequado para massagem (risco ao cliente)</t>
  </si>
  <si>
    <t>Pingente Ametista Natural E Legítima Coração - Ponte Vecchio</t>
  </si>
  <si>
    <t>Título com mais de 60 caracteres: Título com 74 caracteres (limite ML=60) | Código universal do produto (GTIN) não preenchido (texto de exemplo do ML ainda lá): Texto de exemplo do template não foi substituído pelo código real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</si>
  <si>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MLB1490258545</t>
  </si>
  <si>
    <t>MLB3758265929</t>
  </si>
  <si>
    <t>Perfume Masculino Refrescante Cítrico 100ml</t>
  </si>
  <si>
    <t>MLB3581000807</t>
  </si>
  <si>
    <t>Óleo Essencial Ho Wood Puro De 60 Ml Para Aromaterapia</t>
  </si>
  <si>
    <t>Colar Prata 925 Singapura Granada Triângulo - Ponte Vecchio</t>
  </si>
  <si>
    <t>MLB3597339893</t>
  </si>
  <si>
    <t>MLB2897306350</t>
  </si>
  <si>
    <t>Óleo Essencial Orégano 20ml Essência Do Brasil Aromaterapia Difusor</t>
  </si>
  <si>
    <t>MLB1490258550</t>
  </si>
  <si>
    <t>Pingente Cruz Minimalista Em Prata 925 - Ponte Vecchio</t>
  </si>
  <si>
    <t>Título com mais de 60 caracteres: Título com 67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</si>
  <si>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Perfume Feminino Refrescante Frutal 100ml</t>
  </si>
  <si>
    <t>MLB3758276911</t>
  </si>
  <si>
    <t>MLB3597342359</t>
  </si>
  <si>
    <t>Colar Prata 925 Singapura Esmeralda Oval - P. Vecchio Joias</t>
  </si>
  <si>
    <t>Óleo Essencial Lavanda Da BuLGária 10ml - Puro E Natural</t>
  </si>
  <si>
    <t>MLB1490258556</t>
  </si>
  <si>
    <t>MLB3037002067</t>
  </si>
  <si>
    <t>MLB3597342919</t>
  </si>
  <si>
    <t>Perfume Masculino Refrescante Intenso 100ml</t>
  </si>
  <si>
    <t>Kit 2 Óleos Essenciais - 2 Eucalipto Lima Limão 10ml</t>
  </si>
  <si>
    <t>Pingente Prata 925 Solitiário Brilhante 8mm Clássico</t>
  </si>
  <si>
    <t>MLB3758276917</t>
  </si>
  <si>
    <t>Colar Prata 925 Singapura Granada Oval - Ponte Vecchio Joias</t>
  </si>
  <si>
    <t>MLB3597357481</t>
  </si>
  <si>
    <t>Óleo Essencial Eucalipto Staigeriana Limão 10ml Essencia Brasil</t>
  </si>
  <si>
    <t>MLB3037044335</t>
  </si>
  <si>
    <t>Título com mais de 60 caracteres: Título com 63 caracteres (limite ML=60) | Marca cadastrada incorreta/inconsistente: Marca "Essencia Brasil" difere da marca própria esperada "Essência do Brasil"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</si>
  <si>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Pingente Prata 925 Solitiário Brilhante 7mm Estrela</t>
  </si>
  <si>
    <t>MLB3758276927</t>
  </si>
  <si>
    <t>MLB3597375955</t>
  </si>
  <si>
    <t>Colar Prata 925 Singapura Quartzo Verde Coração - P. Vecchio</t>
  </si>
  <si>
    <t>Óleo Essencial De Tomilho Branco Puro E Orgânico Para Difusor E Massagem 30 Ml Essência Do Brasil</t>
  </si>
  <si>
    <t>MLB1490258592</t>
  </si>
  <si>
    <t>Título com mais de 60 caracteres: Título com 97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</si>
  <si>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Perfume Feminino Especiado Amadeirado 100ml</t>
  </si>
  <si>
    <t>MLB3151182045</t>
  </si>
  <si>
    <t>Pingente Prata 925 Lua 12x15mm  - Ponte Vecchio Joias</t>
  </si>
  <si>
    <t>MLB3597519969</t>
  </si>
  <si>
    <t>Óleo Essencial Lavanda 10ml - Aromaterapia Natural E Puro</t>
  </si>
  <si>
    <t>MLB3758276929</t>
  </si>
  <si>
    <t>Colar Prata 925 Singapura Pirita Drusa - Ponte Vecchio Joias</t>
  </si>
  <si>
    <t>MLB1490259923</t>
  </si>
  <si>
    <t>MLB3599823107</t>
  </si>
  <si>
    <t>Óleo Essencial De Sândalo Puro 30 Ml  Essência Do Brasil</t>
  </si>
  <si>
    <t>MLB3151207399</t>
  </si>
  <si>
    <t>Pingente Prata 925 Árvore Da Vida 12mm - Ponte Vecchio Joias</t>
  </si>
  <si>
    <t>Descrição repetida em outros anúncios com título diferente (verificar se é boilerplate ou erro): Mesma descrição usada em 3 anúncios com títulos diferentes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</si>
  <si>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MLB3758289713</t>
  </si>
  <si>
    <t>Colar Prata 925 Singapura Citrino Bruto - P. Vecchio Joias</t>
  </si>
  <si>
    <t>MLB3599823109</t>
  </si>
  <si>
    <t>MLB1490261686</t>
  </si>
  <si>
    <t>Perfume Feminino Frutal Oriental 100ml</t>
  </si>
  <si>
    <t>MLB3151224909</t>
  </si>
  <si>
    <t>Pingente Prata 925 Estrela Cravejada Zircônias 14mm</t>
  </si>
  <si>
    <t>MLB3599861439</t>
  </si>
  <si>
    <t>MLB3758289729</t>
  </si>
  <si>
    <t>Kit 2 Óleos Essenciais Lavanda 10ml Orgânico, Natural E Puro</t>
  </si>
  <si>
    <t>Colar Prata 925 Singapura Opala Rosa Polida - Ponte Vecchio</t>
  </si>
  <si>
    <t>MLB1490261687</t>
  </si>
  <si>
    <t>MLB3609149547</t>
  </si>
  <si>
    <t>Perfume Feminino Aquático Amadeirado 100ml</t>
  </si>
  <si>
    <t>MLB3208309895</t>
  </si>
  <si>
    <t>Óleo Essencial Melaleuca 10 Ml - Puro E Natural</t>
  </si>
  <si>
    <t>Pingente Prata 925 Quartzo Rosa Bruto - Legítimo E Natural</t>
  </si>
  <si>
    <t>MLB3759057451</t>
  </si>
  <si>
    <t>MLB3609162641</t>
  </si>
  <si>
    <t>Colar Prata 925 Rabo Rato Cristal Striato Coração P. Vecchio</t>
  </si>
  <si>
    <t>Óleo Essencial De Tomilho Branco Para Aromaterapia 60ml</t>
  </si>
  <si>
    <t>MLB1490261689</t>
  </si>
  <si>
    <t>MLB3208328243</t>
  </si>
  <si>
    <t>Perfume Feminino Cítrico Frutal 100ml</t>
  </si>
  <si>
    <t>Pingente Prata 925 Howlita Bruta Natural Legítima P. Vecchio</t>
  </si>
  <si>
    <t>MLB3620387307</t>
  </si>
  <si>
    <t>Óleo Essencial De Manjerona 10ml - Puro E Natural</t>
  </si>
  <si>
    <t>MLB3759057455</t>
  </si>
  <si>
    <t>MLB1490261690</t>
  </si>
  <si>
    <t>MLB3635832167</t>
  </si>
  <si>
    <t>Colar Prata 925 Rabo De Rato Olho De Tigre Oval - P. Vecchio</t>
  </si>
  <si>
    <t>Óleo Essencial De Ylang Ylang Puro Para Difusor E Massagens  Essência Do Brasil 10ml</t>
  </si>
  <si>
    <t>MLB3208353588</t>
  </si>
  <si>
    <t>Perfume Masculino Cítrico Oriental 100ml</t>
  </si>
  <si>
    <t>Título com mais de 60 caracteres: Título com 84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</si>
  <si>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Pingente Prata 925 Howlita Bruta - Natural E Legítima</t>
  </si>
  <si>
    <t>MLB3635896015</t>
  </si>
  <si>
    <t>Kit 2 Óleos Essenciais 10ml Laranja Amarga Doce Essencia Brasil</t>
  </si>
  <si>
    <t>MLB1490261699</t>
  </si>
  <si>
    <t>MLB3759057485</t>
  </si>
  <si>
    <t>Perfume Masculino Especiado Aquático 100ml</t>
  </si>
  <si>
    <t>MLB3208359898</t>
  </si>
  <si>
    <t>MLB3639278441</t>
  </si>
  <si>
    <t>Colar Prata 925 Rabo De Rato Pirita Coração P. Vecchio Joias</t>
  </si>
  <si>
    <t>Óleo Essencial Essência Do Brasil Óleo De Menta Arvensis 10ml Roll On C\ Rosa Mosqueta- Pronto Menta Arvensis 10ml</t>
  </si>
  <si>
    <t>Pingente Prata 925 Drusa Ametista Natural E Legítima</t>
  </si>
  <si>
    <t>Título com mais de 60 caracteres: Título com 114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</si>
  <si>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MLB3639291995</t>
  </si>
  <si>
    <t>MLB1490261700</t>
  </si>
  <si>
    <t>Perfume Masculino Especiado Intenso 50ml</t>
  </si>
  <si>
    <t>MLB3208364869</t>
  </si>
  <si>
    <t>MLB3639302403</t>
  </si>
  <si>
    <t>Óleo Essencial De Pimenta Preta 10ml - Puro E Natural</t>
  </si>
  <si>
    <t>MLB3759057509</t>
  </si>
  <si>
    <t>Pingente Prata 925 Quartzo Rosa Bruto - Natural E Legítimo</t>
  </si>
  <si>
    <t>Colar Prata 925 Rabo De Rato Ametista Triângulo - P. Vecchio</t>
  </si>
  <si>
    <t>MLB1490261701</t>
  </si>
  <si>
    <t>MLB3639317865</t>
  </si>
  <si>
    <t>Óleo Essencial De Mandarina Puro Para Aromaterapia E Massagem 10 Ml Essência Do Brasil</t>
  </si>
  <si>
    <t>Perfume Masculino Especiado Cítrico 100ml</t>
  </si>
  <si>
    <t>Título com mais de 60 caracteres: Título com 86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</si>
  <si>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MLB3259689993</t>
  </si>
  <si>
    <t>MLB3639328367</t>
  </si>
  <si>
    <t>Pingente Prata 950 + Ouro 18k Ametista Em Gota - Original</t>
  </si>
  <si>
    <t>MLB3761061651</t>
  </si>
  <si>
    <t>MLB1490261704</t>
  </si>
  <si>
    <t>Colar Prata 925 Cadeado Pirita Coração - Ponte Vecchio Joias</t>
  </si>
  <si>
    <t>Perfume Feminino Frutal Amadeirado 100ml</t>
  </si>
  <si>
    <t>MLB3684937151</t>
  </si>
  <si>
    <t>Kit 2 Óleos Essenciais 10ml - Menta Piperita + Laranja</t>
  </si>
  <si>
    <t>MLB3259705239</t>
  </si>
  <si>
    <t>MLB3761061657</t>
  </si>
  <si>
    <t>Pingente Banhado Ouro 18k Medalha Nossa Senhora Fátima</t>
  </si>
  <si>
    <t>MLB3687643493</t>
  </si>
  <si>
    <t>MLB1490261713</t>
  </si>
  <si>
    <t>Colar Prata 925 Cadeado Quartzo Fumê Bruto P. Vecchio Joias</t>
  </si>
  <si>
    <t>Óleo Essencial De Sândalo Amyris 10ml Puro Para Aromaterapia</t>
  </si>
  <si>
    <t>Perfume Masculino Amadeirado Frutal 100ml</t>
  </si>
  <si>
    <t>Descrição repetida em outros anúncios com título diferente (verificar se é boilerplate ou erro): Mesma descrição usada em 9 anúncios com títulos diferentes</t>
  </si>
  <si>
    <t>MLB3732137461</t>
  </si>
  <si>
    <t>Óleo Essencial Laranja Amarga 60ml Essência Do Brasil Aromaterapia</t>
  </si>
  <si>
    <t>MLB3761074571</t>
  </si>
  <si>
    <t>MLB3259705321</t>
  </si>
  <si>
    <t>Título com mais de 60 caracteres: Título com 66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</si>
  <si>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MLB1490261824</t>
  </si>
  <si>
    <t>Colar Prata 925 Cadeado Granada Triângulo - P. Vecchio Joias</t>
  </si>
  <si>
    <t>Kit 2 Perfumes Masculinos Amadeirado 100ml + Doce 100ml</t>
  </si>
  <si>
    <t>MLB3745613718</t>
  </si>
  <si>
    <t>Pingente Prata 950 Granada Polida Legítima - Peça Exclusiva</t>
  </si>
  <si>
    <t>Leo Essencial Tomilho Branco 10ml Roll On - Puro E Natural</t>
  </si>
  <si>
    <t>MLB3786402499</t>
  </si>
  <si>
    <t>MLB3761087291</t>
  </si>
  <si>
    <t>MLB1499757306</t>
  </si>
  <si>
    <t>Óleo Essencial Melaleuca Chinesa 20ml Orgânico Natural Puro</t>
  </si>
  <si>
    <t>Colar Prata 925 Cadeado Ametista Coração - P. Vecchio Joias</t>
  </si>
  <si>
    <t>Presente Para Ela: Perfume Natural Feminino Alfazema 100ml</t>
  </si>
  <si>
    <t>Documento de Notificação/Comunicação prévia na Anvisa não preenchido; Gênero cadastrado diverge do gênero indicado no título</t>
  </si>
  <si>
    <t>MLB3259717437</t>
  </si>
  <si>
    <t>Documento de Notificação/Comunicação prévia na Anvisa não preenchido: Número de Notificação/Comunicação prévia na Anvisa não preenchido | Gênero cadastrado diverge do gênero indicado no título: Título indica um gênero mas campo Gênero está "Masculino" - risco do cliente comprar errado</t>
  </si>
  <si>
    <t>MLB3786415329</t>
  </si>
  <si>
    <t>Pingente Prata 950 Esmeralda Gota - Legítima Ponte Vecchio</t>
  </si>
  <si>
    <t>Óleo Essencial Alecrim Da Tunísia 20ml Orgânico Natural Puro</t>
  </si>
  <si>
    <t>MLB3761087295</t>
  </si>
  <si>
    <t>MLB1499757473</t>
  </si>
  <si>
    <t>Colar Prata 925 Cadeado Esmeralda Medalha - P. Vecchio Joias</t>
  </si>
  <si>
    <t>MLB3786415331</t>
  </si>
  <si>
    <t>Perfume Feminino Baunilha 100ml + Perfume De Bolso 10ml</t>
  </si>
  <si>
    <t>Óleo Essencial Mandarina Verde 10ml Orgânico, Natural E Puro</t>
  </si>
  <si>
    <t>MLB3259717463</t>
  </si>
  <si>
    <t>Pingente Prata 950 Drusa Ametista Legítima P. Vecchio Joias</t>
  </si>
  <si>
    <t>MLB3786427461</t>
  </si>
  <si>
    <t>MLB3761087301</t>
  </si>
  <si>
    <t>Óleo Essencial Mandarina Verde 20ml Orgânico, Natural E Puro</t>
  </si>
  <si>
    <t>MLB1499760481</t>
  </si>
  <si>
    <t>Colar Prata 925 Cadeado Quartzo Verde Coração Ponte Vecchio</t>
  </si>
  <si>
    <t>Perfume Feminino Rosa Branca 100ml + Perfume De Bolso 10ml</t>
  </si>
  <si>
    <t>Código universal do produto (GTIN) não preenchido (texto de exemplo do ML ainda lá); Documento de Notificação/Comunicação prévia na Anvisa não preenchido; Valor incomum em campo que deveria ser curto/categórico (dado errado colado)</t>
  </si>
  <si>
    <t>MLB3259717467</t>
  </si>
  <si>
    <t>MLB3786440315</t>
  </si>
  <si>
    <t>Código universal do produto (GTIN) não preenchido (texto de exemplo do ML ainda lá): Texto de exemplo do template não foi substituído pelo código real | Valor incomum em campo que deveria ser curto/categórico (dado errado colado): Valor incomum/muito longo para o campo "VERSION" (padrão da coluna é curto/categórico; parece dado errado colado aqui) | Documento de Notificação/Comunicação prévia na Anvisa não preenchido: Número de Notificação/Comunicação prévia na Anvisa não preenchido</t>
  </si>
  <si>
    <t>Óleo Essencial Alecrim Da Tunísia 30ml Orgânico Natural Puro</t>
  </si>
  <si>
    <t>Pingente Prata 950 Água Marinha Polida Legítima - P. Vecchio</t>
  </si>
  <si>
    <t>MLB3761100189</t>
  </si>
  <si>
    <t>MLB1499760619</t>
  </si>
  <si>
    <t>Colar Prata 925 Cadeado Selenita Esfera - P. Vecchio Joias</t>
  </si>
  <si>
    <t>MLB3786453007</t>
  </si>
  <si>
    <t>Óleo Essencial Melaleuca Chinesa 10ml Orgânico Natural Puro</t>
  </si>
  <si>
    <t>Perfume Saudável Masculino Patchouli Puro 100ml - Natural</t>
  </si>
  <si>
    <t>MLB3786453015</t>
  </si>
  <si>
    <t>MLB3259717469</t>
  </si>
  <si>
    <t>MLB3761100191</t>
  </si>
  <si>
    <t>Óleo Essencial Gerânio Bourbon 10ml Orgânico, Natural E Puro</t>
  </si>
  <si>
    <t>Colar Prata 925 Cadeado Opala Rosa Bruta - P. Vecchio Joias</t>
  </si>
  <si>
    <t>Pingente Prata 950 Esmeralda Oval - Legítima Ponte Vecchio</t>
  </si>
  <si>
    <t>MLB1499767607</t>
  </si>
  <si>
    <t>Presente Para Namorado: Perfume Patchouli Puro 100ml</t>
  </si>
  <si>
    <t>MLB3786466049</t>
  </si>
  <si>
    <t>Óleo Essencial Alecrim Da Tunísia 10ml Orgânico Natural Puro</t>
  </si>
  <si>
    <t>MLB3761100193</t>
  </si>
  <si>
    <t>Colar Prata 925 Cadeado Opala Rosa Polida - P. Vecchio Joias</t>
  </si>
  <si>
    <t>MLB1517805075</t>
  </si>
  <si>
    <t>MLB3787503777</t>
  </si>
  <si>
    <t>Perfume Masculino Patchouli Puro 50ml - Com Óleo Essencial</t>
  </si>
  <si>
    <t>MLB3259717473</t>
  </si>
  <si>
    <t>Pingente Banhado Ouro 18k Ponto Luz Infinito - P. Vecchio</t>
  </si>
  <si>
    <t>MLB3761100207</t>
  </si>
  <si>
    <t>Colar Prata 925 Cadeado Quartzo Rosa Redondo - Ponte Vecchio</t>
  </si>
  <si>
    <t>MLB3787544675</t>
  </si>
  <si>
    <t>MLB1519592602</t>
  </si>
  <si>
    <t>Descrição repetida em outros anúncios com título diferente (verificar se é boilerplate ou erro): Mesma descrição usada em 6 anúncios com títulos diferentes</t>
  </si>
  <si>
    <t>Perfume Floral Volcan Damour 100ml - Feminino</t>
  </si>
  <si>
    <t>MLB3259717475</t>
  </si>
  <si>
    <t>Pingente Banhado Ouro 18k Coração Cravejado - P. Vecchio</t>
  </si>
  <si>
    <t>MLB3761112569</t>
  </si>
  <si>
    <t>MLB3792715423</t>
  </si>
  <si>
    <t>Colar Prata 925 Cadeado Quartzo Rosa Figa - P. Vecchio Joias</t>
  </si>
  <si>
    <t>Óleo Essencial Mandarina Verde 30ml Orgânico, Natural E Puro</t>
  </si>
  <si>
    <t>MLB1519596429</t>
  </si>
  <si>
    <t>Perfume Floral Floral Rose Absolue 100ml - Feminino</t>
  </si>
  <si>
    <t>MLB3795113541</t>
  </si>
  <si>
    <t>MLB3259717493</t>
  </si>
  <si>
    <t>MLB3761112571</t>
  </si>
  <si>
    <t>Kit Óleos Essenciais Cedro Da Virgínia E Lemongrass Essencia Brasil 10ml</t>
  </si>
  <si>
    <t>Pingente Prata 950 Quartzo Aura Bruto Legítima - P. Vecchio</t>
  </si>
  <si>
    <t>Colar Prata 925 Cadeado Água-marinha Medalha - Ponte Vecchio</t>
  </si>
  <si>
    <t>Título com mais de 60 caracteres: Título com 72 caracteres (limite ML=60) | Marca cadastrada incorreta/inconsistente: Marca "Essencia Brasil" difere da marca própria esperada "Essência do Brasil"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</si>
  <si>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MLB1519596488</t>
  </si>
  <si>
    <t>MLB3797765217</t>
  </si>
  <si>
    <t>Perfume Floral Floral Rose De Rouge 100ml - Feminino</t>
  </si>
  <si>
    <t>MLB3259717499</t>
  </si>
  <si>
    <t>MLB3761112577</t>
  </si>
  <si>
    <t>Colar Prata 925 Cadeado Quartzo Verde Bruto P. Vecchio Joias</t>
  </si>
  <si>
    <t>Pingente Prata 950 Quarto Rosa Oval Legítima - P. Vecchio</t>
  </si>
  <si>
    <t>MLB3797796691</t>
  </si>
  <si>
    <t>MLB3802476740</t>
  </si>
  <si>
    <t>MLB1521304693</t>
  </si>
  <si>
    <t>MLB3259717621</t>
  </si>
  <si>
    <t>Óleo Essencial Menta Spicata 10ml Roll On - Puro E Natural</t>
  </si>
  <si>
    <t>MLB3761112587</t>
  </si>
  <si>
    <t>Perfume Masculino Natural Madeira Nobre 10ml</t>
  </si>
  <si>
    <t>Pingente Prata 950 Lápis Lazuli Coração Legítima P. Vecchio</t>
  </si>
  <si>
    <t>Colar Prata 925 Cadeado Quartzo Rosa Polido P. Vecchio Joias</t>
  </si>
  <si>
    <t>MLB3809595249</t>
  </si>
  <si>
    <t>Kit Óleo Essencial Limão Siciliano + Pronto Uso Roll On 10ml</t>
  </si>
  <si>
    <t>MLB3299012225</t>
  </si>
  <si>
    <t>MLB1677144379</t>
  </si>
  <si>
    <t>MLB3761125587</t>
  </si>
  <si>
    <t>Colar Em Couro Grego E Prata Citrino Polído - P. Vecchio</t>
  </si>
  <si>
    <t>MLB3809595251</t>
  </si>
  <si>
    <t>Colar Prata 925 Cadeado Granada Oval - Ponte Vecchio Joias</t>
  </si>
  <si>
    <t>Perfume Feminino Petitgrain 100ml - Feito Com Óleo Essencial</t>
  </si>
  <si>
    <t>Kit Óleo Essencial Acalmar + Pronto P/ Uso Roll On 10ml</t>
  </si>
  <si>
    <t>Marca cadastrada incorreta/inconsistente: Marca "Essencial" difere da marca própria esperada "Essência do Brasil"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</si>
  <si>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MLB3809595255</t>
  </si>
  <si>
    <t>Kit Óleo Essencial Zimbro + Pronto P/ Uso Roll On 10ml</t>
  </si>
  <si>
    <t>MLB3299012227</t>
  </si>
  <si>
    <t>MLB3761138049</t>
  </si>
  <si>
    <t>MLB1677144386</t>
  </si>
  <si>
    <t>Pingente Prata + Ouro Ametista Clássica Sofisticada Natural</t>
  </si>
  <si>
    <t>Colar Prata 925 Cadeado Olho De Tigre Coração Ponte Vecchio</t>
  </si>
  <si>
    <t>Perfume Feminino Lilás 100ml - Feito Com Óleo Essencial</t>
  </si>
  <si>
    <t>MLB3809595257</t>
  </si>
  <si>
    <t>Kit Óleo Essencial Laranja Doce + Pronto P/ Uso Roll On 10ml</t>
  </si>
  <si>
    <t>Marca cadastrada incorreta/inconsistente: Marca "Essencial" difere da marca própria esperada "Essência do Brasil"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</si>
  <si>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MLB3316626038</t>
  </si>
  <si>
    <t>MLB3761138059</t>
  </si>
  <si>
    <t>MLB3809595259</t>
  </si>
  <si>
    <t>Pingente Prata 950 Granada Polida - Legítima Ponte Vecchio</t>
  </si>
  <si>
    <t>Kit Óleo Essencial Cedro Virgínia + Pronto Uso Roll On 10ml</t>
  </si>
  <si>
    <t>MLB1677144455</t>
  </si>
  <si>
    <t>Colar Prata 925 Cadeado Quartzo Verde Gota P. Vecchio Joias</t>
  </si>
  <si>
    <t>Perfume Feminino Aloés 100ml - Feito Com Óleo Essencial</t>
  </si>
  <si>
    <t>MLB3809595261</t>
  </si>
  <si>
    <t>Kit Óleo Essencial Orégano + Pronto P/ Uso Roll On 10ml</t>
  </si>
  <si>
    <t>MLB3316626074</t>
  </si>
  <si>
    <t>MLB1677144459</t>
  </si>
  <si>
    <t>MLB3809595263</t>
  </si>
  <si>
    <t>Pingente Prata 950 Cornalina Original - Ponte Vecchio Joias</t>
  </si>
  <si>
    <t>Perfume Feminino Lima-limão 100ml - Feito Com Óleo Essencial</t>
  </si>
  <si>
    <t>Kit Óleo Essencial Louro + Pronto P/ Uso Roll On 10ml</t>
  </si>
  <si>
    <t>MLB3761150721</t>
  </si>
  <si>
    <t>Colar Prata 925 Cadeado Sodalita Bruta - Ponte Vecchio Joias</t>
  </si>
  <si>
    <t>MLB3809607501</t>
  </si>
  <si>
    <t>Kit Óleo Essencial Euc. Citriodora + Pronto Uso Roll On 10ml</t>
  </si>
  <si>
    <t>MLB3316626102</t>
  </si>
  <si>
    <t>MLB1677144498</t>
  </si>
  <si>
    <t>Pingente Banhado Ouro 18k Nossa Senhora Aparecida Vazado</t>
  </si>
  <si>
    <t>Perfume Masculino Patchouli 100ml - Feito Com Óleo Essencial</t>
  </si>
  <si>
    <t>MLB3809607503</t>
  </si>
  <si>
    <t>MLB3761150723</t>
  </si>
  <si>
    <t>Kit Óleo Essencial Respirar + Pronto P/ Uso Roll On 10ml</t>
  </si>
  <si>
    <t>Descrição repetida em outros anúncios com título diferente (verificar se é boilerplate ou erro): Mesma descrição usada em 2 anúncios com títulos diferentes | Ano de lançamento preenchido (deveria ficar em branco): Ano de lançamento preenchido ("2023") - regra do negócio é deixar em branco | Documento de Notificação/Comunicação prévia na Anvisa não preenchido: Número de Notificação/Comunicação prévia na Anvisa não preenchido</t>
  </si>
  <si>
    <t>Colar Prata 925 Cadeado Pirita Drusa - Ponte Vecchio Joias</t>
  </si>
  <si>
    <t>MLB3316626110</t>
  </si>
  <si>
    <t>MLB3809607505</t>
  </si>
  <si>
    <t>MLB1677144715</t>
  </si>
  <si>
    <t>Kit Óleo Essencial Hortelã Pimenta + Pronto Uso Roll On 10ml</t>
  </si>
  <si>
    <t>Pingente Prata 950 Esmeralda Bruta Legítima Ponte Vecchio</t>
  </si>
  <si>
    <t>Perfume Feminino Palmarosa 100ml - Feito Com Óleo Essencial</t>
  </si>
  <si>
    <t>MLB3761150729</t>
  </si>
  <si>
    <t>MLB3809607507</t>
  </si>
  <si>
    <t>Colar Prata 925 Cadeado Turquesa Bruta - Ponte Vecchio Joias</t>
  </si>
  <si>
    <t>Kit Óleo Essencial Cravo Botão + Pronto P/ Uso Roll On 10ml</t>
  </si>
  <si>
    <t>MLB3316634366</t>
  </si>
  <si>
    <t>MLB1677144736</t>
  </si>
  <si>
    <t>Pingente Prata 950 Drusa Pirita Legítima - Ponte Vecchio</t>
  </si>
  <si>
    <t>Perfume Feminino Verbena 100ml - Feito Com Óleo Essencial</t>
  </si>
  <si>
    <t>MLB3809607509</t>
  </si>
  <si>
    <t>MLB3761150731</t>
  </si>
  <si>
    <t>Kit Óleo Essencial Alecrim + Pronto P/ Uso Roll On 10ml</t>
  </si>
  <si>
    <t>Colar Prata 925 Cadeado Ametista Gota - Ponte Vecchio Joias</t>
  </si>
  <si>
    <t>MLB3316634388</t>
  </si>
  <si>
    <t>MLB3809607511</t>
  </si>
  <si>
    <t>Pingente Prata 950 Citrino Redondo Legítima - Ponte Vecchio</t>
  </si>
  <si>
    <t>MLB1677146044</t>
  </si>
  <si>
    <t>Kit Óleo Essencial Patchouli + Pronto P/ Uso Roll On 10ml</t>
  </si>
  <si>
    <t>Perfume Masculino Noz Moscada 100ml - Com Óleo Essencial</t>
  </si>
  <si>
    <t>MLB3761150735</t>
  </si>
  <si>
    <t>Colar Prata 925 Cadeado Água-marinha Triângulo - P. Vecchio</t>
  </si>
  <si>
    <t>MLB3809619751</t>
  </si>
  <si>
    <t>Kit Óleo Essencial Lemongrass + Pronto P/ Uso Roll On 10ml</t>
  </si>
  <si>
    <t>MLB3316634420</t>
  </si>
  <si>
    <t>Pingente Prata 950 Drusa Citrino Legítima - Ponte Vecchio</t>
  </si>
  <si>
    <t>MLB1677146045</t>
  </si>
  <si>
    <t>Perfume Masculino Capim Limão 100ml - Com Óleo Essencial</t>
  </si>
  <si>
    <t>MLB3809619753</t>
  </si>
  <si>
    <t>MLB3761163827</t>
  </si>
  <si>
    <t>Kit Óleo Essencial Artemísia + Pronto P/ Uso Roll On 10ml</t>
  </si>
  <si>
    <t>Colar Prata 925 Cadeado Ametista Triângulo - Ponte Vecchio</t>
  </si>
  <si>
    <t>MLB3316634430</t>
  </si>
  <si>
    <t>MLB3809619755</t>
  </si>
  <si>
    <t>Pingente Banhado Ouro 18k Coruja Cravejada - P. Vecchio</t>
  </si>
  <si>
    <t>Kit Óleo Essencial Tomilho + Pronto P/ Uso Roll On 10ml</t>
  </si>
  <si>
    <t>MLB1677146046</t>
  </si>
  <si>
    <t>MLB3761163833</t>
  </si>
  <si>
    <t>Perfume Masculino Manjericão 100ml - Com Óleo Essencial</t>
  </si>
  <si>
    <t>Colar Prata 925 Cadeado Quartzo Rosa Coração - Ponte Vecchio</t>
  </si>
  <si>
    <t>MLB3809619759</t>
  </si>
  <si>
    <t>MLB3316634432</t>
  </si>
  <si>
    <t>Kit Óleo Essencial Cânfora Branca + Pronto Uso Roll On 10ml</t>
  </si>
  <si>
    <t>Pingente Prata 950 Lápis Lazuli Polida Legítima - P. Vecchio</t>
  </si>
  <si>
    <t>MLB1677146049</t>
  </si>
  <si>
    <t>MLB3761163837</t>
  </si>
  <si>
    <t>MLB3809619761</t>
  </si>
  <si>
    <t>Perfume Feminino Flor De Maçã 100ml - Com Óleo Essencial</t>
  </si>
  <si>
    <t>Kit Óleo Essencial Funcho Doce + Pronto P/ Uso Roll On 10ml</t>
  </si>
  <si>
    <t>Colar Prata 925 Cadeado Selenita Retangular P. Vecchio Joias</t>
  </si>
  <si>
    <t>MLB3316634450</t>
  </si>
  <si>
    <t>Pingente Prata 950 + Ouro 18k Ametista Gota Com Lapidação</t>
  </si>
  <si>
    <t>MLB3809631821</t>
  </si>
  <si>
    <t>Kit Óleo Essencial Cravo Folha + Pronto P/ Uso Roll On 10ml</t>
  </si>
  <si>
    <t>MLB1677146050</t>
  </si>
  <si>
    <t>MLB3761176069</t>
  </si>
  <si>
    <t>Perfume Masculino Amadeirado 100ml - Com Óleo Essencial</t>
  </si>
  <si>
    <t>Colar Prata 925 Cadeado Quartzo Rosa Bruto P. Vecchio Joias</t>
  </si>
  <si>
    <t>MLB3809631823</t>
  </si>
  <si>
    <t>Kit Óleo Essencial Citronela + Pronto P/ Uso Roll On 10ml</t>
  </si>
  <si>
    <t>MLB3316634458</t>
  </si>
  <si>
    <t>Pingente Banhado Ouro 18k Ponto Luz Retangular - Original</t>
  </si>
  <si>
    <t>MLB3809631825</t>
  </si>
  <si>
    <t>MLB1677146051</t>
  </si>
  <si>
    <t>MLB3761176071</t>
  </si>
  <si>
    <t>Kit Óleo Essencial Litsea Cubeba + Pronto Uso Roll On 10ml</t>
  </si>
  <si>
    <t>Perfume Masculino Capim Cheiroso 100ml - Com Óleo Essencial</t>
  </si>
  <si>
    <t>Colar Prata 925 Cadeado Quartzo Fumê Polido P. Vecchio Joias</t>
  </si>
  <si>
    <t>MLB3809631827</t>
  </si>
  <si>
    <t>MLB3316634468</t>
  </si>
  <si>
    <t>Kit Óleo Essencial Ho Wood + Pronto P/ Uso Roll On 10ml</t>
  </si>
  <si>
    <t>Pingente Prata 950 Ametista Triângulo Legítima - P. Vecchio</t>
  </si>
  <si>
    <t>MLB3761176073</t>
  </si>
  <si>
    <t>MLB1677146059</t>
  </si>
  <si>
    <t>MLB3809631829</t>
  </si>
  <si>
    <t>Colar Prata 925 Cadeado Água-marinha Coração P Vecchio Joias</t>
  </si>
  <si>
    <t>Perfume Feminino Lavanda Inglesa 100ml - Com Óleo Essencial</t>
  </si>
  <si>
    <t>Kit Óleo Essencial Euc Staigeriana + Pronto Uso Roll On 10ml</t>
  </si>
  <si>
    <t>Código universal do produto (GTIN) não preenchido (texto de exemplo do ML ainda lá); Descrição repetida em outros anúncios com título diferente (verificar se é boilerplate ou erro); Documento de Notificação/Comunicação prévia na Anvisa não preenchido; Marca cadastrada incorreta/inconsistente</t>
  </si>
  <si>
    <t>MLB3316647584</t>
  </si>
  <si>
    <t>Descrição repetida em outros anúncios com título diferente (verificar se é boilerplate ou erro): Mesma descrição usada em 2 anúncios com títulos diferentes | Marca cadastrada incorreta/inconsistente: Marca "Essencial" difere da marca própria esperada "Essência do Brasil"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</si>
  <si>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Pingente Prata 950 Cornalina - Legítima Ponte Vecchio Joias</t>
  </si>
  <si>
    <t>MLB3809644377</t>
  </si>
  <si>
    <t>MLB3761176085</t>
  </si>
  <si>
    <t>Kit Óleo Essencial Laranja Amarga + Pronto Uso Roll On 10ml</t>
  </si>
  <si>
    <t>Colar Prata 925 Cadeado Esmeralda Oval - Ponte Vecchio Joias</t>
  </si>
  <si>
    <t>MLB1677146061</t>
  </si>
  <si>
    <t>Perfume Feminino Camomila Suave 100ml - Com Óleo Essencial</t>
  </si>
  <si>
    <t>MLB3316647598</t>
  </si>
  <si>
    <t>MLB3809644379</t>
  </si>
  <si>
    <t>Kit Óleo Essencial Ylang Ylang + Pronto P/ Uso Roll On 10ml</t>
  </si>
  <si>
    <t>Pingente Prata 950 Citrino Oval Legítimo - P. Vecchio Joias</t>
  </si>
  <si>
    <t>MLB3761176089</t>
  </si>
  <si>
    <t>Colar Prata 925 Cadeado Sodalita Oval - Ponte Vecchio Joias</t>
  </si>
  <si>
    <t>MLB3809644381</t>
  </si>
  <si>
    <t>MLB1677146064</t>
  </si>
  <si>
    <t>Kit Óleo Essencial Cedro Atlas + Pronto P/ Uso Roll On 10ml</t>
  </si>
  <si>
    <t>MLB3316647604</t>
  </si>
  <si>
    <t>Perfume Feminino Flor Angélica 100ml - Com Óleo Essencial</t>
  </si>
  <si>
    <t>Pingente Banhado Ouro 18k Cor Rubi Cravejado - P. Vecchio</t>
  </si>
  <si>
    <t>MLB3809644383</t>
  </si>
  <si>
    <t>Kit Óleo Essencial Bergamota + Pronto P/ Uso Roll On 10ml</t>
  </si>
  <si>
    <t>MLB3769657459</t>
  </si>
  <si>
    <t>Colar Diamantado Prata 925 Citrino Oval - P. Vecchio Joias</t>
  </si>
  <si>
    <t>MLB1677146065</t>
  </si>
  <si>
    <t>MLB3809644385</t>
  </si>
  <si>
    <t>MLB3316647606</t>
  </si>
  <si>
    <t>Kit Óleo Essencial Pinho + Pronto P/ Uso Roll On 10ml</t>
  </si>
  <si>
    <t>Perfume Masculino Ylang Ylang 100ml - Com Óleo Essencial</t>
  </si>
  <si>
    <t>Pingente Prata 950 Safira Polida Legítima Ponte Vecchio</t>
  </si>
  <si>
    <t>MLB3809657183</t>
  </si>
  <si>
    <t>Kit Óleo Essencial Cipreste + Pronto P/ Uso Roll On 10ml</t>
  </si>
  <si>
    <t>MLB3817260555</t>
  </si>
  <si>
    <t>MLB1677148365</t>
  </si>
  <si>
    <t>MLB3316647632</t>
  </si>
  <si>
    <t>Colar Prata 925 Safira Polida - Natural Legítima P. Vecchio Dourado</t>
  </si>
  <si>
    <t>Perfume Feminino Acácia 100ml - Feito Com Óleo Essencial</t>
  </si>
  <si>
    <t>Pingente Banhado Ouro 18k Nossa Senhora Legítima P. Vecchio</t>
  </si>
  <si>
    <t>MLB3809657185</t>
  </si>
  <si>
    <t>Título com mais de 60 caracteres: Título com 67 caracteres (limite ML=60)</t>
  </si>
  <si>
    <t>Kit Óleo Essencial Lavandim + Pronto P/ Uso Roll On 10ml</t>
  </si>
  <si>
    <t>MLB3817268799</t>
  </si>
  <si>
    <t>MLB3809657187</t>
  </si>
  <si>
    <t>MLB1677148372</t>
  </si>
  <si>
    <t>MLB3316647678</t>
  </si>
  <si>
    <t>Kit Óleo Essencial Basilicão + Pronto P/ Uso Roll On 10ml</t>
  </si>
  <si>
    <t>Colar Prata 925 Diamantado Sodalita Polida - Ponte Vecchio Prateado</t>
  </si>
  <si>
    <t>Pingente Prata 950 Safira Legítima Original - Ponte Vecchio</t>
  </si>
  <si>
    <t>Perfume Masculino Cipreste 100ml - Feito Com Óleo Essencial</t>
  </si>
  <si>
    <t>MLB3809667775</t>
  </si>
  <si>
    <t>Kit Óleo Essencial Tangerina + Pronto P/ Uso Roll On 10ml</t>
  </si>
  <si>
    <t>MLB1677148382</t>
  </si>
  <si>
    <t>MLB3817336583</t>
  </si>
  <si>
    <t>MLB3809667777</t>
  </si>
  <si>
    <t>MLB3316647720</t>
  </si>
  <si>
    <t>Perfume Masculino Canfora 100ml - Feito Com Óleo Essencial</t>
  </si>
  <si>
    <t>Kit Óleo Essencial Alfazema + Pronto P/ Uso Roll On 10ml</t>
  </si>
  <si>
    <t>Colar Diamantado Prata 925 Ametista Drusa Coração Roxo</t>
  </si>
  <si>
    <t>Pingente Prata 950 Lápis Lazuli Legítima Ponte Vecchio Joias</t>
  </si>
  <si>
    <t>MLB3809667779</t>
  </si>
  <si>
    <t>Kit Óleo Essencial Limão Tahiti + Pronto P/ Uso Roll On 10ml</t>
  </si>
  <si>
    <t>MLB1677148406</t>
  </si>
  <si>
    <t>Perfume Feminino Pau Rosa 100ml - Feito Com Óleo Essencial</t>
  </si>
  <si>
    <t>MLB3809667783</t>
  </si>
  <si>
    <t>Kit Óleo Essencial Gengibre + Pronto P/ Uso Roll On 10ml</t>
  </si>
  <si>
    <t>MLB3817377793</t>
  </si>
  <si>
    <t>MLB3316656946</t>
  </si>
  <si>
    <t>MLB3809667789</t>
  </si>
  <si>
    <t>Colar Diamantado Prata 925 Ametista Oval Roxo Profundo</t>
  </si>
  <si>
    <t>Pingente Banhado Ouro 18k Cruz Minimalista Clássica Original</t>
  </si>
  <si>
    <t>MLB1677148736</t>
  </si>
  <si>
    <t>Kit Óleo Essencial Sândalo Amyris + Pronto Uso Roll On 10ml</t>
  </si>
  <si>
    <t>Perfume Feminino Violeta 100ml - Feito Com Óleo Essencial</t>
  </si>
  <si>
    <t>MLB3812550239</t>
  </si>
  <si>
    <t>MLB3827352889</t>
  </si>
  <si>
    <t>MLB3322887083</t>
  </si>
  <si>
    <t>MLB1677149956</t>
  </si>
  <si>
    <t>MLB3814056895</t>
  </si>
  <si>
    <t>Colar Prata + Ouro: Olho De Tigre Elegante Gota Varia Do Dourado Ao Marrom</t>
  </si>
  <si>
    <t>Pingente Prata 950 Jaspe Dálmata Polido Ponte Vecchio Joias</t>
  </si>
  <si>
    <t>Perfume Masculino Lemongrass 100ml - Com Óleo Essencial</t>
  </si>
  <si>
    <t>Kit Óleo Essencial De Tangerina Essência Do Brasil Puro, Para Difusor E Massagem</t>
  </si>
  <si>
    <t>Título com mais de 60 caracteres: Título com 80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</si>
  <si>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Título com mais de 60 caracteres: Título com 74 caracteres (limite ML=60)</t>
  </si>
  <si>
    <t>MLB3814058399</t>
  </si>
  <si>
    <t>Essência Do Brasil Óleo Essencial Cravo Botão + Roll-on 10ml Kit 2 Unid</t>
  </si>
  <si>
    <t>MLB1677149958</t>
  </si>
  <si>
    <t>Título com mais de 60 caracteres: Título com 71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</si>
  <si>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MLB3844128455</t>
  </si>
  <si>
    <t>MLB3322887089</t>
  </si>
  <si>
    <t>Perfume Feminino Flor De Lótus 100ml - Com Óleo Essencial</t>
  </si>
  <si>
    <t>Colar Prata 925 Gota Vazada Com Esmeralda Natural P. Vecchio</t>
  </si>
  <si>
    <t>Pingente Prata 950 Jade Polida - Ponte Vecchio Joias</t>
  </si>
  <si>
    <t>MLB3814081929</t>
  </si>
  <si>
    <t>MLB1677149959</t>
  </si>
  <si>
    <t>Perfume Masculino Cravo Da Índia 100ml - Com Óleo Essencial</t>
  </si>
  <si>
    <t>MLB3817256785</t>
  </si>
  <si>
    <t>Óleo Essencial Eucalipto Staigeriana 60ml Essência Do Brasil Massagem Aromaterapia</t>
  </si>
  <si>
    <t>MLB3844141053</t>
  </si>
  <si>
    <t>Título com mais de 60 caracteres: Título com 82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</si>
  <si>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MLB3322887091</t>
  </si>
  <si>
    <t>Colar Prata 925 Topázio Imperial Oval Natural Verdadeiro</t>
  </si>
  <si>
    <t>MLB3824715040</t>
  </si>
  <si>
    <t>Pingente Prata 950 Incrível Lua Drusa Ametista- P. Vecchio</t>
  </si>
  <si>
    <t>Óleo Essencial Orégano 10ml Roll On - Puro E Natural</t>
  </si>
  <si>
    <t>MLB1677149976</t>
  </si>
  <si>
    <t>Perfume Masculino Grapefruit 100ml - Com Óleo Essencial</t>
  </si>
  <si>
    <t>MLB3824740962</t>
  </si>
  <si>
    <t>Óleo Essencial Copaíba 10ml Roll On - Puro E Natural</t>
  </si>
  <si>
    <t>MLB3844141057</t>
  </si>
  <si>
    <t>MLB3322887093</t>
  </si>
  <si>
    <t>Colar Prata 925 Topázio Imperial Gota Natural Verdadeiro</t>
  </si>
  <si>
    <t>MLB1677151873</t>
  </si>
  <si>
    <t>MLB3865664539</t>
  </si>
  <si>
    <t>Pingente Prata 950 Drusa Ametista Metalizada - Ponte Vecchio</t>
  </si>
  <si>
    <t>Perfume Feminino Baunilha 100ml - Feito Com Óleo Essencial</t>
  </si>
  <si>
    <t>Óleo De Pinho Da Sibéria 10ml Roll On- Com Rosa Mosqueta</t>
  </si>
  <si>
    <t>MLB3885089069</t>
  </si>
  <si>
    <t>Kit De Óleos Essenciais Puros Melaleuca E Eucalipto Para Difusor</t>
  </si>
  <si>
    <t>MLB1677151899</t>
  </si>
  <si>
    <t>MLB3844179387</t>
  </si>
  <si>
    <t>Título com mais de 60 caracteres: Título com 64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</si>
  <si>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MLB3322887109</t>
  </si>
  <si>
    <t>Perfume Feminino Cássia 100ml - Feito Com Óleo Essencial</t>
  </si>
  <si>
    <t>Colar Prata 925 Turmalina Melancia Oval Natural Verdadeira</t>
  </si>
  <si>
    <t>MLB3890322081</t>
  </si>
  <si>
    <t>Pingente Prata 925 Sodalita Semi Lapidada Prata - P. Vecchio</t>
  </si>
  <si>
    <t>Kit 5 Óleos Essenciais Prontos Para Pele Roll On 10ml - Dia</t>
  </si>
  <si>
    <t>MLB1677151920</t>
  </si>
  <si>
    <t>MLB3890334789</t>
  </si>
  <si>
    <t>Kit 7 Óleos Essenciais Prontos Para Pele Roll On 10ml</t>
  </si>
  <si>
    <t>Perfume Feminino Lavanda 100ml - Feito Com Óleo Essencial</t>
  </si>
  <si>
    <t>MLB3844214625</t>
  </si>
  <si>
    <t>MLB3322887117</t>
  </si>
  <si>
    <t>Descrição repetida em outros anúncios com título diferente (verificar se é boilerplate ou erro): Mesma descrição usada em 2 anúncios com títulos diferentes | Marca cadastrada incorreta/inconsistente: Marca "Essencial" difere da marca própria esperada "Essência do Brasil"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</si>
  <si>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Colar Prata 925 Figa De Quartzo Rosa Natural Verdadeiro</t>
  </si>
  <si>
    <t>Pingente Prata 950 Lápis Lazuli Polido - Ponte Vecchio Joias</t>
  </si>
  <si>
    <t>MLB3890372269</t>
  </si>
  <si>
    <t>Kit 4 Óleos Essenciais Prontos Para Pele Roll On 10ml Suave</t>
  </si>
  <si>
    <t>MLB1677151947</t>
  </si>
  <si>
    <t>Perfume Masculino Menta 100ml - Feito Com Óleo Essencial</t>
  </si>
  <si>
    <t>MLB3890372271</t>
  </si>
  <si>
    <t>Kit 4 Óleos Essenciais Prontos Pele Roll On 10ml - Bem-estar</t>
  </si>
  <si>
    <t>MLB3322887119</t>
  </si>
  <si>
    <t>MLB3844226569</t>
  </si>
  <si>
    <t>Pingente Prata 950 Sodalita Bruta - Ponte Vecchio Joias</t>
  </si>
  <si>
    <t>MLB3890385117</t>
  </si>
  <si>
    <t>MLB1677152162</t>
  </si>
  <si>
    <t>Colar Prata 925 Esmeralda Gota Natural Verdadeira P. Vecchio</t>
  </si>
  <si>
    <t>Kit 5 Óleos Essenciais Prontos Para Pele Roll On 10ml Relax</t>
  </si>
  <si>
    <t>Perfume Masculino Cítrico 100ml - Feito Com Óleo Essencial</t>
  </si>
  <si>
    <t>MLB3890410363</t>
  </si>
  <si>
    <t>Kit 4 Óleos Essenciais Prontos P/ Pele Roll On 10ml Energia</t>
  </si>
  <si>
    <t>MLB3844226571</t>
  </si>
  <si>
    <t>MLB3322887125</t>
  </si>
  <si>
    <t>MLB1677152175</t>
  </si>
  <si>
    <t>MLB3890423123</t>
  </si>
  <si>
    <t>Perfume Feminino Mirra 100ml - Feito Com Óleo Essencial</t>
  </si>
  <si>
    <t>Colar Prata 925 Turmalina Melancia Gota Natural Verdadeira</t>
  </si>
  <si>
    <t>Pingente Prata 950 Quartzo Rosa Coração Semi Lapidado</t>
  </si>
  <si>
    <t>Kit 5 Óleos Essenciais Prontos Para Pele Roll On 10ml Noite</t>
  </si>
  <si>
    <t>MLB3908920269</t>
  </si>
  <si>
    <t>MLB1677152198</t>
  </si>
  <si>
    <t>Perfume Feminino Alfazema 100ml - Feito Com Óleo Essencial</t>
  </si>
  <si>
    <t>MLB3322887141</t>
  </si>
  <si>
    <t>MLB3893086095</t>
  </si>
  <si>
    <t>Marca cadastrada incorreta/inconsistente: Marca "Alfazema" difere da marca própria esperada "Essência do Brasil"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</si>
  <si>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MLB3955525045</t>
  </si>
  <si>
    <t>Colar Cruz Cristo Prata Banhado Ouro 18k - Ponte Vecchio Cor Dourado</t>
  </si>
  <si>
    <t>Colar Prata 925 Quartzo Rosa Gota Semi Lapidado Prata</t>
  </si>
  <si>
    <t>Óleos Essenciais Prontos Louro E Noz-moscada Roll On 10ml</t>
  </si>
  <si>
    <t>Título com mais de 60 caracteres: Título com 68 caracteres (limite ML=60)</t>
  </si>
  <si>
    <t>MLB1677152560</t>
  </si>
  <si>
    <t>MLB3955525049</t>
  </si>
  <si>
    <t>Perfume Feminino Erva Doce 100ml - Feito Com Óleo Essencial</t>
  </si>
  <si>
    <t>Óleos Essenciais Prontos Olíbano E Palmarosa Roll On 10ml</t>
  </si>
  <si>
    <t>MLB3893108363</t>
  </si>
  <si>
    <t>MLB3955537805</t>
  </si>
  <si>
    <t>Colar Em Prata 925 Elo Veneziano 45cm Ponto De Luz 4mm Cor Prateado</t>
  </si>
  <si>
    <t>Óleos Essenciais Prontos Eucalipto E Lavandim Roll On 10ml</t>
  </si>
  <si>
    <t>MLB3322887145</t>
  </si>
  <si>
    <t>MLB1677153650</t>
  </si>
  <si>
    <t>Marca cadastrada incorreta/inconsistente; Título com mais de 60 caracteres</t>
  </si>
  <si>
    <t>Pingente Prata 950 Drusa Pirita Coração - P. Vecchio Joias</t>
  </si>
  <si>
    <t>Perfume Feminino Flor De Jasmim 100ml - Com Óleo Essencial</t>
  </si>
  <si>
    <t>Título com mais de 60 caracteres: Título com 67 caracteres (limite ML=60) | Marca cadastrada incorreta/inconsistente: Marca "Ponte Vecchio" difere da marca própria esperada "Ponte Vecchio Joias"</t>
  </si>
  <si>
    <t>MLB3955550329</t>
  </si>
  <si>
    <t>Óleos Essenciais Prontos Acalmar E Lavanda Roll On 10ml</t>
  </si>
  <si>
    <t>MLB3893115591</t>
  </si>
  <si>
    <t>MLB1677153652</t>
  </si>
  <si>
    <t>MLB3955574357</t>
  </si>
  <si>
    <t>Colar Prata 925 Drusa Ametista Coração - Natural Legítima Cor Prateado</t>
  </si>
  <si>
    <t>MLB3322887147</t>
  </si>
  <si>
    <t>Óleos Essenciais Prontos Respirar E Ylang Ylang Roll On 10ml</t>
  </si>
  <si>
    <t>Perfume Masculino Petitgrain 100ml - Com Óleo Essencial</t>
  </si>
  <si>
    <t>Pingente Prata 950 Maçã Ametista Ágata Exclusiva P. Vecchio</t>
  </si>
  <si>
    <t>Título com mais de 60 caracteres: Título com 70 caracteres (limite ML=60) | Anúncio sem descrição: Descrição vazia</t>
  </si>
  <si>
    <t>MLB3967612627</t>
  </si>
  <si>
    <t>MLB3903287021</t>
  </si>
  <si>
    <t>MLB3967624989</t>
  </si>
  <si>
    <t>MLB1677153655</t>
  </si>
  <si>
    <t>MLB3322887151</t>
  </si>
  <si>
    <t>Kit Óleos Essenciais Roll-on De Orégano E Tomilho 10ml  Essência Do Brasil</t>
  </si>
  <si>
    <t>Colar Prata 925 Rubi Natural E Verdadeiro - P. Vecchio Joias</t>
  </si>
  <si>
    <t>Perfume Feminino Erva Cidreira 100ml - Com Óleo Essencial</t>
  </si>
  <si>
    <t>Pingente Prata 925 Sodalita Semi Lapidada Em Prata Gota</t>
  </si>
  <si>
    <t>Título com mais de 60 caracteres: Título com 74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</si>
  <si>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MLB3967648067</t>
  </si>
  <si>
    <t>Kit Óleos Essenciais Roll-on Artemísia Citronela 10ml Essência Do Brasil</t>
  </si>
  <si>
    <t>MLB1677153656</t>
  </si>
  <si>
    <t>MLB3903287023</t>
  </si>
  <si>
    <t>Título com mais de 60 caracteres: Título com 72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</si>
  <si>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MLB3531006878</t>
  </si>
  <si>
    <t>Perfume Masculino Sândalo Plus 100ml - Com Óleo Essencial</t>
  </si>
  <si>
    <t>Colar Prata 925 Água Marinha Em Gota Lapidada Verdadeira</t>
  </si>
  <si>
    <t>MLB3967674941</t>
  </si>
  <si>
    <t>Pingente Em Prata Ametista Clássica Sofisticada P. Vecchio</t>
  </si>
  <si>
    <t>Kit Óleos Essenciais Roll-on De Bergamota E Ylang Ylang, Essência Do Brasil</t>
  </si>
  <si>
    <t>Título com mais de 60 caracteres: Título com 75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</si>
  <si>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MLB3969892952</t>
  </si>
  <si>
    <t>MLB1677153659</t>
  </si>
  <si>
    <t>Perfume Masculino Laranja Amarga 100ml - Com Óleo Essencial</t>
  </si>
  <si>
    <t>MLB3903299615</t>
  </si>
  <si>
    <t>MLB3531006892</t>
  </si>
  <si>
    <t>Colar Prata 925 Ponto De Luz Água Marinha Lapidada Legítima</t>
  </si>
  <si>
    <t>MLB3969892954</t>
  </si>
  <si>
    <t>Colar Em Couro Grego E Prata Quartzo Rosa - P. Vecchio</t>
  </si>
  <si>
    <t>Kit 10 Óleos Essenciais - Amadeirado - Puros E Naturais 10ml</t>
  </si>
  <si>
    <t>MLB1678110187</t>
  </si>
  <si>
    <t>MLB3978101720</t>
  </si>
  <si>
    <t>Perfume Especiado Com Óleo Essencial De Noz Moscada - 100ml</t>
  </si>
  <si>
    <t>Kit 5 Óleos Essênciais Roll On - Meditação - Pronto P/ Uso</t>
  </si>
  <si>
    <t>MLB3903312239</t>
  </si>
  <si>
    <t>MLB3531006918</t>
  </si>
  <si>
    <t>MLB3978101722</t>
  </si>
  <si>
    <t>Colar Prata 925 Ametista Gota Semi Lapidada Verdadeira</t>
  </si>
  <si>
    <t>Pingente Prata + Ouro Ametista Clássica Elegante P. Vecchio</t>
  </si>
  <si>
    <t>Kit 8 Óleos Roll On Best-sellers Aromaterapia Pronto P/ Uso</t>
  </si>
  <si>
    <t>MLB1678110188</t>
  </si>
  <si>
    <t>Perfume Herbal Com Óleo Essencial De Capim Limão - 100ml</t>
  </si>
  <si>
    <t>MLB3978114312</t>
  </si>
  <si>
    <t>Kit 3 Óleos Roll On - Energia Refrescante - Pronto P/ Uso</t>
  </si>
  <si>
    <t>MLB3903344637</t>
  </si>
  <si>
    <t>MLB3531019626</t>
  </si>
  <si>
    <t>Colar Prata 925 Quartzo Rosa Pirâmide Natural E Verdadeiro</t>
  </si>
  <si>
    <t>MLB1678110190</t>
  </si>
  <si>
    <t>Pingente Prata + Ouro Turmalina Rosa - Original P Vecchio</t>
  </si>
  <si>
    <t>MLB3978114318</t>
  </si>
  <si>
    <t>Perfume Herbal Com Óleo Essencial De Capim Cheiroso - 100ml</t>
  </si>
  <si>
    <t>Kit 3 Óleos Roll On - Relaxamento Profundo - Pronto P/ Uso</t>
  </si>
  <si>
    <t>MLB3978137894</t>
  </si>
  <si>
    <t>Kit 3 Óleos Essênciais Roll On - Estresse - Pronto P/ Uso</t>
  </si>
  <si>
    <t>MLB3907576767</t>
  </si>
  <si>
    <t>MLB1678110194</t>
  </si>
  <si>
    <t>MLB3531019636</t>
  </si>
  <si>
    <t>Colar Banhado Em Ouro Elo Veneziano - Nossa Senhora Clássica Cor Dourado</t>
  </si>
  <si>
    <t>Perfume Floral Com Óleo Essencial De Ylang Ylang - 100ml</t>
  </si>
  <si>
    <t>MLB3978137896</t>
  </si>
  <si>
    <t>Pingente Prata + Ouro Turmalina Rosa - Original P. Vecchio</t>
  </si>
  <si>
    <t>Kit 5 Óleos Essênciais  Roll On - Revigorante Pronto P/ Uso</t>
  </si>
  <si>
    <t>Título com mais de 60 caracteres: Título com 72 caracteres (limite ML=60) | Marca cadastrada incorreta/inconsistente: Marca "Ponte Vecchio" difere da marca própria esperada "Ponte Vecchio Joias"</t>
  </si>
  <si>
    <t>Descrição repetida em outros anúncios com título diferente (verificar se é boilerplate ou erro): Mesma descrição usada em 2 anúncios com títulos diferentes | Valor incomum em campo que deveria ser curto/categórico (dado errado colado): Valor incomum/muito longo para o campo "MODEL" (padrão da coluna é curto/categórico; parece dado errado colado aqui)</t>
  </si>
  <si>
    <t>MLB3978174986</t>
  </si>
  <si>
    <t>MLB1678110196</t>
  </si>
  <si>
    <t>Kit 5 Óleos Roll On - Conexão Natureza - Pronto P/ Uso</t>
  </si>
  <si>
    <t>MLB3907590811</t>
  </si>
  <si>
    <t>Perfume Floral Com Óleo Essencial De Girassol - 100ml</t>
  </si>
  <si>
    <t>Colar Diamantado Prata 925 Geodo Ágata Bruta - Ponte Vecchio Cor Prateado</t>
  </si>
  <si>
    <t>MLB4006063919</t>
  </si>
  <si>
    <t>MLB3531019654</t>
  </si>
  <si>
    <t>Título com mais de 60 caracteres: Título com 73 caracteres (limite ML=60)</t>
  </si>
  <si>
    <t>Colar Em Couro Grego E Prata Esmeralda - Ponte Vecchio Joias</t>
  </si>
  <si>
    <t>MLB1678110206</t>
  </si>
  <si>
    <t>MLB4015762701</t>
  </si>
  <si>
    <t>Perfume Cítrico Com Óleo Essencial De Laranja Amarga - 100ml</t>
  </si>
  <si>
    <t>Óleo Essencial Basilicão (manjericão) 10 Ml Puro E Natural Da Essência Do Brasil</t>
  </si>
  <si>
    <t>MLB3907623597</t>
  </si>
  <si>
    <t>Título com mais de 60 caracteres: Título com 80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</si>
  <si>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Colar Prata 925 + Ouro 18k Green Gold Natural E Legítima Cor Dourado</t>
  </si>
  <si>
    <t>MLB4035587225</t>
  </si>
  <si>
    <t>MLB3531019666</t>
  </si>
  <si>
    <t>Óleo Essencial De Cedro Da Virgínia Puro E Natural Para Difusor E Massagem Essência Do Brasil 60 Ml</t>
  </si>
  <si>
    <t>Título com mais de 60 caracteres: Título com 99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</si>
  <si>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MLB1678110208</t>
  </si>
  <si>
    <t>Colar Prata 925 + Ouro Citrino Clássico - Original P Vecchio</t>
  </si>
  <si>
    <t>Perfume Amadeirado Com Óleo Essencial De Mirra - 100ml</t>
  </si>
  <si>
    <t>MLB4042790253</t>
  </si>
  <si>
    <t>Óleo Essencial De Canela Puro 100ml Para Aromaterapia E Massagem</t>
  </si>
  <si>
    <t>MLB3907657109</t>
  </si>
  <si>
    <t>Colar Prata 925 + Ouro Ametista Clássica Sofisticada Natural Cor Dourado</t>
  </si>
  <si>
    <t>MLB4042857889</t>
  </si>
  <si>
    <t>MLB3531019700</t>
  </si>
  <si>
    <t>MLB1678110229</t>
  </si>
  <si>
    <t>Kit 6 Essências Aromáticas 10ml Essência Do Brasil Para Aromatizador</t>
  </si>
  <si>
    <t>Pingente Em Prata Ametista Lapidada Incrível Ponte Vecchio</t>
  </si>
  <si>
    <t>Perfume Com Óleo Essencial De Flor De Laranjeira - 100ml</t>
  </si>
  <si>
    <t>Título com mais de 60 caracteres: Título com 68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</si>
  <si>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MLB3960588385</t>
  </si>
  <si>
    <t>MLB4042922299</t>
  </si>
  <si>
    <t>Kit Essência Frescor Natural 4 Aromas 10ml Essência Do Brasil</t>
  </si>
  <si>
    <t>Colar Prata 925 Citrino Hexagonal Semi-lapidado Legítimo</t>
  </si>
  <si>
    <t>MLB1678110239</t>
  </si>
  <si>
    <t>MLB3531032448</t>
  </si>
  <si>
    <t>Perfume Especiado Com Óleo Essencial De Açafrão - 100ml</t>
  </si>
  <si>
    <t>MLB4042932243</t>
  </si>
  <si>
    <t>Pingente Prata + Ouro Citrino Incrível - Original P Vecchio</t>
  </si>
  <si>
    <t>Óleo Essencial De Tangerina 60ml Puro E Natural Para Aromaterapia</t>
  </si>
  <si>
    <t>Título com mais de 60 caracteres: Título com 65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</si>
  <si>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MLB3960596921</t>
  </si>
  <si>
    <t>MLB1678110249</t>
  </si>
  <si>
    <t>MLB4042973723</t>
  </si>
  <si>
    <t>Colar Prata 925 Citrino Obelisco Lapidado Verdadeiro Natural</t>
  </si>
  <si>
    <t>Kit Óleo Essencial Sonhos Cítricos 10ml Essência Do Brasil</t>
  </si>
  <si>
    <t>Perfume Herbal Com Óleo Essencial De Hortelã - 100ml</t>
  </si>
  <si>
    <t>MLB3531032478</t>
  </si>
  <si>
    <t>MLB4085689445</t>
  </si>
  <si>
    <t>Pingente Em Prata Ametista Em Gota - Original Ponte Vecchio</t>
  </si>
  <si>
    <t>Kit Óleo Essencial Tomilho Branco + Óleo Rosa Mosqueta 10ml Essência Do Brasil</t>
  </si>
  <si>
    <t>MLB4042832909</t>
  </si>
  <si>
    <t>MLB1678110258</t>
  </si>
  <si>
    <t>Perfume Especiado Com Óleo Essencial De Canfora - 100ml</t>
  </si>
  <si>
    <t>Colar Ponte Vecchio Joias Com Pedras Naturais De Citrino Amarelo</t>
  </si>
  <si>
    <t>MLB4085689531</t>
  </si>
  <si>
    <t>Essência Do Brasil Kit Óleo Essencial Cedro Atlas + Rosa Mosqueta 10ml</t>
  </si>
  <si>
    <t>Título com mais de 60 caracteres: Título com 64 caracteres (limite ML=60)</t>
  </si>
  <si>
    <t>MLB3531095622</t>
  </si>
  <si>
    <t>Pingente Prata + Ouro Citrino Clássico - Original P Vecchio</t>
  </si>
  <si>
    <t>MLB4087061432</t>
  </si>
  <si>
    <t>MLB1678114402</t>
  </si>
  <si>
    <t>Óleo Essencial De Alecrim Puro Para Difusor E Massagem Essência Do Brasil</t>
  </si>
  <si>
    <t>Perfume Cítrico Com Óleo Essencial De Tangerina - 100ml</t>
  </si>
  <si>
    <t>MLB4042962025</t>
  </si>
  <si>
    <t>Título com mais de 60 caracteres: Título com 73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</si>
  <si>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Colar Prata 925 Ametista Coração Semi Lapidada Prata Prateado</t>
  </si>
  <si>
    <t>MLB4090857055</t>
  </si>
  <si>
    <t>Título com mais de 60 caracteres: Título com 61 caracteres (limite ML=60)</t>
  </si>
  <si>
    <t>MLB3531107270</t>
  </si>
  <si>
    <t>MLB1678114403</t>
  </si>
  <si>
    <t>Colar Em Ouro 18k Citrino - Original Ponte Vecchio Joias</t>
  </si>
  <si>
    <t>MLB4115679157</t>
  </si>
  <si>
    <t>Perfume Herbal Com Óleo Essencial De Manjerona - 100ml</t>
  </si>
  <si>
    <t>MLB4051769421</t>
  </si>
  <si>
    <t>Colar Prata 925 Com Banho Ródio Ametista Drusa Metalizada</t>
  </si>
  <si>
    <t>MLB4116767945</t>
  </si>
  <si>
    <t>MLB1678114413</t>
  </si>
  <si>
    <t>Óleo Essencial Grapefruit Espanha 10ml Orgânico Natural Puro</t>
  </si>
  <si>
    <t>Perfume Especiado Com Óleo Essencial De Cálamo - 100ml</t>
  </si>
  <si>
    <t>MLB3531107286</t>
  </si>
  <si>
    <t>Pingente Prata + Ouro 18k Ametista Delicada P. Vecchio</t>
  </si>
  <si>
    <t>MLB4116767949</t>
  </si>
  <si>
    <t>Óleo Essencial De Yuzu Japão 10ml Aromaterapia Natural Puro</t>
  </si>
  <si>
    <t>MLB4051782201</t>
  </si>
  <si>
    <t>Colar Prata 925 Com Banho Em Ródio Granada Polida Natural</t>
  </si>
  <si>
    <t>MLB1678116366</t>
  </si>
  <si>
    <t>MLB4116780995</t>
  </si>
  <si>
    <t>Óleo Essencial De Cabreúva 10ml Aromaterapia, Natural E Puro</t>
  </si>
  <si>
    <t>Perfume Amadeirado Com Óleo Essencial De Cedro - 100ml</t>
  </si>
  <si>
    <t>MLB3531124266</t>
  </si>
  <si>
    <t>Colar Em Couro Grego E Prata Ametista Elegante - P. Vecchio</t>
  </si>
  <si>
    <t>MLB4116781003</t>
  </si>
  <si>
    <t>MLB4051795235</t>
  </si>
  <si>
    <t>Óleo Essencial De Coriandro 10ml Aromaterapia, Natural, Puro</t>
  </si>
  <si>
    <t>MLB1678116367</t>
  </si>
  <si>
    <t>Colar Prata 925 Com Banho Em Ródio Safira Bruta Natural</t>
  </si>
  <si>
    <t>Perfume Benjoim Com Óleo Essencial De Benjoim - 100ml</t>
  </si>
  <si>
    <t>MLB4119435465</t>
  </si>
  <si>
    <t>MLB3531132050</t>
  </si>
  <si>
    <t>Pingente Prata + Ouro 18k Citrino - Original P Vecchio</t>
  </si>
  <si>
    <t>MLB1678116368</t>
  </si>
  <si>
    <t>MLB4119477077</t>
  </si>
  <si>
    <t>MLB4051807927</t>
  </si>
  <si>
    <t>Perfume Herbal Com Óleo Essencial De Lemongrass - 100ml</t>
  </si>
  <si>
    <t>Colar Prata 925 Com Banho Em Ródio Sodalita Bruta Natural</t>
  </si>
  <si>
    <t>MLB4119495905</t>
  </si>
  <si>
    <t>Óleo Essencial Coriandro 10ml Essência Do Brasil Aromaterapia Difusor</t>
  </si>
  <si>
    <t>MLB3556048467</t>
  </si>
  <si>
    <t>Título com mais de 60 caracteres: Título com 69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</si>
  <si>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MLB1678116369</t>
  </si>
  <si>
    <t>Pingente Prata 925 Opala Rosa Oval Lapidada Ponte Vecchio Cor Prateado</t>
  </si>
  <si>
    <t>Perfume Herbal Com Óleo Essencial De Menta - 100ml</t>
  </si>
  <si>
    <t>MLB4051820769</t>
  </si>
  <si>
    <t>MLB4129012527</t>
  </si>
  <si>
    <t>Título com mais de 60 caracteres: Título com 70 caracteres (limite ML=60)</t>
  </si>
  <si>
    <t>Colar Prata 925 Com Banho Em Ródio Quartzo Rosa Polido</t>
  </si>
  <si>
    <t>MLB4129858627</t>
  </si>
  <si>
    <t>MLB1678116370</t>
  </si>
  <si>
    <t>Kit Óleo Essencial Roll-on Focar Pinho Sibéria 10ml Essência Do Brasil</t>
  </si>
  <si>
    <t>MLB3556048477</t>
  </si>
  <si>
    <t>Perfume Com Óleo Essencial De Cipreste - 100ml</t>
  </si>
  <si>
    <t>Título com mais de 60 caracteres: Título com 70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</si>
  <si>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Pingente Prata 950 Lápis Lazuli Bruto - P. Vecchio Joias Cor Natural</t>
  </si>
  <si>
    <t>MLB4130392195</t>
  </si>
  <si>
    <t>MLB4051846611</t>
  </si>
  <si>
    <t>Kit Óleos Essenciais Roll-on Laranja Amarga E Pimenta Rosa 10ml Essência Do Brasil</t>
  </si>
  <si>
    <t>Colar Prata 925 Com Banho Ródio Quartzo Rosa Bruto Natural</t>
  </si>
  <si>
    <t>MLB1678116371</t>
  </si>
  <si>
    <t>MLB4130401815</t>
  </si>
  <si>
    <t>Perfume Cítrico Com Óleo Essencial - 100ml</t>
  </si>
  <si>
    <t>MLB3559305545</t>
  </si>
  <si>
    <t>MLB4051896951</t>
  </si>
  <si>
    <t>Pingente Prata 925 Obsidiana Negra Gota Lapidada P. Vecchio Cor Prateado</t>
  </si>
  <si>
    <t>MLB4130415301</t>
  </si>
  <si>
    <t>Colar Prata 925 Com Banho Em Ródio Turmalina Negra Bruta</t>
  </si>
  <si>
    <t>MLB1678116377</t>
  </si>
  <si>
    <t>Perfume Cítrico Com Óleo Essencial De Grapefruit - 100ml</t>
  </si>
  <si>
    <t>MLB4130415517</t>
  </si>
  <si>
    <t>Kit Essência Do Brasil Óleos Essenciais Roll-on Aromaterapia 5 Unidades 10ml</t>
  </si>
  <si>
    <t>MLB3559343285</t>
  </si>
  <si>
    <t>MLB4058540743</t>
  </si>
  <si>
    <t>Título com mais de 60 caracteres: Título com 76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</si>
  <si>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Pingente Prata 950 Quartzo Azul Bruto - Ponte Vecchio Joias Cor Natural</t>
  </si>
  <si>
    <t>MLB1678116378</t>
  </si>
  <si>
    <t>Colar Prata 925 Rabo De Rato Cornalina Polida - P. Vecchio Laranja</t>
  </si>
  <si>
    <t>Perfume Amadeirado Com Óleo Essencial - 100ml</t>
  </si>
  <si>
    <t>MLB4131248895</t>
  </si>
  <si>
    <t>Título com mais de 60 caracteres: Título com 71 caracteres (limite ML=60)</t>
  </si>
  <si>
    <t>Kit Óleo Essencial De Anis-estrelado Puro Com Roll-on Para Massagem</t>
  </si>
  <si>
    <t>Título com mais de 60 caracteres: Título com 66 caracteres (limite ML=60) | Anúncio sem descrição: Descrição vazia</t>
  </si>
  <si>
    <t>MLB4161049776</t>
  </si>
  <si>
    <t>Óleo Essencial Pinho Da Sibéria 10ml Roll On -puro E Natural</t>
  </si>
  <si>
    <t>MLB3559356853</t>
  </si>
  <si>
    <t>MLB1678116382</t>
  </si>
  <si>
    <t>MLB4059282347</t>
  </si>
  <si>
    <t>Pingente Banhado Em Ouro Cristal E Onix Naturais - P Vecchio Cor Natural</t>
  </si>
  <si>
    <t>Colar Prata 925 Quartzo Azul Coração - Natural E Legítimo Cor Prateado</t>
  </si>
  <si>
    <t>Perfume Amadeirado Com Óleo Essencial De Patchouli - 100ml</t>
  </si>
  <si>
    <t>MLB4161052538</t>
  </si>
  <si>
    <t>MLB1678116391</t>
  </si>
  <si>
    <t>MLB4161063000</t>
  </si>
  <si>
    <t>MLB3562975637</t>
  </si>
  <si>
    <t>MLB4085751235</t>
  </si>
  <si>
    <t>Perfume Floral Com Óleo Essencial De Junquilho - 100ml</t>
  </si>
  <si>
    <t>Colar Prata 925 Obsidiana Negra Em Gota Lapidada P. Vecchio Cor Prateado</t>
  </si>
  <si>
    <t>Colar Prata 925 Singapura Cianita Bruta - P. Vecchio Joias Azul</t>
  </si>
  <si>
    <t>MLB4161100386</t>
  </si>
  <si>
    <t>MLB1678116392</t>
  </si>
  <si>
    <t>Perfume Herbal Com Óleo Essencial De Eucalipto - 100ml</t>
  </si>
  <si>
    <t>MLB3562976053</t>
  </si>
  <si>
    <t>MLB4188858218</t>
  </si>
  <si>
    <t>MLB4088800653</t>
  </si>
  <si>
    <t>Óleo Essencial De Patchouli Dark 10 Ml - Puro E Natural</t>
  </si>
  <si>
    <t>Colar Prata + Ouro 18k Gota De Quartzo Rosa Natural Cor Dourado</t>
  </si>
  <si>
    <t>Colar Prata 925 Singapura Quartzo Verde Gota - Ponte Vecchio Verde-claro</t>
  </si>
  <si>
    <t>Título com mais de 60 caracteres: Título com 63 caracteres (limite ML=60)</t>
  </si>
  <si>
    <t>MLB4188865540</t>
  </si>
  <si>
    <t>MLB1678116400</t>
  </si>
  <si>
    <t>Óleo Essencial Menta Spicata 10ml - Puro E Natural</t>
  </si>
  <si>
    <t>Perfume Especiado Com Óleo Essencial De Canela - 100ml</t>
  </si>
  <si>
    <t>MLB3562995587</t>
  </si>
  <si>
    <t>MLB4188870312</t>
  </si>
  <si>
    <t>MLB4088812979</t>
  </si>
  <si>
    <t>Pingente Prata 925 Quartzo Rutilado Gota Lapidado P. Vecchio Cor Prateado</t>
  </si>
  <si>
    <t>Colar Prata 925 Cadeado Ametista Coração - P. Vecchio Joias Violeta</t>
  </si>
  <si>
    <t>MLB1678116404</t>
  </si>
  <si>
    <t>Título com mais de 60 caracteres: Título com 67 caracteres (limite ML=60) | Anúncio sem descrição: Descrição vazia</t>
  </si>
  <si>
    <t>Perfume Frutal Com Óleo Essencial De Manga - 100ml</t>
  </si>
  <si>
    <t>MLB4190985342</t>
  </si>
  <si>
    <t>Óleo Essencial Artemísia Marrocos Puro 10ml Essência Do Brasil</t>
  </si>
  <si>
    <t>Título com mais de 60 caracteres: Título com 62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</si>
  <si>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MLB3562996315</t>
  </si>
  <si>
    <t>MLB4088851165</t>
  </si>
  <si>
    <t>Pingente Prata 950 Drusa Ametista Metalizada Em Coração Cor Natural</t>
  </si>
  <si>
    <t>MLB1678116407</t>
  </si>
  <si>
    <t>MLB4191395408</t>
  </si>
  <si>
    <t>Óleo Essencial Pimenta Rosa 60ml - Puro E Natural</t>
  </si>
  <si>
    <t>Perfume Floral Com Óleo Essencial De Petitgrain - 100ml</t>
  </si>
  <si>
    <t>MLB4191406774</t>
  </si>
  <si>
    <t>Kit Com 2 Óleos Essenciais Puros Roll On De Melaleuca E Lavandin 10 Ml</t>
  </si>
  <si>
    <t>MLB3562997315</t>
  </si>
  <si>
    <t>MLB4091890441</t>
  </si>
  <si>
    <t>Título com mais de 60 caracteres: Título com 70 caracteres (limite ML=60) | Descrição repetida em outros anúncios com título diferente (verificar se é boilerplate ou erro): Mesma descrição usada em 2 anúncios com títulos diferentes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</si>
  <si>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MLB1678117528</t>
  </si>
  <si>
    <t>Pingente Banhado Ouro Ametista Metalizada Polida P. Vecchio Cor Natural</t>
  </si>
  <si>
    <t>Perfume Floral Com Óleo Essencial De Gerânio - 100ml</t>
  </si>
  <si>
    <t>Colar Prata 925 Pedra Polida Natural Masculino: Você Escolhe</t>
  </si>
  <si>
    <t>MLB4191581146</t>
  </si>
  <si>
    <t>Óleo Essencial De Copaíba 10ml Essência Do Brasil Anti-inflamatório</t>
  </si>
  <si>
    <t>Campo Marca em branco; Descrição repetida em outros anúncios com título diferente (verificar se é boilerplate ou erro)</t>
  </si>
  <si>
    <t>Descrição repetida em outros anúncios com título diferente (verificar se é boilerplate ou erro): Mesma descrição usada em 2 anúncios com títulos diferentes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</t>
  </si>
  <si>
    <t>Título com mais de 60 caracteres: Título com 67 caracteres (limite ML=60) | Descrição repetida em outros anúncios com título diferente (verificar se é boilerplate ou erro): Mesma descrição usada em 2 anúncios com títulos diferentes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</si>
  <si>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MLB4243548094</t>
  </si>
  <si>
    <t>MLB1678117530</t>
  </si>
  <si>
    <t>Óleo Essencial Alfazema 10ml - Puro</t>
  </si>
  <si>
    <t>MLB3563004389</t>
  </si>
  <si>
    <t>Perfume Doce Com Óleo Essencial De Baunilha - 100ml</t>
  </si>
  <si>
    <t>MLB4098210637</t>
  </si>
  <si>
    <t>Pingente Prata 950 Fluorita Bruta - Ponte Vecchio Joias Cor Natural</t>
  </si>
  <si>
    <t>Campo Marca em branco; Código universal do produto (GTIN) não preenchido (texto de exemplo do ML ainda lá); Descrição repetida em outros anúncios com título diferente (verificar se é boilerplate ou erro); Documento de Notificação/Comunicação prévia na Anvisa não preenchido</t>
  </si>
  <si>
    <t>Colar Prata 925 Ametista Gota Semi Lapidada Verdadeira Cor Prateado</t>
  </si>
  <si>
    <t>Descrição repetida em outros anúncios com título diferente (verificar se é boilerplate ou erro): Mesma descrição usada em 2 anúncios com títulos diferentes | Campo Marca em branco: Marca não preenchida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</si>
  <si>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MLB4243633730</t>
  </si>
  <si>
    <t>Óleo Essencial Pimenta Preta 20ml - Puro E Natural</t>
  </si>
  <si>
    <t>MLB1678117532</t>
  </si>
  <si>
    <t>MLB4261725972</t>
  </si>
  <si>
    <t>Perfume Floral Com Óleo Essencial De Cássia - 100ml</t>
  </si>
  <si>
    <t>Óleo Essencial Zímbro 10ml Roll On - Puro E Natural</t>
  </si>
  <si>
    <t>MLB3563004445</t>
  </si>
  <si>
    <t>MLB4130323357</t>
  </si>
  <si>
    <t>Pingente Prata 950 Hematita Bruta - Ponte Vecchio Joias Cor Natural</t>
  </si>
  <si>
    <t>Colar Prata 925 Pedra Bruta Natural Masculino: Você Escolhe Cor Amazonita</t>
  </si>
  <si>
    <t>MLB4272925004</t>
  </si>
  <si>
    <t>Óleo Essencial De Anis Estrelado Puro E Natural, 30ml</t>
  </si>
  <si>
    <t>MLB1678117533</t>
  </si>
  <si>
    <t>Perfume Floral Com Óleo Essencial De Alfazema - 100ml</t>
  </si>
  <si>
    <t>MLB4272926614</t>
  </si>
  <si>
    <t>MLB3563017591</t>
  </si>
  <si>
    <t>MLB4148907691</t>
  </si>
  <si>
    <t>Pingente Prata 950 Fluorita Em Placa - Ponte Vecchio Joias Cor Natural</t>
  </si>
  <si>
    <t>Colar Prata 925 Pedra Polida Natural Masculino: Você Escolhe Cor Olho De Tigre</t>
  </si>
  <si>
    <t>MLB1678117534</t>
  </si>
  <si>
    <t>MLB4282859967</t>
  </si>
  <si>
    <t>Perfume Floral Com Óleo Essencial De Verbena - 100ml</t>
  </si>
  <si>
    <t>Kit 4 Óleos Essenciais 10ml Essência Do Brasil Eucalipto Lavandin Menta</t>
  </si>
  <si>
    <t>MLB4287549270</t>
  </si>
  <si>
    <t>MLB3563017971</t>
  </si>
  <si>
    <t>Kit Com 2 Óleos Essenciais Puros De Menta Piperita E Alecrim 10ml</t>
  </si>
  <si>
    <t>Título com mais de 60 caracteres: Título com 78 caracteres (limite ML=60) | Anúncio sem descrição: Descrição vazia</t>
  </si>
  <si>
    <t>MLB1678117538</t>
  </si>
  <si>
    <t>Pingente Prata 950 Quartzo Azul Polido - Ponte Vecchio Joias Cor Natural</t>
  </si>
  <si>
    <t>Perfume Floral Com Óleo Essencial De Dama Da Noite - 100ml</t>
  </si>
  <si>
    <t>MLB4287586254</t>
  </si>
  <si>
    <t>Óleo Essencial Copaíba Puro De 30ml Para Aromaterapia E Massagem</t>
  </si>
  <si>
    <t>MLB4148909621</t>
  </si>
  <si>
    <t>Colar Prata 925 Pedra Bruta Natural Masculino: Você Escolhe Cor Howlita</t>
  </si>
  <si>
    <t>MLB4293096702</t>
  </si>
  <si>
    <t>MLB1678117542</t>
  </si>
  <si>
    <t>MLB3580767207</t>
  </si>
  <si>
    <t>Óleo Essencial Bergamota Essência Do Brasil 10ml</t>
  </si>
  <si>
    <t>Título com mais de 60 caracteres: Título com 71 caracteres (limite ML=60) | Anúncio sem descrição: Descrição vazia</t>
  </si>
  <si>
    <t>Perfume Floral Com Óleo Essencial De Anis - 100ml</t>
  </si>
  <si>
    <t>Colar Veneziano 45cm Ouro 18k - Pingente Nossa Senhora Cor Dourado</t>
  </si>
  <si>
    <t>MLB4299941054</t>
  </si>
  <si>
    <t>MLB4148925653</t>
  </si>
  <si>
    <t>MLB1678119661</t>
  </si>
  <si>
    <t>Colar Prata 925 Pedra Bruta Natural Masculino: Você Escolhe Cor Calcita Laranja</t>
  </si>
  <si>
    <t>Perfume Especiado Com Óleo Essencial De Erva Doce - 100ml</t>
  </si>
  <si>
    <t>MLB3580794225</t>
  </si>
  <si>
    <t>MLB4299951706</t>
  </si>
  <si>
    <t>Título com mais de 60 caracteres: Título com 79 caracteres (limite ML=60) | Anúncio sem descrição: Descrição vazia</t>
  </si>
  <si>
    <t>Pingente Prata 950 Drusa Pirita Coração - P. Vecchio Joias Cor Natural</t>
  </si>
  <si>
    <t>MLB4299991322</t>
  </si>
  <si>
    <t>MLB1678119662</t>
  </si>
  <si>
    <t>Óleo Essencial De Menta Piperita Puro Para Aromaterapia 60 Ml</t>
  </si>
  <si>
    <t>MLB4148925881</t>
  </si>
  <si>
    <t>Perfume Cítrico Com Óleo Essencial De Lima-limão - 100ml</t>
  </si>
  <si>
    <t>Colar Prata 925 Pedra Bruta Natural Masculino: Você Escolhe Cor Esmeralda</t>
  </si>
  <si>
    <t>MLB3580794373</t>
  </si>
  <si>
    <t>MLB4315956796</t>
  </si>
  <si>
    <t>Óleo Essencial Olíbano 10ml - Aromaterapia Natural E Puro</t>
  </si>
  <si>
    <t>Pingente Prata 950 Maçã Ametista Pedra Natural Ponte Vecchio</t>
  </si>
  <si>
    <t>MLB1678119664</t>
  </si>
  <si>
    <t>MLB4353903108</t>
  </si>
  <si>
    <t>Perfume Floral Com Óleo Essencial De Rosas Vermelhas - 100ml</t>
  </si>
  <si>
    <t>MLB4150201115</t>
  </si>
  <si>
    <t>Óleo Essencial Benjoim 20ml Essência Do Brasil Aromaterapia</t>
  </si>
  <si>
    <t>MLB3580858577</t>
  </si>
  <si>
    <t>Colar Prata 925 Pedra Bruta Natural Masculino: Você Escolhe Cor Turmalina Rosa</t>
  </si>
  <si>
    <t>Pingente Prata 950 Ametista Coração Semi Lapidada Prata Cor Natural</t>
  </si>
  <si>
    <t>MLB4353924910</t>
  </si>
  <si>
    <t>Óleo Essencial De Noz Moscada Com Rosa Mosqueta - 10ml Roll On</t>
  </si>
  <si>
    <t>MLB1678119665</t>
  </si>
  <si>
    <t>Título com mais de 60 caracteres: Título com 62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</si>
  <si>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Perfume Floral Com Óleo Essencial De Violeta - 100ml</t>
  </si>
  <si>
    <t>MLB4387931007</t>
  </si>
  <si>
    <t>Kit Óleos Essenciais Roll On Essência Do Brasil Super Refrescantes Com 4 De 10ml</t>
  </si>
  <si>
    <t>MLB4166550559</t>
  </si>
  <si>
    <t>MLB3583726791</t>
  </si>
  <si>
    <t>Colar Prata 925 Pedra Polida Natural Masculino: Você Escolhe Cor Ametista</t>
  </si>
  <si>
    <t>Colar Veneziano 45cm Ouro 18k - Pingente Gota Solitária Roxa Cor Dourado</t>
  </si>
  <si>
    <t>MLB1678124202</t>
  </si>
  <si>
    <t>Perfume Floral Com Óleo Essencial De Acácia - 100ml</t>
  </si>
  <si>
    <t>MLB4404254692</t>
  </si>
  <si>
    <t>Kit Com 2 Óleos Essenciais Essencia Brasil: Menta Piperita E Eucalipto Puro Para Difusor E Massagem - 10 Ml</t>
  </si>
  <si>
    <t>Título com mais de 60 caracteres: Título com 107 caracteres (limite ML=60) | Marca cadastrada incorreta/inconsistente: Marca "Essencia Brasil" difere da marca própria esperada "Essência do Brasil"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</si>
  <si>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MLB4404255802</t>
  </si>
  <si>
    <t>MLB3587736273</t>
  </si>
  <si>
    <t>MLB4166563449</t>
  </si>
  <si>
    <t>MLB1678124203</t>
  </si>
  <si>
    <t>Perfume Floral Com Óleo Essencial De Lavanda - 100ml</t>
  </si>
  <si>
    <t>Colar Prata 925 Pedra Polida Natural Masculino: Você Escolhe Cor Granada</t>
  </si>
  <si>
    <t>Colar Cadeado Prata 925 Esmeralda Polida - P. Vecchio Joias</t>
  </si>
  <si>
    <t>MLB4422205438</t>
  </si>
  <si>
    <t>Óleo Essencial Geranio 10 Ml - Puro E Natural</t>
  </si>
  <si>
    <t>MLB1678124210</t>
  </si>
  <si>
    <t>MLB4166610129</t>
  </si>
  <si>
    <t>MLB4445667146</t>
  </si>
  <si>
    <t>MLB3587736519</t>
  </si>
  <si>
    <t>Óleo Essencial Funcho Doce Puro E Natural Essência Do Brasil 20 Ml</t>
  </si>
  <si>
    <t>Colar Prata 925 Pedra Bruta Natural Masculino: Você Escolhe Cor Cristal</t>
  </si>
  <si>
    <t>Colar Cadeado Prata 925 Howlita Bruta - Ponte Vecchio Joias</t>
  </si>
  <si>
    <t>MLB4445679796</t>
  </si>
  <si>
    <t>MLB1678124211</t>
  </si>
  <si>
    <t>Perfume Floral Com Óleo Essencial De Lavanda Inglesa - 100ml</t>
  </si>
  <si>
    <t>MLB3587748061</t>
  </si>
  <si>
    <t>MLB4166710867</t>
  </si>
  <si>
    <t>MLB4445705154</t>
  </si>
  <si>
    <t>Colar Cadeado Prata 925 Howlita Polida - Ponte Vecchio Joias</t>
  </si>
  <si>
    <t>Colar Prata 925 Pedra Bruta Natural Masculino: Você Escolhe Cor Citrino</t>
  </si>
  <si>
    <t>MLB4445705218</t>
  </si>
  <si>
    <t>MLB1678124212</t>
  </si>
  <si>
    <t>Perfume Cítrico Com Óleo Essencial De Laranja Doce - 100ml</t>
  </si>
  <si>
    <t>MLB3587760701</t>
  </si>
  <si>
    <t>MLB4236186190</t>
  </si>
  <si>
    <t>MLB4445729638</t>
  </si>
  <si>
    <t>Colar Cadeado Prata 925 Água Marinha Bruta - Ponte Vecchio</t>
  </si>
  <si>
    <t>Colar Prata 925 Ametista E Jade Brutas Naturais - P. Vecchio</t>
  </si>
  <si>
    <t>MLB1678124214</t>
  </si>
  <si>
    <t>MLB4445910026</t>
  </si>
  <si>
    <t>Kit 3 Óleos Essenciais Lavanda 10ml Orgânico, Natural E Puro</t>
  </si>
  <si>
    <t>MLB3587786699</t>
  </si>
  <si>
    <t>MLB4263460759</t>
  </si>
  <si>
    <t>Colar Cadeado Prata 925 Hematita Polida Ponte Vecchio Joias</t>
  </si>
  <si>
    <t>MLB4445910030</t>
  </si>
  <si>
    <t>MLB1678124216</t>
  </si>
  <si>
    <t>Colar Prata 925 Pedra Bruta Natural Masculino: Você Escolhe Cor Opala Rosa</t>
  </si>
  <si>
    <t>Perfume Herbal Com Óleo Essencial De Sálvia - 100ml</t>
  </si>
  <si>
    <t>MLB4452412540</t>
  </si>
  <si>
    <t>Kit Com 3 Óleos Essenciais De Lavanda Orgânico E Puro De 10ml</t>
  </si>
  <si>
    <t>MLB3587824895</t>
  </si>
  <si>
    <t>Título com mais de 60 caracteres: Título com 61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</si>
  <si>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Colar Cadeado Prata 925 Citrino Polido - Ponte Vecchio Joias</t>
  </si>
  <si>
    <t>MLB4452413456</t>
  </si>
  <si>
    <t>MLB1678124217</t>
  </si>
  <si>
    <t>MLB4263495515</t>
  </si>
  <si>
    <t>Óleo Essencial Cipreste Puro Para Aromaterapia, 60ml Da Essência Do Brasil</t>
  </si>
  <si>
    <t>Colar Prata 925 Pedra Bruta Natural Masculino: Você Escolhe Cor Sodalita</t>
  </si>
  <si>
    <t>Perfume Floral Com Óleo Essencial De Rosa Branca - 100ml</t>
  </si>
  <si>
    <t>MLB4464740950</t>
  </si>
  <si>
    <t>MLB3587824907</t>
  </si>
  <si>
    <t>Óleo Essencial Essência Do Brasil Óleo De Cipreste 10ml Roll On- Com Rosa Mosqueta- Pronto Uso Cipreste 10ml</t>
  </si>
  <si>
    <t>Título com mais de 60 caracteres: Título com 108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</si>
  <si>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Colar Cadeado Prata 925 Angelita Polida - P. Vecchio Joias</t>
  </si>
  <si>
    <t>MLB4263524605</t>
  </si>
  <si>
    <t>MLB4476179340</t>
  </si>
  <si>
    <t>MLB1678124218</t>
  </si>
  <si>
    <t>Colar Prata 925 Pedra Bruta Natural Masculino: Você Escolhe Cor Rosa Do Deserto</t>
  </si>
  <si>
    <t>Kit 2 Óleos Essenciais Hortelã Pimenta Alecrim Rollon 10ml Essência Do Brasil</t>
  </si>
  <si>
    <t>Perfume Especiado Com Óleo Essencial De Cravo Flor - 100ml</t>
  </si>
  <si>
    <t>Título com mais de 60 caracteres: Título com 79 caracteres (limite ML=60)</t>
  </si>
  <si>
    <t>MLB3587837639</t>
  </si>
  <si>
    <t>MLB4476180674</t>
  </si>
  <si>
    <t>Colar Cadeado Prata 925 Ametista Bruta - Ponte Vecchio Joias</t>
  </si>
  <si>
    <t>MLB1678124233</t>
  </si>
  <si>
    <t>MLB4265734523</t>
  </si>
  <si>
    <t>Colar Prata 925 Drusa Ametista Natural E Legítima P. Vecchio Cor Prateado</t>
  </si>
  <si>
    <t>Perfume Amadeirado Com Óleo Essencial De Pau Rosa - 100ml</t>
  </si>
  <si>
    <t>MLB4500131529</t>
  </si>
  <si>
    <t>Óleo Essencial Tomilho 100ml - Pronto Para Pele / Massagem</t>
  </si>
  <si>
    <t>MLB3599771725</t>
  </si>
  <si>
    <t>MLB4500131535</t>
  </si>
  <si>
    <t>MLB1773027271</t>
  </si>
  <si>
    <t>Óleo Essencial Wintergreen 100ml Pronto Para Pele / Massagem</t>
  </si>
  <si>
    <t>MLB4293369523</t>
  </si>
  <si>
    <t>Colar Feminino De Prata 925 Com Howlita Bruta E Banho De Ouro 18k Prateado</t>
  </si>
  <si>
    <t>Kit 10 Perfumes Femininos 100ml Revenda - Com Óleo Essencial</t>
  </si>
  <si>
    <t>Colar Prata 925 Citrino Coração Lapidado Verdadeiro Natural</t>
  </si>
  <si>
    <t>Título com mais de 60 caracteres: Título com 74 caracteres (limite ML=60) | Anúncio sem descrição: Descrição vazia</t>
  </si>
  <si>
    <t>MLB4500131539</t>
  </si>
  <si>
    <t>Óleo Essencial Limão Tahiti 100ml - Pronto Pele / Massagem</t>
  </si>
  <si>
    <t>MLB1773030398</t>
  </si>
  <si>
    <t>MLB3608171157</t>
  </si>
  <si>
    <t>MLB4543849624</t>
  </si>
  <si>
    <t>Kit 10 Perfumes Masculinos 100ml Revenda, Com Óleo Essencial</t>
  </si>
  <si>
    <t>Óleo Essencial De Zimbro Junípero 10ml Essência Do Brasil Aromaterapia</t>
  </si>
  <si>
    <t>MLB4315589827</t>
  </si>
  <si>
    <t>Pingentes Pedras Naturais Polidas P. Vecchio - Você Escolhe</t>
  </si>
  <si>
    <t>Campo Marca em branco; Código universal do produto (GTIN) não preenchido (texto de exemplo do ML ainda lá); Valor incomum em campo que deveria ser curto/categórico (dado errado colado)</t>
  </si>
  <si>
    <t>Colar Em Couro Grego Prata 60cm Sodalita Bruta Masculino</t>
  </si>
  <si>
    <t xml:space="preserve">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</t>
  </si>
  <si>
    <t>MLB4612935454</t>
  </si>
  <si>
    <t>Óleo Essencial Sândalo Amyris 60ml - Puro E Natural</t>
  </si>
  <si>
    <t>MLB1778144259</t>
  </si>
  <si>
    <t>Colônia Masculina Light Eucalipto 100ml - Com Óleo Essencial</t>
  </si>
  <si>
    <t>Documento de Notificação/Comunicação prévia na Anvisa não preenchido; Tipo de perfume cadastrado diverge do que está no título/nome</t>
  </si>
  <si>
    <t>MLB3608414001</t>
  </si>
  <si>
    <t>MLB4612946964</t>
  </si>
  <si>
    <t>Tipo de perfume cadastrado diverge do que está no título/nome: Campo "Tipo de perfume" = "Parfum", mas título/nome menciona ['Água de colônia'] | Documento de Notificação/Comunicação prévia na Anvisa não preenchido: Número de Notificação/Comunicação prévia na Anvisa não preenchido</t>
  </si>
  <si>
    <t>MLB4315691117</t>
  </si>
  <si>
    <t>Pingentes Pedras Naturais Brutas P. Vecchio - Você Escolhe</t>
  </si>
  <si>
    <t>Colar Couro Grego Prata 60cm Olho De Tigre Polido Masculino</t>
  </si>
  <si>
    <t>MLB1864849538</t>
  </si>
  <si>
    <t>MLB4633030193</t>
  </si>
  <si>
    <t>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</t>
  </si>
  <si>
    <t>Perfume Patchouli Absolu 100ml - Extrait De Parfum 40% Óleos</t>
  </si>
  <si>
    <t>MLB4315703683</t>
  </si>
  <si>
    <t>MLB4633756631</t>
  </si>
  <si>
    <t>MLB3617743671</t>
  </si>
  <si>
    <t>Óleo Essencial Cipreste 30ml - Pronto Para Pele / Massagem</t>
  </si>
  <si>
    <t>Colar Em Couro Grego Prata 60cm Ametista Polida Masculino</t>
  </si>
  <si>
    <t>MLB1865398165</t>
  </si>
  <si>
    <t>Pingente Prata 950 Quartzo Rosa Coração Semi Lapidado Cor Natural</t>
  </si>
  <si>
    <t>Perfume Dame D'egypte 100ml - Óleos Florais Do Oriente Médio</t>
  </si>
  <si>
    <t>MLB4633756633</t>
  </si>
  <si>
    <t>Título com mais de 60 caracteres: Título com 65 caracteres (limite ML=60) | Anúncio sem descrição: Descrição vazia</t>
  </si>
  <si>
    <t>Óleo Essencial Laranja Amarga 30ml - Pronto Pele / Massagem</t>
  </si>
  <si>
    <t>Valor incomum em campo que deveria ser curto/categórico (dado errado colado): Valor incomum/muito longo para o campo "VERSION" (padrão da coluna é curto/categórico; parece dado errado colado aqui) | Documento de Notificação/Comunicação prévia na Anvisa não preenchido: Número de Notificação/Comunicação prévia na Anvisa não preenchido</t>
  </si>
  <si>
    <t>MLB4633756635</t>
  </si>
  <si>
    <t>MLB1933305108</t>
  </si>
  <si>
    <t>MLB4315703691</t>
  </si>
  <si>
    <t>Óleo Essencial Olíbano 30ml - Pronto Para Pele / Massagem</t>
  </si>
  <si>
    <t>MLB3620374561</t>
  </si>
  <si>
    <t xml:space="preserve">Perfume Feromônios Masculino Eros 100ml - Amadeirado </t>
  </si>
  <si>
    <t>Colar Em Couro Grego Prata 60cm Granada Polida Masculino</t>
  </si>
  <si>
    <t>Pingente Prata 950 Jaspe Dálmata Polido Ponte Vecchio Joias Cor Natural</t>
  </si>
  <si>
    <t>MLB4633756647</t>
  </si>
  <si>
    <t>Óleo Essencial Alfazema 30ml - Pronto Para Pele / Massagem</t>
  </si>
  <si>
    <t>MLB1958067556</t>
  </si>
  <si>
    <t>MLB4315703695</t>
  </si>
  <si>
    <t>Perfume Roll On Dama Da Noite 10ml - Feminino Floral</t>
  </si>
  <si>
    <t>MLB4633756649</t>
  </si>
  <si>
    <t>MLB3620399497</t>
  </si>
  <si>
    <t>Óleo Essencial Pinho Sibéria 30ml - Pronto Pele / Massagem</t>
  </si>
  <si>
    <t>Colar Em Couro Grego Prata 60cm Citrino Polido Masculino</t>
  </si>
  <si>
    <t>Colar Em Ouro 18k Ametista E Citrino Legítimos - P. Vecchio Cor Dourado</t>
  </si>
  <si>
    <t>MLB4633769015</t>
  </si>
  <si>
    <t>Óleo Essencial Sálvia 30ml - Pronto Para Pele / Massagem</t>
  </si>
  <si>
    <t>MLB1987725964</t>
  </si>
  <si>
    <t>Perfume Rosa Amarela Elixir 100ml  Extrait De Parfum Floral</t>
  </si>
  <si>
    <t>MLB4434522704</t>
  </si>
  <si>
    <t>MLB4633769017</t>
  </si>
  <si>
    <t>MLB3620424959</t>
  </si>
  <si>
    <t>Tipo de perfume cadastrado diverge do que está no título/nome: Campo "Tipo de perfume" = "Eau de parfum", mas título/nome menciona ['Parfum', 'Extrait de parfum'] | Documento de Notificação/Comunicação prévia na Anvisa não preenchido: Número de Notificação/Comunicação prévia na Anvisa não preenchido</t>
  </si>
  <si>
    <t>Óleo Essencial Zimbro 30ml - Pronto Para Pele / Massagem</t>
  </si>
  <si>
    <t>Colar Prata 925 Ametista Semi Lapidada Legítima - P. Vecchio Cor Prateado</t>
  </si>
  <si>
    <t>Pingente Prata 950 Pedra Calcita Laranja Natural Marca Ponte Vecchio Joias</t>
  </si>
  <si>
    <t>MLB4633769019</t>
  </si>
  <si>
    <t>MLB1987730299</t>
  </si>
  <si>
    <t>Óleo Essencial Mandarina 30ml - Pronto Para Pele / Massagem</t>
  </si>
  <si>
    <t>Perfume Petitgrain Absolu 100ml - Extrait De Parfum 40% Óleo</t>
  </si>
  <si>
    <t>Código universal do produto (GTIN) não preenchido (texto de exemplo do ML ainda lá); Documento de Notificação/Comunicação prévia na Anvisa não preenchido; Tipo de perfume cadastrado diverge do que está no título/nome</t>
  </si>
  <si>
    <t>Código universal do produto (GTIN) não preenchido (texto de exemplo do ML ainda lá): Texto de exemplo do template não foi substituído pelo código real | Tipo de perfume cadastrado diverge do que está no título/nome: Campo "Tipo de perfume" = "Eau de parfum", mas título/nome menciona ['Parfum', 'Extrait de parfum'] | Documento de Notificação/Comunicação prévia na Anvisa não preenchido: Número de Notificação/Comunicação prévia na Anvisa não preenchido</t>
  </si>
  <si>
    <t>MLB4440810986</t>
  </si>
  <si>
    <t>MLB3624926837</t>
  </si>
  <si>
    <t>MLB4633769021</t>
  </si>
  <si>
    <t>Colar Prata 925 3 Em 1 Aura Mística - Ponte Vecchio Joias Cor Prateado</t>
  </si>
  <si>
    <t>Óleo Essencial Artemísia 30ml - Pronto Para Pele / Massagem</t>
  </si>
  <si>
    <t>Pingente Prata 950 Opala De Fogo - Ponte Vecchio Joias Cor Natural</t>
  </si>
  <si>
    <t>MLB1987730315</t>
  </si>
  <si>
    <t>Perfume Flor De Laranjeira Elixir 100ml  Extrait De Parfum</t>
  </si>
  <si>
    <t>MLB4633769025</t>
  </si>
  <si>
    <t>Óleo Essencial Limão Siciliano 30ml - Pronto Pele / Massagem</t>
  </si>
  <si>
    <t>MLB4441270366</t>
  </si>
  <si>
    <t>MLB3642497223</t>
  </si>
  <si>
    <t>MLB4633769033</t>
  </si>
  <si>
    <t>Colar Diamantado Prata 925 Ametista Oval - P. Vecchio Joias</t>
  </si>
  <si>
    <t>MLB1987730361</t>
  </si>
  <si>
    <t>Óleo Essencial Limão Tahiti 30ml Pronto Para Pele / Massagem</t>
  </si>
  <si>
    <t>Pingente Prata 950 Malaquita - Ponte Vecchio Joias Cor Natural</t>
  </si>
  <si>
    <t>Perfume Cássia Elixir 100ml  Extrait De Parfum 40% Óleos</t>
  </si>
  <si>
    <t>Título com mais de 60 caracteres: Título com 62 caracteres (limite ML=60) | Anúncio sem descrição: Descrição vazia</t>
  </si>
  <si>
    <t>MLB4633769035</t>
  </si>
  <si>
    <t>Óleo Essencial Palmarosa 30ml - Pronto Para Pele / Massagem</t>
  </si>
  <si>
    <t>MLB4441307992</t>
  </si>
  <si>
    <t>MLB1987736166</t>
  </si>
  <si>
    <t>MLB3650326394</t>
  </si>
  <si>
    <t>Colar Diamantado Prata 925 Ametista Polida P. Vecchio Joias</t>
  </si>
  <si>
    <t>Perfume Almíscar Absolu 100ml - Extrait De Parfum 40% Óleos</t>
  </si>
  <si>
    <t>MLB4633769037</t>
  </si>
  <si>
    <t>Pingente Prata 950 Fluorita Bruta - Ponte Vecchio Joias</t>
  </si>
  <si>
    <t>Ano de lançamento preenchido (deveria ficar em branco); Documento de Notificação/Comunicação prévia na Anvisa não preenchido; Tipo de perfume cadastrado diverge do que está no título/nome</t>
  </si>
  <si>
    <t>Óleo Essencial Cravo Botão 30ml Pronto Para Pele / Massagem</t>
  </si>
  <si>
    <t>Tipo de perfume cadastrado diverge do que está no título/nome: Campo "Tipo de perfume" = "Eau de parfum", mas título/nome menciona ['Parfum', 'Extrait de parfum'] | Ano de lançamento preenchido (deveria ficar em branco): Ano de lançamento preenchido ("2005") - regra do negócio é deixar em branco | Documento de Notificação/Comunicação prévia na Anvisa não preenchido: Número de Notificação/Comunicação prévia na Anvisa não preenchido</t>
  </si>
  <si>
    <t>MLB4633769041</t>
  </si>
  <si>
    <t>MLB2026573008</t>
  </si>
  <si>
    <t>Óleo Essencial Bergamota 30ml - Pronto Para Pele / Massagem</t>
  </si>
  <si>
    <t>MLB4441320976</t>
  </si>
  <si>
    <t>Perfume Almíscar Blanche 100ml + Mini Perfume 10ml</t>
  </si>
  <si>
    <t>MLB3650351580</t>
  </si>
  <si>
    <t>Colar Cadeado Prata 925 Ametista Polida P. Vecchio Joias</t>
  </si>
  <si>
    <t>Documento de Notificação/Comunicação prévia na Anvisa não preenchido; País de origem diferente de "Brasil"; Valor incomum em campo que deveria ser curto/categórico (dado errado colado)</t>
  </si>
  <si>
    <t>Pingente Prata 950 Quartzo Azul Polido - Ponte Vecchio Joias</t>
  </si>
  <si>
    <t>MLB4633769055</t>
  </si>
  <si>
    <t>Valor incomum em campo que deveria ser curto/categórico (dado errado colado): Valor incomum/muito longo para o campo "OLFACTORY_FAMILIES" (padrão da coluna é curto/categórico; parece dado errado colado aqui) | País de origem diferente de "Brasil": País de origem = "(vazio)", deveria ser "Brasil" | Documento de Notificação/Comunicação prévia na Anvisa não preenchido: Número de Notificação/Comunicação prévia na Anvisa não preenchido</t>
  </si>
  <si>
    <t>Óleo Essencial Menta Arvensis 30ml - Pronto Pele / Massagem</t>
  </si>
  <si>
    <t>MLB2026592567</t>
  </si>
  <si>
    <t>MLB4633769057</t>
  </si>
  <si>
    <t>Perfume Almíscar Vert 100ml + Mini Perfume 10ml</t>
  </si>
  <si>
    <t>Óleo Essencial Canela 30ml - Pronto Para Pele / Massagem</t>
  </si>
  <si>
    <t>MLB4450421474</t>
  </si>
  <si>
    <t>MLB3650351582</t>
  </si>
  <si>
    <t>Valor incomum em campo que deveria ser curto/categórico (dado errado colado): Valor incomum/muito longo para o campo "OLFACTORY_FAMILIES" (padrão da coluna é curto/categórico; parece dado errado colado aqui) | Documento de Notificação/Comunicação prévia na Anvisa não preenchido: Número de Notificação/Comunicação prévia na Anvisa não preenchido</t>
  </si>
  <si>
    <t>Pingente Prata 950 Ponto De Luz Zircônia Laranja P. Vecchio</t>
  </si>
  <si>
    <t>MLB4633769059</t>
  </si>
  <si>
    <t>Óleo Essencial Tangerina 30ml - Pronto Para Pele / Massagem</t>
  </si>
  <si>
    <t>MLB2027987721</t>
  </si>
  <si>
    <t>Perfume Masculino Patchouli Red 100ml + Mini Perfume 10ml</t>
  </si>
  <si>
    <t>MLB4633769061</t>
  </si>
  <si>
    <t>Óleo Essencial Menta Spicata 30ml - Pronto Pele / Massagem</t>
  </si>
  <si>
    <t>MLB4450421982</t>
  </si>
  <si>
    <t>MLB3650351594</t>
  </si>
  <si>
    <t>Colar Prata + Ouro 18k Ponto De Luz Cintilante - P. Vecchio Cor Dourado</t>
  </si>
  <si>
    <t>Pingente Prata 950 Sodalita Coração - Ponte Vecchio Joias</t>
  </si>
  <si>
    <t>MLB4633780369</t>
  </si>
  <si>
    <t>MLB2028020318</t>
  </si>
  <si>
    <t>Óleo Essencial Cedro Atlas 30ml Pronto Para Pele / Massagem</t>
  </si>
  <si>
    <t>Perfume Masculino Patchouli Green 100ml + Mini Perfume 10ml</t>
  </si>
  <si>
    <t>MLB4633780371</t>
  </si>
  <si>
    <t>MLB4450461210</t>
  </si>
  <si>
    <t>MLB3650351606</t>
  </si>
  <si>
    <t>Óleo Essencial Louro Folhas 30ml Pronto Para Pele / Massagem</t>
  </si>
  <si>
    <t>Pingente Prata 950 Jaspe Oval - Ponte Vecchio Joias</t>
  </si>
  <si>
    <t>Colar Veneziano Ouro 18k Ns Aparecida Com Zircônia P Vecchio Cor Dourado</t>
  </si>
  <si>
    <t>MLB2028025980</t>
  </si>
  <si>
    <t>MLB4633780373</t>
  </si>
  <si>
    <t>Óleo Essencial Orégano 30ml - Pronto Para Pele / Massagem</t>
  </si>
  <si>
    <t>Perfume Masculino Patchouli Coffee 100ml + Mini Perfume 10ml</t>
  </si>
  <si>
    <t>MLB3650351608</t>
  </si>
  <si>
    <t>MLB4456230604</t>
  </si>
  <si>
    <t>MLB4633780381</t>
  </si>
  <si>
    <t>Óleo Essencial Noz-moscada 30ml Pronto Para Pele / Massagem</t>
  </si>
  <si>
    <t>Colar Prata 925 Granada Bruta - Ponte Vecchio Joias Cor Prateado</t>
  </si>
  <si>
    <t>Pingente Prata 950 Ponto Luz Zircônia Cor Citrino P. Vecchio</t>
  </si>
  <si>
    <t>MLB2028070873</t>
  </si>
  <si>
    <t>Título com mais de 60 caracteres: Título com 64 caracteres (limite ML=60) | Anúncio sem descrição: Descrição vazia</t>
  </si>
  <si>
    <t>MLB4633780383</t>
  </si>
  <si>
    <t>Perfume Masculino Patchouli Allure 100ml + Mini Perfume 10ml</t>
  </si>
  <si>
    <t>Óleo Essencial Patchouli 30ml - Pronto Para Pele / Massagem</t>
  </si>
  <si>
    <t>Código universal do produto (GTIN) não preenchido (texto de exemplo do ML ainda lá): Texto de exemplo do template não foi substituído pelo código real | Valor incomum em campo que deveria ser curto/categórico (dado errado colado): Valor incomum/muito longo para o campo "LINE" (padrão da coluna é curto/categórico; parece dado errado colado aqui) | Documento de Notificação/Comunicação prévia na Anvisa não preenchido: Número de Notificação/Comunicação prévia na Anvisa não preenchido</t>
  </si>
  <si>
    <t>MLB3650351622</t>
  </si>
  <si>
    <t>MLB4616445276</t>
  </si>
  <si>
    <t>MLB4633780385</t>
  </si>
  <si>
    <t>Pingente Prata 950 Jade Oval - Ponte Vecchio Joias</t>
  </si>
  <si>
    <t>Colar Em Prata 925 Elo Veneziano Ponto De Luz Quadrado 7mm Cor Prateado</t>
  </si>
  <si>
    <t>Óleo Essencial Wintergreen 30ml Pronto Para Pele / Massagem</t>
  </si>
  <si>
    <t>MLB2123364019</t>
  </si>
  <si>
    <t>Perfume Masculino Black Vanille 100ml</t>
  </si>
  <si>
    <t>Título com mais de 60 caracteres: Título com 71 caracteres (limite ML=60) | Anúncio sem descrição: Descrição vazia | Marca cadastrada incorreta/inconsistente: Marca "Ponte Vecchio" difere da marca própria esperada "Ponte Vecchio Joias"</t>
  </si>
  <si>
    <t>MLB4633780387</t>
  </si>
  <si>
    <t>Óleo Essencial Cedro Da Virgínia 30ml Pronto Pele / Massagem</t>
  </si>
  <si>
    <t>MLB3650351650</t>
  </si>
  <si>
    <t>MLB4616445492</t>
  </si>
  <si>
    <t>MLB4633780393</t>
  </si>
  <si>
    <t>MLB2167545227</t>
  </si>
  <si>
    <t>Pingente Prata 950 Água Marinha Em Prata - Ponte Vecchio</t>
  </si>
  <si>
    <t>Colar Em Prata + Ouro Elo Veneziano 45cm Citrino Cor Dourado</t>
  </si>
  <si>
    <t>Óleo Essencial Litsea Cubeba 30ml - Pronto Pele / Massagem</t>
  </si>
  <si>
    <t>Perfume Benjoim 14 - 100ml Vegano E Cruelty Free</t>
  </si>
  <si>
    <t>Anúncio sem descrição; Marca cadastrada incorreta/inconsistente</t>
  </si>
  <si>
    <t>Anúncio sem descrição: Descrição vazia | Marca cadastrada incorreta/inconsistente: Marca "Ponte Vecchio" difere da marca própria esperada "Ponte Vecchio Joias"</t>
  </si>
  <si>
    <t>MLB4633780395</t>
  </si>
  <si>
    <t>Óleo Essencial Sândalo 30ml - Pronto Para Pele / Massagem</t>
  </si>
  <si>
    <t>MLB3650351662</t>
  </si>
  <si>
    <t>MLB4834676174</t>
  </si>
  <si>
    <t>MLB2167545230</t>
  </si>
  <si>
    <t>Pingente Prata 950 Lindo Jaspe Dálmata Polido Ponte Vecchio</t>
  </si>
  <si>
    <t>Colar Prata 925 Singapura Cristal Bruto - P. Vecchio Joias</t>
  </si>
  <si>
    <t>Perfume Canela 16 - 100ml Vegano E Cruelty Free</t>
  </si>
  <si>
    <t>MLB4633780397</t>
  </si>
  <si>
    <t>Óleo Essencial Alecrim 30ml - Pronto Para Pele / Massagem</t>
  </si>
  <si>
    <t>MLB4633780399</t>
  </si>
  <si>
    <t>MLB2167551352</t>
  </si>
  <si>
    <t>Óleo Essencial Hortelã Pimenta 30ml - Pronto Pele / Massagem</t>
  </si>
  <si>
    <t>MLB3650403116</t>
  </si>
  <si>
    <t>MLB4834676182</t>
  </si>
  <si>
    <t>Perfume Ylang Ylang 30 - 100ml Vegano E Cruelty Free</t>
  </si>
  <si>
    <t>Pingente Prata 950 Lápis Lazuli Bruto - P. Vecchio Joias</t>
  </si>
  <si>
    <t>Colar Prata 925 Singapura Ametista Bruta - P. Vecchio Joias</t>
  </si>
  <si>
    <t>MLB4633780401</t>
  </si>
  <si>
    <t>Óleo Essencial Manjerona 30ml - Pronto Para Pele / Massagem</t>
  </si>
  <si>
    <t>MLB2167551355</t>
  </si>
  <si>
    <t>MLB4633780403</t>
  </si>
  <si>
    <t>Perfume Gerânio 20 - 60ml Vegano E Cruelty Free</t>
  </si>
  <si>
    <t>MLB3650403132</t>
  </si>
  <si>
    <t>Óleo Essencial Pimenta Preta 30ml - Pronto Pele / Massagem</t>
  </si>
  <si>
    <t>MLB4834676204</t>
  </si>
  <si>
    <t>Pingente Prata 950 Granada Bruta - Ponte Vecchio Joias</t>
  </si>
  <si>
    <t>Colar Prata 925 Singapura Quartzo Verde Bruto Ponte Vecchio</t>
  </si>
  <si>
    <t>MLB4633780415</t>
  </si>
  <si>
    <t>Óleo Essencial Anis Estrelado 30ml - Pronto Pele / Massagem</t>
  </si>
  <si>
    <t>MLB2167551356</t>
  </si>
  <si>
    <t>Perfume Bergamota 15 - 60ml Vegano E Cruelty Free</t>
  </si>
  <si>
    <t>MLB4633792923</t>
  </si>
  <si>
    <t>MLB3650403134</t>
  </si>
  <si>
    <t>Óleo Essencial Gerânio Do Egito 30ml Pronto Pele / Massagem</t>
  </si>
  <si>
    <t>MLB4834702144</t>
  </si>
  <si>
    <t>Pingente Prata 925 Ametista Coração Semi Lapidada Prata</t>
  </si>
  <si>
    <t>Colar Prata 925 Singapura Esmeralda Gota - P. Vecchio Joias</t>
  </si>
  <si>
    <t>MLB2167551357</t>
  </si>
  <si>
    <t>MLB4633792925</t>
  </si>
  <si>
    <t>Óleo Essencial Tomilho 30ml - Pronto Para Pele / Massagem</t>
  </si>
  <si>
    <t>Perfume Cravo 18 - 60ml Vegano E Cruelty Free</t>
  </si>
  <si>
    <t>MLB3650403136</t>
  </si>
  <si>
    <t>MLB4633792927</t>
  </si>
  <si>
    <t>MLB4834702160</t>
  </si>
  <si>
    <t>Óleo Essencial Euc Staigeriana 30ml - Pronto Pele / Massagem</t>
  </si>
  <si>
    <t>Pingente Prata 950 Figa Quartzo Vermelho - Ponte Vecchio</t>
  </si>
  <si>
    <t>MLB2167551358</t>
  </si>
  <si>
    <t>Colar Prata 925 Singapura Quartzo Rosa Figa P. Vecchio Joias</t>
  </si>
  <si>
    <t>Perfume Petitgrain 25 - 60ml Vegano E Cruelty Free</t>
  </si>
  <si>
    <t>MLB4633792929</t>
  </si>
  <si>
    <t>Óleo Essencial Capim-limão 30ml Pronto Para Pele / Massagem</t>
  </si>
  <si>
    <t>MLB3650403142</t>
  </si>
  <si>
    <t>MLB4633792931</t>
  </si>
  <si>
    <t>MLB2167551360</t>
  </si>
  <si>
    <t>MLB4834714586</t>
  </si>
  <si>
    <t>Óleo Essencial Cravo Folha 30ml Pronto Para Pele / Massagem</t>
  </si>
  <si>
    <t>Pingente Prata 950 Drusa Ametista Com Titânio P. Vecchio</t>
  </si>
  <si>
    <t>Perfume Flor De Laranjeira 19 - 100ml Vegano E Cruelty Free</t>
  </si>
  <si>
    <t>Colar Prata 925 Singapura Citrino Semi Lapidado - P. Vecchio</t>
  </si>
  <si>
    <t>MLB4633792933</t>
  </si>
  <si>
    <t>Óleo Essencial Petitgrain 30ml - Pronto Para Pele / Massagem</t>
  </si>
  <si>
    <t>MLB4633792937</t>
  </si>
  <si>
    <t>Óleo Essencial Melaleuca 30ml - Pronto Para Pele / Massagem</t>
  </si>
  <si>
    <t>MLB2167551361</t>
  </si>
  <si>
    <t>MLB3650403148</t>
  </si>
  <si>
    <t>MLB4633792939</t>
  </si>
  <si>
    <t>Óleo Essencial Pimenta Rosa 30ml Pronto Para Pele / Massagem</t>
  </si>
  <si>
    <t>Perfume Pimenta 26 - 60ml Vegano E Cruelty Free</t>
  </si>
  <si>
    <t>MLB4834714598</t>
  </si>
  <si>
    <t>Pingente Prata 950 Água Marinha Prata Semi Lapidada</t>
  </si>
  <si>
    <t>Anúncio sem descrição; Documento de Notificação/Comunicação prévia na Anvisa não preenchido</t>
  </si>
  <si>
    <t>Colar Prata 925 Singapura Howlita Bruta - P. Vecchio Joias</t>
  </si>
  <si>
    <t>Anúncio sem descrição: Descrição vazia | Documento de Notificação/Comunicação prévia na Anvisa não preenchido: Número de Notificação/Comunicação prévia na Anvisa não preenchido</t>
  </si>
  <si>
    <t>MLB4633792943</t>
  </si>
  <si>
    <t>Óleo Essencial Gengibre 30ml - Pronto Para Pele / Massagem</t>
  </si>
  <si>
    <t>MLB2167557814</t>
  </si>
  <si>
    <t>MLB3650403150</t>
  </si>
  <si>
    <t>Perfume Petitgrain 25 - 100ml Vegano E Cruelty Free</t>
  </si>
  <si>
    <t>MLB4633792945</t>
  </si>
  <si>
    <t>MLB4834726856</t>
  </si>
  <si>
    <t>Óleo Essencial Ylang Ylang 30ml Pronto Para Pele / Massagem</t>
  </si>
  <si>
    <t>Pingente Prata 950 Cristal Oval - Ponte Vecchio Joias</t>
  </si>
  <si>
    <t>Colar Prata 925 Singapura Quartzo Fumê Bruto - Ponte Vecchio</t>
  </si>
  <si>
    <t>MLB4633792947</t>
  </si>
  <si>
    <t>MLB2167557815</t>
  </si>
  <si>
    <t>Óleo Essencial Citronela 30ml - Pronto Para Pele / Massagem</t>
  </si>
  <si>
    <t>Perfume Patchouli 24 - 100ml Vegano E Cruelty Free</t>
  </si>
  <si>
    <t>Descrição repetida em outros anúncios com título diferente (verificar se é boilerplate ou erro); Documento de Notificação/Comunicação prévia na Anvisa não preenchido; Valor incomum em campo que deveria ser curto/categórico (dado errado colado)</t>
  </si>
  <si>
    <t>MLB3650403152</t>
  </si>
  <si>
    <t>Descrição repetida em outros anúncios com título diferente (verificar se é boilerplate ou erro): Mesma descrição usada em 2 anúncios com títulos diferentes | Valor incomum em campo que deveria ser curto/categórico (dado errado colado): Valor incomum/muito longo para o campo "LINE" (padrão da coluna é curto/categórico; parece dado errado colado aqui) | Documento de Notificação/Comunicação prévia na Anvisa não preenchido: Número de Notificação/Comunicação prévia na Anvisa não preenchido</t>
  </si>
  <si>
    <t>MLB4633792949</t>
  </si>
  <si>
    <t>MLB4834726868</t>
  </si>
  <si>
    <t>Pingente Prata 950 Cristal Bruto - Ponte Vecchio Joias</t>
  </si>
  <si>
    <t>Óleo Essencial Cânfora Branca 30ml - Pronto Pele / Massagem</t>
  </si>
  <si>
    <t>Colar Prata 925 Singapura Quartzo Rosa Redondo Ponte Vecchio</t>
  </si>
  <si>
    <t>MLB2167557817</t>
  </si>
  <si>
    <t>MLB4633792951</t>
  </si>
  <si>
    <t>Perfume Bergamota 15 - 100ml Vegano E Cruelty Free</t>
  </si>
  <si>
    <t>Óleo Essencial Lavandim 30ml - Pronto Para Pele / Massagem</t>
  </si>
  <si>
    <t>MLB3650403156</t>
  </si>
  <si>
    <t>MLB4633792953</t>
  </si>
  <si>
    <t>Pingente Prata 950 Drusa Ametista Metalizada Em Coração</t>
  </si>
  <si>
    <t>MLB4834726870</t>
  </si>
  <si>
    <t>Óleo Essencial Euc. Globulus 30ml - Pronto Pele / Massagem</t>
  </si>
  <si>
    <t>MLB2167557818</t>
  </si>
  <si>
    <t>Colar Prata 925 Singapura Selenita Retangular Ponte Vecchio</t>
  </si>
  <si>
    <t>Perfume Cítrico 02 - 100ml Vegano E Cruelty Free</t>
  </si>
  <si>
    <t>MLB4633792957</t>
  </si>
  <si>
    <t>Óleo Essencial Laranja Doce 30ml Pronto Para Pele / Massagem</t>
  </si>
  <si>
    <t>MLB3650403178</t>
  </si>
  <si>
    <t>MLB4633792959</t>
  </si>
  <si>
    <t>MLB2167557819</t>
  </si>
  <si>
    <t>Pingente Prata 950 Quartzo Azul Bruto - Ponte Vecchio Joias</t>
  </si>
  <si>
    <t>Óleo Essencial Ho Wood 30ml - Pronto Para Pele / Massagem</t>
  </si>
  <si>
    <t>Perfume Limão 22 - 100ml Vegano E Cruelty Free</t>
  </si>
  <si>
    <t>MLB4834726872</t>
  </si>
  <si>
    <t>Colar Prata 925 Singapura Olho De Tigre Coração - P. Vecchio</t>
  </si>
  <si>
    <t>MLB4633792961</t>
  </si>
  <si>
    <t>Óleo Essencial Grapefruit 30ml - Pronto Para Pele / Massagem</t>
  </si>
  <si>
    <t>MLB2167564392</t>
  </si>
  <si>
    <t>MLB4633792963</t>
  </si>
  <si>
    <t>Perfume Ylang Ylang 30 - 60ml Vegano E Cruelty Free</t>
  </si>
  <si>
    <t>Óleo Essencial Copaíba 30ml - Pronto Para Pele / Massagem</t>
  </si>
  <si>
    <t>MLB3650403194</t>
  </si>
  <si>
    <t>MLB4834813514</t>
  </si>
  <si>
    <t>Pingente Prata 950 Fluorita Em Placa - Ponte Vecchio Joias</t>
  </si>
  <si>
    <t>Colar Prata 925 Singapura Ametista Triângulo - Ponte Vecchio</t>
  </si>
  <si>
    <t>MLB4633792965</t>
  </si>
  <si>
    <t>Óleo Essencial Basilicão 30ml - Pronto Para Pele / Massagem</t>
  </si>
  <si>
    <t>MLB2167564395</t>
  </si>
  <si>
    <t>Perfume Baunilha 13 - 100ml Vegano E Cruelty Free</t>
  </si>
  <si>
    <t>MLB4674176462</t>
  </si>
  <si>
    <t>Óleo Essencial Lemongrass Puro De Essência Do Brasil Para Difusor E Massagem</t>
  </si>
  <si>
    <t>MLB3650403200</t>
  </si>
  <si>
    <t>MLB4834813526</t>
  </si>
  <si>
    <t>Título com mais de 60 caracteres: Título com 76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</si>
  <si>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Pingente Prata 950 Quartzo Vermelho Polido P. Vecchio Joias</t>
  </si>
  <si>
    <t>Colar Prata 925 Singapura Quartzo Rosa Coração Ponte Vecchio</t>
  </si>
  <si>
    <t>MLB4674176878</t>
  </si>
  <si>
    <t>MLB2167564396</t>
  </si>
  <si>
    <t>Óleo Essencial Melaleuca 100ml Essência Do Brasil Aromaterapia</t>
  </si>
  <si>
    <t>Perfume Anis 12 - 100ml Vegano E Cruelty Free</t>
  </si>
  <si>
    <t>MLB4674201652</t>
  </si>
  <si>
    <t>MLB3665659373</t>
  </si>
  <si>
    <t>Óleo Essencial De Melaleuca Essência Do Brasil 60 Ml Puro Para Difusor E Massagem</t>
  </si>
  <si>
    <t>MLB4834813534</t>
  </si>
  <si>
    <t>Pingente Prata 950 Jade Oval - Ponte Vecchio Joias Cor Natural</t>
  </si>
  <si>
    <t>MLB2167570827</t>
  </si>
  <si>
    <t>Colar Prata 925 Singapura Fluorita Bruta - P. Vecchio Joias</t>
  </si>
  <si>
    <t>Perfume Ho Wood 21 - 60ml Vegano E Cruelty Free</t>
  </si>
  <si>
    <t>MLB4674202448</t>
  </si>
  <si>
    <t>Óleo Essencial Cipreste 100ml - Puro E Natural</t>
  </si>
  <si>
    <t>MLB4674227684</t>
  </si>
  <si>
    <t>MLB3665737401</t>
  </si>
  <si>
    <t>MLB4834813538</t>
  </si>
  <si>
    <t>Óleo Essencial Sândalo Amyris 100 Ml Da Essência Do Brasil Puro Para Difusor</t>
  </si>
  <si>
    <t>MLB2167570828</t>
  </si>
  <si>
    <t>Colar Prata 925 Singapura Sodalita Oval - P. Vecchio Joias</t>
  </si>
  <si>
    <t>Pingente De Ametista Gota Prateado Ponte Vecchio De Prata</t>
  </si>
  <si>
    <t>Perfume Cítrico 02 - 60ml Vegano E Cruelty Free</t>
  </si>
  <si>
    <t>MLB4700115025</t>
  </si>
  <si>
    <t>Óleo Essencial Hortelã Pimenta 10 Ml Puro</t>
  </si>
  <si>
    <t>MLB2167570830</t>
  </si>
  <si>
    <t>MLB4801683579</t>
  </si>
  <si>
    <t>MLB4834813544</t>
  </si>
  <si>
    <t>MLB3673385295</t>
  </si>
  <si>
    <t>Óleo Essencial Palmarosa 10ml - Puro E Natural</t>
  </si>
  <si>
    <t>Perfume Tuberosa 28 - 100ml Vegano E Cruelty Free</t>
  </si>
  <si>
    <t>Pingente Ponto De Luz Cor Rubi - Ponte Vecchio Cor Prateado</t>
  </si>
  <si>
    <t>Colar Prata 925 Singapura Quartzo Rosa Polido Ponte Vecchio</t>
  </si>
  <si>
    <t>MLB4835178083</t>
  </si>
  <si>
    <t>Óleo Essencial Essência Do Brasil Lavandim Grosso Lavanda 10ml - 3 Kits Do 2 Unidades</t>
  </si>
  <si>
    <t>MLB2167577161</t>
  </si>
  <si>
    <t>Perfume Ho Wood 21 - 100ml Vegano E Cruelty Free</t>
  </si>
  <si>
    <t>MLB4878870269</t>
  </si>
  <si>
    <t>MLB3676624389</t>
  </si>
  <si>
    <t>MLB4834813546</t>
  </si>
  <si>
    <t>Óleo Essencial Ho Wood 10ml Essência Do Brasil Aromaterapia Perfumaria</t>
  </si>
  <si>
    <t>Colar Prata 925 Singapura Pirita Bruta - Ponte Vecchio Joias</t>
  </si>
  <si>
    <t>Pingentes Pedras Naturais Polidas P. Vecchio - Você Escolhe Cor Esmeralda - Verde Intenso</t>
  </si>
  <si>
    <t>MLB4921510582</t>
  </si>
  <si>
    <t>MLB2167577162</t>
  </si>
  <si>
    <t>Título com mais de 60 caracteres: Título com 89 caracteres (limite ML=60) | Anúncio sem descrição: Descrição vazia</t>
  </si>
  <si>
    <t>Perfume Floral 03 - 60ml Vegano E Cruelty Free</t>
  </si>
  <si>
    <t>MLB4924466896</t>
  </si>
  <si>
    <t>MLB4834813558</t>
  </si>
  <si>
    <t>MLB3678377255</t>
  </si>
  <si>
    <t>MLB2167577163</t>
  </si>
  <si>
    <t>Pingente Prata 950 Cruz Olho De Tigre - Ponte Vecchio Joias Cor Natural</t>
  </si>
  <si>
    <t>Colar Prata 925 Singapura Quartzo Verde Gota - Ponte Vecchio</t>
  </si>
  <si>
    <t>Perfume Benjoim 14 - 60ml Vegano E Cruelty Free</t>
  </si>
  <si>
    <t>MLB4924912162</t>
  </si>
  <si>
    <t>Óleo Essencial De Melaleuca Puro Para Aromaterapia 20ml  Essência Do Brasil</t>
  </si>
  <si>
    <t>MLB4939224986</t>
  </si>
  <si>
    <t>Óleo Essencial Mandarina Verde 10ml Orgânico Essência Do Brasil</t>
  </si>
  <si>
    <t>MLB2167577165</t>
  </si>
  <si>
    <t>MLB3715697705</t>
  </si>
  <si>
    <t>MLB4834826046</t>
  </si>
  <si>
    <t>Título com mais de 60 caracteres: Título com 63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</si>
  <si>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Perfume Amadeirado 01 - 60ml Vegano E Cruelty Free</t>
  </si>
  <si>
    <t>Pingente Prata 950 Howlita Azul - Ponte Vecchio Joias Cor Natural</t>
  </si>
  <si>
    <t>Colar Prata 925 Singapura Selenita Esfera - P. Vecchio Joias</t>
  </si>
  <si>
    <t>MLB4958826342</t>
  </si>
  <si>
    <t>Óleo Essencial Mandarina Verde 20ml Essência Do Brasil Aromaterapia Orgânico</t>
  </si>
  <si>
    <t>MLB2167577166</t>
  </si>
  <si>
    <t>MLB4962829290</t>
  </si>
  <si>
    <t>MLB4834826048</t>
  </si>
  <si>
    <t>MLB3755341163</t>
  </si>
  <si>
    <t>Perfume Cedro 17 - 60ml Vegano E Cruelty Free</t>
  </si>
  <si>
    <t>Colar Prata 925 Singapura Citrino Gota - Ponte Vecchio Joias</t>
  </si>
  <si>
    <t>Pingente De Pedra Natural Quartzo Rosa Polido Para Mulher Quartzo Rosa - Rosa Claro</t>
  </si>
  <si>
    <t>Título com mais de 60 caracteres: Título com 83 caracteres (limite ML=60) | Anúncio sem descrição: Descrição vazia</t>
  </si>
  <si>
    <t>MLB4983915236</t>
  </si>
  <si>
    <t>Kit Óleo Essencial Lavanda + Pronto P/ Uso Roll On 10ml</t>
  </si>
  <si>
    <t>MLB2167583591</t>
  </si>
  <si>
    <t>Perfume Patchouli 24 - 60ml Vegano E Cruelty Free</t>
  </si>
  <si>
    <t>MLB4983915238</t>
  </si>
  <si>
    <t>MLB4834826052</t>
  </si>
  <si>
    <t>MLB3758265909</t>
  </si>
  <si>
    <t>Kit Óleo Essencial Euc. Globulus + Pronto Uso Roll On 10ml</t>
  </si>
  <si>
    <t>Colar Prata 925 Singapura Água-marinha Triângulo - P Vecchio</t>
  </si>
  <si>
    <t>Colar Prata 925 Singapura Água-marinha Bruta - Ponte Vecchio</t>
  </si>
  <si>
    <t>MLB4983915240</t>
  </si>
  <si>
    <t>MLB2167583593</t>
  </si>
  <si>
    <t>Kit Óleo Essencial Canela + Pronto P/ Uso Roll On 10ml</t>
  </si>
  <si>
    <t>Perfume Limão 22 - 60ml Vegano E Cruelty Free</t>
  </si>
  <si>
    <t>MLB4983915242</t>
  </si>
  <si>
    <t>MLB4834826054</t>
  </si>
  <si>
    <t>MLB3758265925</t>
  </si>
  <si>
    <t>Kit Óleo Essencial Menta Piperita + Pronto Uso Roll On 10ml</t>
  </si>
  <si>
    <t>Colar Prata 925 Singapura Sodalita Bruta - P. Vecchio Joias</t>
  </si>
  <si>
    <t>Colar Prata 925 Singapura Pirita Polida - P. Vecchio Joias</t>
  </si>
  <si>
    <t>MLB2167583594</t>
  </si>
  <si>
    <t>Perfume Canela 16 - 60ml Vegano E Cruelty Free</t>
  </si>
  <si>
    <t>MLB4983915244</t>
  </si>
  <si>
    <t>Kit Óleo Essencial Palmarosa + Pronto P/ Uso Roll On 10ml</t>
  </si>
  <si>
    <t>MLB4983915246</t>
  </si>
  <si>
    <t>MLB4834826062</t>
  </si>
  <si>
    <t>MLB3758276909</t>
  </si>
  <si>
    <t>MLB2167583596</t>
  </si>
  <si>
    <t>Kit Óleo Essen. Lavanda Francesa + Pronto Uso Roll On 10ml</t>
  </si>
  <si>
    <t>Colar Prata 925 Singapura Opala Rosa Bruta - Ponte Vecchio</t>
  </si>
  <si>
    <t>Perfume Almíscar 11 - 100ml Vegano E Cruelty Free</t>
  </si>
  <si>
    <t>Colar Prata 925 Singapura Esmeralda Polida - Ponte Vecchio</t>
  </si>
  <si>
    <t>MLB4983915248</t>
  </si>
  <si>
    <t>Kit Óleo Essencial Gerânio + Pronto P/ Uso Roll On 10ml</t>
  </si>
  <si>
    <t>MLB2167583597</t>
  </si>
  <si>
    <t>MLB3758276921</t>
  </si>
  <si>
    <t>MLB4834837448</t>
  </si>
  <si>
    <t>MLB4983915250</t>
  </si>
  <si>
    <t>Perfume Gerânio 20 - 100ml Vegano E Cruelty Free</t>
  </si>
  <si>
    <t>Kit Óleo Essencial Manjerona + Pronto P/ Uso Roll On 10ml</t>
  </si>
  <si>
    <t>Colar Prata 925 Singapura Hematita Polida - P. Vecchio Joias</t>
  </si>
  <si>
    <t>Colar Prata 925 Singapura Citrino Drusa - P. Vecchio Joias</t>
  </si>
  <si>
    <t>MLB4983927464</t>
  </si>
  <si>
    <t>Kit Óleo Essencial Dormir + Pronto P/ Uso Roll On 10ml</t>
  </si>
  <si>
    <t>MLB2167583598</t>
  </si>
  <si>
    <t>Perfume Baunilha 13 - 60ml Vegano E Cruelty Free</t>
  </si>
  <si>
    <t>MLB4983927466</t>
  </si>
  <si>
    <t>MLB4834837460</t>
  </si>
  <si>
    <t>Kit Óleo Essencial Petitgrain + Pronto P/ Uso Roll On 10ml</t>
  </si>
  <si>
    <t>MLB3758276925</t>
  </si>
  <si>
    <t>Colar Prata 925 Singapura Cristal Striato Coração P. Vecchio</t>
  </si>
  <si>
    <t>MLB2167593850</t>
  </si>
  <si>
    <t>Colar Prata 925 Singapura Ametista Polida P. Vecchio Joias</t>
  </si>
  <si>
    <t>MLB4983927468</t>
  </si>
  <si>
    <t>Kit Óleo Essencial Pinho Sibéria + Pronto Uso Roll On 10ml</t>
  </si>
  <si>
    <t>Perfume Anis 12 - 60ml Vegano E Cruelty Free</t>
  </si>
  <si>
    <t>Descrição repetida em outros anúncios com título diferente (verificar se é boilerplate ou erro): Mesma descrição usada em 2 anúncios com títulos diferentes | Ano de lançamento preenchido (deveria ficar em branco): Ano de lançamento preenchido ("2004") - regra do negócio é deixar em branco | Documento de Notificação/Comunicação prévia na Anvisa não preenchido: Número de Notificação/Comunicação prévia na Anvisa não preenchido</t>
  </si>
  <si>
    <t>MLB4983927476</t>
  </si>
  <si>
    <t>Kit Óleo Essencial Benjoim + Pronto P/ Uso Roll On 10ml</t>
  </si>
  <si>
    <t>MLB4836002108</t>
  </si>
  <si>
    <t>MLB3758276931</t>
  </si>
  <si>
    <t>MLB2167593852</t>
  </si>
  <si>
    <t>Colar Prata 925 Rabo De Rato Olho De Tigre Polido P. Vecchio</t>
  </si>
  <si>
    <t>Perfume Vetiver 29 - 100ml Vegano E Cruelty Free</t>
  </si>
  <si>
    <t>Colar Prata 925 Singapura Quartzo Branco Cruz Ponte Vecchio</t>
  </si>
  <si>
    <t>MLB4983940772</t>
  </si>
  <si>
    <t>Kit Óleo Essencial Olíbano + Pronto P/ Uso Roll On 10ml</t>
  </si>
  <si>
    <t>MLB4983940774</t>
  </si>
  <si>
    <t>MLB4836002154</t>
  </si>
  <si>
    <t>MLB3758289709</t>
  </si>
  <si>
    <t>Kit Óleo Essencial Wintergreen + Pronto P/ Uso Roll On 10ml</t>
  </si>
  <si>
    <t>Colar Prata 925 Rabo De Rato Fluorita Bruta - Ponte Vecchio</t>
  </si>
  <si>
    <t>MLB2167593855</t>
  </si>
  <si>
    <t>Colar Prata 925 Singapura Olho De Tigre Gota - Ponte Vecchio</t>
  </si>
  <si>
    <t>Perfume Almíscar 11 - 60ml Vegano E Cruelty Free</t>
  </si>
  <si>
    <t>MLB4983940778</t>
  </si>
  <si>
    <t>Kit Óleo Essencial Relaxar + Pronto P/ Uso Roll On 10ml</t>
  </si>
  <si>
    <t>MLB4836002162</t>
  </si>
  <si>
    <t>MLB2167593857</t>
  </si>
  <si>
    <t>MLB3758289711</t>
  </si>
  <si>
    <t>MLB4983940780</t>
  </si>
  <si>
    <t>Colar Prata 925 Rabo De Rato Quartzo Rosa Polido P. Vecchio</t>
  </si>
  <si>
    <t>Perfume Cedro 17 - 100ml Vegano E Cruelty Free</t>
  </si>
  <si>
    <t>Kit Óleo Essencial Menta Arvensis + Pronto Uso Roll On 10ml</t>
  </si>
  <si>
    <t>Colar Prata 925 Singapura Hematita Bruta - P. Vecchio Joias</t>
  </si>
  <si>
    <t>MLB4983940784</t>
  </si>
  <si>
    <t>Kit Óleo Essencial Anis-estrelado + Pronto Uso Roll On 10ml</t>
  </si>
  <si>
    <t>MLB2167593859</t>
  </si>
  <si>
    <t>MLB4836002182</t>
  </si>
  <si>
    <t>Perfume Lírio 23 - 100ml Vegano E Cruelty Free</t>
  </si>
  <si>
    <t>MLB3758289715</t>
  </si>
  <si>
    <t>MLB4983940786</t>
  </si>
  <si>
    <t>Kit Óleo Essencial Noz-moscada + Pronto P/ Uso Roll On 10ml</t>
  </si>
  <si>
    <t>Colar Prata 925 Rabo De Rato Pirita Bruta - P. Vecchio Joias</t>
  </si>
  <si>
    <t>Colar Prata 925 Singapura Esmeralda Medalha - Ponte Vecchio</t>
  </si>
  <si>
    <t>MLB4983940788</t>
  </si>
  <si>
    <t>MLB2167600271</t>
  </si>
  <si>
    <t>Kit Óleo Essencial Menta Spicata + Pronto Uso Roll On 10ml</t>
  </si>
  <si>
    <t>Perfume Flor De Laranjeira 19 - 60ml Vegano E Cruelty Free</t>
  </si>
  <si>
    <t>MLB4836002184</t>
  </si>
  <si>
    <t>MLB3758289717</t>
  </si>
  <si>
    <t>MLB4983940790</t>
  </si>
  <si>
    <t>Kit Óleo Essencial Pimenta Rosa + Pronto P/ Uso Roll On 10ml</t>
  </si>
  <si>
    <t>Colar Prata 925 Rabo De Rato Pirita Drusa - P. Vecchio Joias</t>
  </si>
  <si>
    <t>Colar Prata 925 Singapura Água-marinha Medalha - P. Vecchio</t>
  </si>
  <si>
    <t>MLB2167606314</t>
  </si>
  <si>
    <t>MLB4983982830</t>
  </si>
  <si>
    <t>Perfume Rosa 27 - 60ml Vegano E Cruelty Free</t>
  </si>
  <si>
    <t>Kit Óleo Essencial Pimenta Preta + Pronto Uso Roll On 10ml</t>
  </si>
  <si>
    <t>MLB4836014834</t>
  </si>
  <si>
    <t>MLB4983982832</t>
  </si>
  <si>
    <t>Kit Óleo Essencial Mandarina + Pronto P/ Uso Roll On 10ml</t>
  </si>
  <si>
    <t>MLB3759057421</t>
  </si>
  <si>
    <t>Colar Prata 925 Rabo De Rato Howlita Gota - P. Vecchio Joias</t>
  </si>
  <si>
    <t>MLB2167606315</t>
  </si>
  <si>
    <t>Colar Prata 925 Rabo De Rato Turquesa Polida - Ponte Vecchio</t>
  </si>
  <si>
    <t>Perfume Vetiver 29 - 60ml Vegano E Cruelty Free</t>
  </si>
  <si>
    <t>MLB4983982834</t>
  </si>
  <si>
    <t>Kit Óleo Essencial Focar + Pronto P/ Uso Roll On 10ml</t>
  </si>
  <si>
    <t>MLB4836014866</t>
  </si>
  <si>
    <t>Colar Prata 925 Rabo De Rato Citrino Polido - Ponte Vecchio</t>
  </si>
  <si>
    <t>MLB3759057449</t>
  </si>
  <si>
    <t>MLB4983982836</t>
  </si>
  <si>
    <t>Kit Óleo Essencial Copaíba + Pronto P/ Uso Roll On 10ml</t>
  </si>
  <si>
    <t>MLB2167606316</t>
  </si>
  <si>
    <t>Colar Prata 925 Rabo De Rato Howlita Bruta - Ponte Vecchio</t>
  </si>
  <si>
    <t>Perfume Floral 03 - 100ml Vegano E Cruelty Free</t>
  </si>
  <si>
    <t>MLB4983982838</t>
  </si>
  <si>
    <t>MLB4836014878</t>
  </si>
  <si>
    <t>Kit Óleo Essencial Melaleuca + Pronto P/ Uso Roll On 10ml</t>
  </si>
  <si>
    <t>Colar Prata 925 Rabo De Rato Sodalita Oval - Ponte Vecchio</t>
  </si>
  <si>
    <t>MLB3759057469</t>
  </si>
  <si>
    <t>Colar Prata 925 Rabo De Rato Ametista Bruta - Ponte Vecchio</t>
  </si>
  <si>
    <t>MLB2167606317</t>
  </si>
  <si>
    <t>MLB4983982840</t>
  </si>
  <si>
    <t>Kit Óleo Essencial Inspirar + Pronto P/ Uso Roll On 10ml</t>
  </si>
  <si>
    <t>Perfume Amadeirado 01 - 100ml Vegano E Cruelty Free</t>
  </si>
  <si>
    <t>MLB4836014882</t>
  </si>
  <si>
    <t>MLB3761061643</t>
  </si>
  <si>
    <t>Colar Prata 925 Rabo De Rato Ametista Coração Ponte Vecchio</t>
  </si>
  <si>
    <t>MLB4983982842</t>
  </si>
  <si>
    <t>Kit Óleo Essencial Grapefruit + Pronto P/ Uso Roll On 10ml</t>
  </si>
  <si>
    <t>Colar Prata 925 Cadeado Quartzo Rosa Medalha - Ponte Vecchio</t>
  </si>
  <si>
    <t>MLB2167606319</t>
  </si>
  <si>
    <t>MLB4987597928</t>
  </si>
  <si>
    <t>Perfume Lírio 23 - 60ml Vegano E Cruelty Free</t>
  </si>
  <si>
    <t>MLB4836039970</t>
  </si>
  <si>
    <t>Colar Prata 925 Rabo De Rato Quartzo Rosa Coração P. Vecchio</t>
  </si>
  <si>
    <t>MLB3761061649</t>
  </si>
  <si>
    <t>MLB4987648208</t>
  </si>
  <si>
    <t>Colar Prata 925 Cadeado Olho De Tigre Gota - Ponte Vecchio</t>
  </si>
  <si>
    <t>Essência Do Brasil Kit Óleo Essencial Noz-moscada + Roll-on 10ml Aromaterapia</t>
  </si>
  <si>
    <t>MLB2167606320</t>
  </si>
  <si>
    <t>Perfume Cravo 18 - 100ml Vegano E Cruelty Free</t>
  </si>
  <si>
    <t>MLB4987649166</t>
  </si>
  <si>
    <t>MLB4836039990</t>
  </si>
  <si>
    <t>Kit Óleo Essencial Essência Do Brasil Olíbano Com Roll-on Rosa Mosqueta</t>
  </si>
  <si>
    <t>Colar Prata 925 Rabo De Rato Sodalita Bruta - Ponte Vecchio</t>
  </si>
  <si>
    <t>MLB3761074567</t>
  </si>
  <si>
    <t>Colar Prata 925 Cadeado Opala Rosa Gota - P. Vecchio Joias</t>
  </si>
  <si>
    <t>MLB4987662280</t>
  </si>
  <si>
    <t>MLB2167606321</t>
  </si>
  <si>
    <t>Kit Óleo Essencial Limão Siciliano Com Roll-on Para Uso Na Pele</t>
  </si>
  <si>
    <t>Título com mais de 60 caracteres: Título com 63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</si>
  <si>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Perfume Rosa 27 - 100ml Vegano E Cruelty Free</t>
  </si>
  <si>
    <t>MLB4987662974</t>
  </si>
  <si>
    <t>MLB4836040008</t>
  </si>
  <si>
    <t>MLB3761074575</t>
  </si>
  <si>
    <t>Colar Prata 925 Rabo De Rato Quartzo Verde Bruto P. Vecchio</t>
  </si>
  <si>
    <t>MLB2167606322</t>
  </si>
  <si>
    <t>Colar Prata 925 Cadeado Quartzo Fumê Redondo - Ponte Vecchio</t>
  </si>
  <si>
    <t>MLB4987688566</t>
  </si>
  <si>
    <t>Perfume Tuberosa 28 - 60ml Vegano E Cruelty Free</t>
  </si>
  <si>
    <t>MLB4987700918</t>
  </si>
  <si>
    <t>MLB4836040032</t>
  </si>
  <si>
    <t>Essência Do Brasil Kit Óleo Essencial Louro + Roll On Pronto Uso 10ml Para Difusor</t>
  </si>
  <si>
    <t>MLB2185244028</t>
  </si>
  <si>
    <t>Colar Prata 925 Rabo De Rato Quartzo Rosa Figa Ponte Vecchio</t>
  </si>
  <si>
    <t>MLB3761087299</t>
  </si>
  <si>
    <t>Kit Perfume Feminino Patchouli 100ml + Essência De Patchouli</t>
  </si>
  <si>
    <t>MLB4987703380</t>
  </si>
  <si>
    <t>Colar Prata 925 Cadeado Pirita Polida - Ponte Vecchio Joias</t>
  </si>
  <si>
    <t>MLB4987714312</t>
  </si>
  <si>
    <t>MLB4836040044</t>
  </si>
  <si>
    <t>MLB2186758920</t>
  </si>
  <si>
    <t>Kit Óleo Essencial De Citronela Essência Do Brasil Com Roll-on E Puro Para Difusor</t>
  </si>
  <si>
    <t>Colar Prata 925 Rabo De Rato Opala Rosa Polida - P. Vecchio</t>
  </si>
  <si>
    <t>Profumo 950 - Masculino 65ml Almíscar, Rosa, Oud</t>
  </si>
  <si>
    <t>MLB3761100195</t>
  </si>
  <si>
    <t>Descrição repetida em outros anúncios com título diferente (verificar se é boilerplate ou erro): Mesma descrição usada em 12 anúncios com títulos diferentes | Documento de Notificação/Comunicação prévia na Anvisa não preenchido: Número de Notificação/Comunicação prévia na Anvisa não preenchido</t>
  </si>
  <si>
    <t>Colar Prata 925 Cadeado Olho De Tigre Oval - Ponte Vecchio</t>
  </si>
  <si>
    <t>MLB4987740188</t>
  </si>
  <si>
    <t>MLB2186758925</t>
  </si>
  <si>
    <t>MLB4836077762</t>
  </si>
  <si>
    <t>MLB4987790870</t>
  </si>
  <si>
    <t>Profumo 186 - Feminino Âmbar, Ylang-ylang, Flor Laranjeira</t>
  </si>
  <si>
    <t>Essência Do Brasil Kit Óleo Essencial Lavanda Roll-on 10ml Pronto Para Uso</t>
  </si>
  <si>
    <t>Colar Prata 925 Rabo De Rato Esmeralda Oval - Ponte Vecchio</t>
  </si>
  <si>
    <t>MLB3761125573</t>
  </si>
  <si>
    <t>Descrição repetida em outros anúncios com título diferente (verificar se é boilerplate ou erro): Mesma descrição usada em 30 anúncios com títulos diferentes | Documento de Notificação/Comunicação prévia na Anvisa não preenchido: Número de Notificação/Comunicação prévia na Anvisa não preenchido</t>
  </si>
  <si>
    <t>Colar Prata 925 Cadeado Sodalita Polida - P. Vecchio Joias</t>
  </si>
  <si>
    <t>MLB4994537916</t>
  </si>
  <si>
    <t>MLB2186758927</t>
  </si>
  <si>
    <t>Profumo 910 -unissex 65ml Almíscar, Notas Atalcadas, Lavanda</t>
  </si>
  <si>
    <t>MLB4836077772</t>
  </si>
  <si>
    <t>MLB4994538130</t>
  </si>
  <si>
    <t>Colar Prata 925 Rabo De Rato Quartzo Verde Gota - P. Vecchio</t>
  </si>
  <si>
    <t>Kit Óleo Essencial De Grapefruit Essência Do Brasil Com Roll-on 10ml Para Uso</t>
  </si>
  <si>
    <t>MLB3761125581</t>
  </si>
  <si>
    <t>Colar Prata 925 Cadeado Citrino Semi Lapidado - P. Vecchio</t>
  </si>
  <si>
    <t>MLB4994538204</t>
  </si>
  <si>
    <t>MLB2186758930</t>
  </si>
  <si>
    <t>Profumo 198 - Feminino 65ml Jasmim, Almíscar, Baunilha</t>
  </si>
  <si>
    <t>MLB4836077826</t>
  </si>
  <si>
    <t>MLB4994589724</t>
  </si>
  <si>
    <t>Colar Prata 925 Rabo De Rato Citrino Bruto - Ponte Vecchio</t>
  </si>
  <si>
    <t>MLB3761138051</t>
  </si>
  <si>
    <t>MLB2186758932</t>
  </si>
  <si>
    <t>Colar Prata 925 Cadeado Turquesa Polida - P. Vecchio Joias</t>
  </si>
  <si>
    <t>Profumo 266 - Feminino 65ml Frutas Cítricas, Jasmim, Madeira</t>
  </si>
  <si>
    <t>MLB4994591326</t>
  </si>
  <si>
    <t>Kit Óleo Essencial Cipreste 10ml Essência Do Brasil + Roll-on Pronto 10ml</t>
  </si>
  <si>
    <t>MLB4836077830</t>
  </si>
  <si>
    <t>Colar Prata 925 Rabo De Rato Quartzo Rosa Medalha P. Vecchio</t>
  </si>
  <si>
    <t>MLB3761138057</t>
  </si>
  <si>
    <t>MLB2186758935</t>
  </si>
  <si>
    <t>Colar Prata 925 Cadeado Pirita Bruta - Ponte Vecchio Joias</t>
  </si>
  <si>
    <t>Profumo 779 - Masculino 65ml Nota Aquática, Incenso, Alecrim</t>
  </si>
  <si>
    <t>MLB4994602906</t>
  </si>
  <si>
    <t>Kit Óleo Essencial Litsea Cubeba Essência Do Brasil + Roll-on Rosa Mosqueta 10ml</t>
  </si>
  <si>
    <t>Descrição repetida em outros anúncios com título diferente (verificar se é boilerplate ou erro): Mesma descrição usada em 18 anúncios com títulos diferentes | Documento de Notificação/Comunicação prévia na Anvisa não preenchido: Número de Notificação/Comunicação prévia na Anvisa não preenchido</t>
  </si>
  <si>
    <t>MLB4836077840</t>
  </si>
  <si>
    <t>MLB2186758936</t>
  </si>
  <si>
    <t>MLB4994603182</t>
  </si>
  <si>
    <t>Colar Prata 925 Rabo De Rato Esmeralda Gota - Ponte Vecchio</t>
  </si>
  <si>
    <t>MLB3761150717</t>
  </si>
  <si>
    <t>Profumo 182 - Feminino 65ml Neroli, Dama Da Noite, Jacarandá</t>
  </si>
  <si>
    <t>Kit Óleo Essencial Basilicão C/ Roll-on 10ml Essência Do Brasil</t>
  </si>
  <si>
    <t>Colar Prata 925 Cadeado Olho De Tigre Polido - Ponte Vecchio</t>
  </si>
  <si>
    <t>MLB5000508090</t>
  </si>
  <si>
    <t>MLB2186758942</t>
  </si>
  <si>
    <t>MLB4836102792</t>
  </si>
  <si>
    <t>Profumo 166 - Feminino 65ml Sândalo, Jasmim, Abacaxi</t>
  </si>
  <si>
    <t>Colar Prata 925 Rabo De Rato Granada Oval - P. Vecchio Joias</t>
  </si>
  <si>
    <t>MLB3761150719</t>
  </si>
  <si>
    <t>Colar Prata 925 Cadeado Quartzo Branco Polido Ponte Vecchio</t>
  </si>
  <si>
    <t>MLB5078991886</t>
  </si>
  <si>
    <t>Óleo Essencial Eucalipto Essência Do Brasil 10ml Roll On Massagem</t>
  </si>
  <si>
    <t>MLB2186765439</t>
  </si>
  <si>
    <t>Profumo 929 - Masculino 65ml Lírio, Mirra, Madeiras</t>
  </si>
  <si>
    <t>MLB4836102796</t>
  </si>
  <si>
    <t>MLB5098821314</t>
  </si>
  <si>
    <t>Colar Prata 925 Rabo De Rato Cristal Bruto - Ponte Vecchio</t>
  </si>
  <si>
    <t>MLB3761163831</t>
  </si>
  <si>
    <t>Óleo Essencial De Erva Doce 100ml Para Aromaterapia Pura</t>
  </si>
  <si>
    <t>Colar Prata 925 Cadeado Citrino Coração - P. Vecchio Joias</t>
  </si>
  <si>
    <t>MLB2186765440</t>
  </si>
  <si>
    <t>Profumo 125 -feminino 65ml Cítricos, Flor Laranjeira, Jasmim</t>
  </si>
  <si>
    <t>MLB5098923694</t>
  </si>
  <si>
    <t>Kit Óleo Essencial Gerânio E Roll-on Pronto Para Uso 10ml</t>
  </si>
  <si>
    <t>MLB4836102798</t>
  </si>
  <si>
    <t>Colar Prata 925 Rabo De Rato Olho De Tigre Coração P Vecchio</t>
  </si>
  <si>
    <t>MLB3761163847</t>
  </si>
  <si>
    <t>MLB2186765441</t>
  </si>
  <si>
    <t>MLB5120107148</t>
  </si>
  <si>
    <t>Colar Prata 925 Cadeado Quartzo Branco Cruz P. Vecchio Joias</t>
  </si>
  <si>
    <t>Kit Com 6 Essências Para Difusor De Ambientes Palácios E Castelos De 10ml</t>
  </si>
  <si>
    <t>Profumo 718 - Masculino 65ml Pimenta Rosa, Canela, Tabaco</t>
  </si>
  <si>
    <t>MLB4836102826</t>
  </si>
  <si>
    <t>MLB5178691710</t>
  </si>
  <si>
    <t>Colar Prata 925 Rabo De Rato Selenita Esfera - Ponte Vecchio</t>
  </si>
  <si>
    <t>MLB3761176065</t>
  </si>
  <si>
    <t>Óleo Essencial Essência Do Brasil Kit Óleo Essencial Manjerona + Pronto P/ Uso Roll On 10ml Óleo Essencial Manjerona 10ml - 2 Kits Do 2 Unidades</t>
  </si>
  <si>
    <t>MLB2186765442</t>
  </si>
  <si>
    <t>Profumo 750 - Masculino Patchouli, Flor Laranjeira, Almíscar</t>
  </si>
  <si>
    <t>Colar Prata 925 Cadeado Granada Polida - Ponte Vecchio Joias</t>
  </si>
  <si>
    <t>Título com mais de 60 caracteres: Título com 144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</si>
  <si>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Descrição repetida em outros anúncios com título diferente (verificar se é boilerplate ou erro): Mesma descrição usada em 18 anúncios com títulos diferentes | Valor incomum em campo que deveria ser curto/categórico (dado errado colado): Valor incomum/muito longo para o campo "LINE" (padrão da coluna é curto/categórico; parece dado errado colado aqui) | Documento de Notificação/Comunicação prévia na Anvisa não preenchido: Número de Notificação/Comunicação prévia na Anvisa não preenchido</t>
  </si>
  <si>
    <t>MLB5178705276</t>
  </si>
  <si>
    <t>MLB4836102852</t>
  </si>
  <si>
    <t>MLB2186765446</t>
  </si>
  <si>
    <t>Colar Prata 925 Rabo De Rato Granada Bruta - Ponte Vecchio</t>
  </si>
  <si>
    <t>Profumo 687 - Masculino 65ml Âmbar, Cardamomo, Tabaco</t>
  </si>
  <si>
    <t>MLB3761176083</t>
  </si>
  <si>
    <t>MLB5178749504</t>
  </si>
  <si>
    <t>Colar Prata 925 Cadeado Olho De Tigre Bruto - Ponte Vecchio</t>
  </si>
  <si>
    <t>MLB2186765455</t>
  </si>
  <si>
    <t>Profumo 121 - Feminino 65ml Patchouli, Morango, Lírios</t>
  </si>
  <si>
    <t>MLB5178769654</t>
  </si>
  <si>
    <t>MLB3761176093</t>
  </si>
  <si>
    <t>MLB4836102866</t>
  </si>
  <si>
    <t>Colar Prata 925 Cadeado Quartzo Verde Cruz P. Vecchio Joias</t>
  </si>
  <si>
    <t>Descrição repetida em outros anúncios com título diferente (verificar se é boilerplate ou erro): Mesma descrição usada em 30 anúncios com títulos diferentes | Valor incomum em campo que deveria ser curto/categórico (dado errado colado): Valor incomum/muito longo para o campo "LINE" (padrão da coluna é curto/categórico; parece dado errado colado aqui) | Documento de Notificação/Comunicação prévia na Anvisa não preenchido: Número de Notificação/Comunicação prévia na Anvisa não preenchido</t>
  </si>
  <si>
    <t>Colar Prata 925 Rabo De Rato Quartzo Verde Coração P Vecchio</t>
  </si>
  <si>
    <t>MLB2186765457</t>
  </si>
  <si>
    <t>MLB5178787476</t>
  </si>
  <si>
    <t>MLB3789169657</t>
  </si>
  <si>
    <t>Profumo 921 - Unissex 65ml Bergamota, Tangerina, Neroli</t>
  </si>
  <si>
    <t>Kit Óleo Essencial Ylang Ylang Puro Orgânico Com Roll-on Para Massagem</t>
  </si>
  <si>
    <t>Pingente Prata 950 Drusa Citrino Legítima - Ponte Vecchio Cor Prateado</t>
  </si>
  <si>
    <t>MLB4836102886</t>
  </si>
  <si>
    <t>Colar Prata 925 Rabo De Rato Quartzo Fumê Redondo P. Vecchio</t>
  </si>
  <si>
    <t>MLB5196157856</t>
  </si>
  <si>
    <t>Óleo Essencial De Hortelã Pimenta 100ml Puro E Natural Para Difusor E Massagem</t>
  </si>
  <si>
    <t>MLB2186771266</t>
  </si>
  <si>
    <t>MLB3832665057</t>
  </si>
  <si>
    <t>Título com mais de 60 caracteres: Título com 78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</si>
  <si>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Profumo 351 - Feminino 65ml Almíscar, Jasmim, Amora</t>
  </si>
  <si>
    <t>MLB4836137882</t>
  </si>
  <si>
    <t>Colar Em Couro Grego E Prata Esmeralda - Ponte Vecchio Joias Cor Preto</t>
  </si>
  <si>
    <t>Colar Prata 925 Rabo De Rato Ametista Gota - Ponte Vecchio</t>
  </si>
  <si>
    <t>MLB5262468408</t>
  </si>
  <si>
    <t>Óleos Essenciais Prontos Erva Doce, Noz-moscada Roll On 10ml</t>
  </si>
  <si>
    <t>MLB2186771270</t>
  </si>
  <si>
    <t>MLB3844166877</t>
  </si>
  <si>
    <t>Profumo 413 - Feminino 65ml Baunilha, Pêra, Vetiver</t>
  </si>
  <si>
    <t>MLB4836137930</t>
  </si>
  <si>
    <t>MLB5262481400</t>
  </si>
  <si>
    <t>Colar Prata 925 Citrino Oval Natural Verdadeiro - P. Vecchio</t>
  </si>
  <si>
    <t>Óleos Essenciais Prontos Orégano E Tomilho Roll On 10ml</t>
  </si>
  <si>
    <t>Colar Prata 925 Rabo De Rato Granada Triângulo - P. Vecchio</t>
  </si>
  <si>
    <t>MLB5262481406</t>
  </si>
  <si>
    <t>MLB2186771274</t>
  </si>
  <si>
    <t>Óleos Essenciais Prontos Cravo E Inspirar Roll On 10ml</t>
  </si>
  <si>
    <t>MLB3844192449</t>
  </si>
  <si>
    <t>MLB4836137966</t>
  </si>
  <si>
    <t>Profumo 387 - Feminino 65ml Rosa, Maçã Verde, Madeiras</t>
  </si>
  <si>
    <t>Colar Prata 925 Ametista Retangular - Ponte Vecchio Joias</t>
  </si>
  <si>
    <t>Colar Prata 925 Rabo De Rato Fluorita Polida - Ponte Vecchio</t>
  </si>
  <si>
    <t>MLB5287412082</t>
  </si>
  <si>
    <t>MLB2186771278</t>
  </si>
  <si>
    <t>MLB3844214627</t>
  </si>
  <si>
    <t>MLB4836150570</t>
  </si>
  <si>
    <t>MLB5301492974</t>
  </si>
  <si>
    <t>Profumo 220 - Feminino 65ml Lírio, Lilás, Bergamota</t>
  </si>
  <si>
    <t>Colar Prata 925 Esmeralda Oval Natural Verdadeira P. Vecchio</t>
  </si>
  <si>
    <t>Colar Prata 925 Rabo De Rato Citrino Drusa - Ponte Vecchio</t>
  </si>
  <si>
    <t>MLB3850510133</t>
  </si>
  <si>
    <t>MLB5316234120</t>
  </si>
  <si>
    <t>MLB2186771286</t>
  </si>
  <si>
    <t>Pingente Prata 925 Turmalina Melancia Gota Natural Legítima</t>
  </si>
  <si>
    <t>Óleo Essencial Benjoim De 60ml Essência Do Brasil, Puro E Natural</t>
  </si>
  <si>
    <t>Profumo 231 - Feminino 65ml Cedro, Ylang-ylang, Almíscar</t>
  </si>
  <si>
    <t>MLB4836150654</t>
  </si>
  <si>
    <t>Colar Prata 925 Rabo De Rato Citrino Oval - P. Vecchio Joias</t>
  </si>
  <si>
    <t>MLB5399629596</t>
  </si>
  <si>
    <t>MLB3850510135</t>
  </si>
  <si>
    <t>Essência Do Brasil Óleo Essencial Lavandim Grosso Roll On 10ml</t>
  </si>
  <si>
    <t>MLB2186771300</t>
  </si>
  <si>
    <t>Pingente Prata 925 Esmeralda Retangular Verdadeira P Vecchio</t>
  </si>
  <si>
    <t>Profumo 614 - Masculino 65ml Coentro, Madeiras, Cravo</t>
  </si>
  <si>
    <t>MLB4836150674</t>
  </si>
  <si>
    <t>MLB5428374754</t>
  </si>
  <si>
    <t>Colar Prata 925 Rabo De Rato Opala Rosa Bruta - P. Vecchio</t>
  </si>
  <si>
    <t>Blend De Óleos Essenciais Alegria Essência Do Brasil Para Difusor E Massagem 10 Ml</t>
  </si>
  <si>
    <t>MLB3850510137</t>
  </si>
  <si>
    <t>Título com mais de 60 caracteres: Título com 82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</si>
  <si>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MLB2186776984</t>
  </si>
  <si>
    <t>Pingente Prata 925 Turmalina Negra Natural Verdadeira Joias</t>
  </si>
  <si>
    <t>Profumo 709 - Masculino 65ml Cedro, Violeta, Dama Da Noite</t>
  </si>
  <si>
    <t>MLB5433016294</t>
  </si>
  <si>
    <t>Kit 3 Óleos Essenciais 10ml Melaleuca Alecrim Lavandim Essência Do Brasil</t>
  </si>
  <si>
    <t>MLB4836150678</t>
  </si>
  <si>
    <t>Colar Prata 925 Rabo De Rato Hematita Bruta - Ponte Vecchio</t>
  </si>
  <si>
    <t>MLB2186776986</t>
  </si>
  <si>
    <t>MLB3850510139</t>
  </si>
  <si>
    <t>Profumo 937 - Unissex 65ml Tuberosa, Almíscar, Chocolate</t>
  </si>
  <si>
    <t>MLB5470402002</t>
  </si>
  <si>
    <t>Pingente Prata 925 Figa De Quartzo Rosa Natural Verdadeiro</t>
  </si>
  <si>
    <t>MLB4836175698</t>
  </si>
  <si>
    <t>MLB5482413976</t>
  </si>
  <si>
    <t>Colar Prata 925 Rabo De Rato Esmeralda Polida - P. Vecchio</t>
  </si>
  <si>
    <t>MLB2186776987</t>
  </si>
  <si>
    <t>MLB3850523059</t>
  </si>
  <si>
    <t>Profumo 368 - Feminino 65ml Rosa, Patchouli, Laranja</t>
  </si>
  <si>
    <t>Pingente Prata 925 Turmalina Melancia Oval Natural Legítima</t>
  </si>
  <si>
    <t>MLB5504379838</t>
  </si>
  <si>
    <t>MLB4836175734</t>
  </si>
  <si>
    <t>Colar Prata 925 Rabo De Rato Quartzo Fumê Bruto - P. Vecchio</t>
  </si>
  <si>
    <t>MLB2186776990</t>
  </si>
  <si>
    <t>MLB3850523061</t>
  </si>
  <si>
    <t>Profumo 642 - Masculino 65ml Sândalo, Cardamomo, Gengibre</t>
  </si>
  <si>
    <t>Pingente Prata 925 Topázio Imperial Gota Natural Verdadeiro</t>
  </si>
  <si>
    <t>MLB5504441632</t>
  </si>
  <si>
    <t>Kit Óleo Essencial Alfazema Essência Do Brasil Roll-on 10ml</t>
  </si>
  <si>
    <t>MLB4836175744</t>
  </si>
  <si>
    <t>Colar Prata 925 Rabo De Rato Quartzo Rosa Redondo P. Vecchio</t>
  </si>
  <si>
    <t>MLB5504581024</t>
  </si>
  <si>
    <t>MLB2186776998</t>
  </si>
  <si>
    <t>Óleo Roll On Laranja Amarga 10ml Essência Do Brasil Rosa Mosqueta</t>
  </si>
  <si>
    <t>MLB3850523063</t>
  </si>
  <si>
    <t>Profumo 401 - Feminino 65ml Patchouli, Cereja, Framboesa</t>
  </si>
  <si>
    <t>Título com mais de 60 caracteres: Título com 65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</si>
  <si>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Pingente Prata 925 Esmeralda Oval Natural Verdadeira Joias</t>
  </si>
  <si>
    <t>MLB5504646818</t>
  </si>
  <si>
    <t>MLB4836175746</t>
  </si>
  <si>
    <t>Colar Prata 925 Rabo De Rato Quartzo Fumê Polido P. Vecchio</t>
  </si>
  <si>
    <t>MLB2186782857</t>
  </si>
  <si>
    <t>MLB3850535943</t>
  </si>
  <si>
    <t>Profumo 325 - Feminino Flor Laranjeira, Couro, Patchouli</t>
  </si>
  <si>
    <t>MLB5505347100</t>
  </si>
  <si>
    <t>Pingente Prata 925 Esmeralda Gota Natural Verdadeira Joias</t>
  </si>
  <si>
    <t>MLB4836175764</t>
  </si>
  <si>
    <t>Colar Prata 925 Rabo De Rato Esmeralda Medalha - P. Vecchio</t>
  </si>
  <si>
    <t>MLB5505386912</t>
  </si>
  <si>
    <t>MLB2186782860</t>
  </si>
  <si>
    <t>MLB3850561481</t>
  </si>
  <si>
    <t>Profumo 719 - Masculino 65ml Patchouli, Madeiras, Almíscar</t>
  </si>
  <si>
    <t>Pingente Prata 925 Topázio Imperial Oval Natural Verdadeiro</t>
  </si>
  <si>
    <t>MLB5505413906</t>
  </si>
  <si>
    <t>MLB4836175802</t>
  </si>
  <si>
    <t>Kit Óleos Essenciais Roll-on Litsea E Ylang Ylang Da Essência Do Brasil</t>
  </si>
  <si>
    <t>Colar Prata 925 Rabo De Rato Turquesa Bruta - Ponte Vecchio</t>
  </si>
  <si>
    <t>MLB2186782864</t>
  </si>
  <si>
    <t>MLB5505590324</t>
  </si>
  <si>
    <t>Profumo 394 - Feminino 65ml Rosa, Patchouli, Açafrão</t>
  </si>
  <si>
    <t>MLB3850561483</t>
  </si>
  <si>
    <t>Óleos Essenciais Prontos Roll On Louro Noz-moscada 10ml Kit 2 Unid</t>
  </si>
  <si>
    <t>Pingente Prata 925 Quartzo Rosa Natural Verdadeiro P Vecchio</t>
  </si>
  <si>
    <t>MLB4841003258</t>
  </si>
  <si>
    <t>Colar Prata 925 Diamantado Sodalita Bruta - P. Vecchio Joias</t>
  </si>
  <si>
    <t>MLB5505632866</t>
  </si>
  <si>
    <t>MLB2186782867</t>
  </si>
  <si>
    <t>Profumo 409 - Feminino 65ml Sândalo, Baunilha, Almíscar</t>
  </si>
  <si>
    <t>MLB3850573485</t>
  </si>
  <si>
    <t>MLB4841003260</t>
  </si>
  <si>
    <t>MLB5506528538</t>
  </si>
  <si>
    <t>Pingente Prata 925 Gota Vazada Com Esmeralda Natural Joias</t>
  </si>
  <si>
    <t>Colar Prata 925 Diamantado Quartzo Rosa Medalha - P. Vecchio</t>
  </si>
  <si>
    <t>MLB2186782872</t>
  </si>
  <si>
    <t>Profumo 169 - Feminino 65ml Sândalo, Almíscar, Maçã</t>
  </si>
  <si>
    <t>MLB5506607214</t>
  </si>
  <si>
    <t>Kit Óleos Essenciais Roll-on Essência Do Brasil Cravo E Inspirar 10ml</t>
  </si>
  <si>
    <t>MLB4841003276</t>
  </si>
  <si>
    <t>MLB3850573487</t>
  </si>
  <si>
    <t>Colar Prata 925 Diamantado Opala Rosa Gota - Ponte Vecchio</t>
  </si>
  <si>
    <t>MLB5506639018</t>
  </si>
  <si>
    <t>Pingente Prata 925 Ponto De Luz Ametista Natural Verdadeira</t>
  </si>
  <si>
    <t>MLB2186782876</t>
  </si>
  <si>
    <t>Profumo 797 - Masculino 65ml Bergamota, Fava Tonka, Coco</t>
  </si>
  <si>
    <t>MLB5506651854</t>
  </si>
  <si>
    <t>Kit Óleos Essenciais Alfazema E Eucalipto Roll-on, Orgânico Puro, De 10ml, Para Massagens Essência Do Brasil</t>
  </si>
  <si>
    <t>MLB4841016416</t>
  </si>
  <si>
    <t>Título com mais de 60 caracteres: Título com 108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</si>
  <si>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Colar Prata 925 Diamantado Granada Polida - P. Vecchio Joias</t>
  </si>
  <si>
    <t>MLB3850612427</t>
  </si>
  <si>
    <t>MLB2186787970</t>
  </si>
  <si>
    <t>MLB5506651922</t>
  </si>
  <si>
    <t>Pingente Prata 925 Rubi Natural Verdadeiro - P Vecchio Joias</t>
  </si>
  <si>
    <t>Kit Óleos Essenciais Roll-on Eucalipto Lavandim 10ml Essência Do Brasil</t>
  </si>
  <si>
    <t>Profumo 311 - Feminino 65ml Notas Verdes, Madeiras, Almíscar</t>
  </si>
  <si>
    <t>MLB4841016420</t>
  </si>
  <si>
    <t>MLB5506652214</t>
  </si>
  <si>
    <t>Colar Prata 925 Diamantado Quartzo Rosa Coração - P. Vecchio</t>
  </si>
  <si>
    <t>Óleo Essencial Essência Do Brasil Kit Óleo Essencial Petitgrain + Pronto P/ Uso Roll On 10ml Óleo Essencial Petitgrain 10ml - 2 Kits Do 2 Unidades</t>
  </si>
  <si>
    <t>Título com mais de 60 caracteres: Título com 146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</si>
  <si>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MLB3850612429</t>
  </si>
  <si>
    <t>MLB2186787978</t>
  </si>
  <si>
    <t>Pingente Prata 925 Citrino Oval Natural Verdadeiro P Vecchio</t>
  </si>
  <si>
    <t>Profumo 215 - Feminino 65ml Pêssego, Madeiras, Patchouli</t>
  </si>
  <si>
    <t>MLB5506727448</t>
  </si>
  <si>
    <t>MLB4841029260</t>
  </si>
  <si>
    <t>Colar Prata 925 Diamantado Quartzo Verde Cruz Ponte Vecchio</t>
  </si>
  <si>
    <t>MLB5506753648</t>
  </si>
  <si>
    <t>Kit Óleo Essencial De Eucalipto Citriodora Com Roll-on Essência Do Brasil, 2 Unidades</t>
  </si>
  <si>
    <t>MLB2186787984</t>
  </si>
  <si>
    <t>MLB3879301221</t>
  </si>
  <si>
    <t>Título com mais de 60 caracteres: Título com 85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</si>
  <si>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Profumo 374 - Feminino 65ml Tuberosa, Mel, Fava Tonka</t>
  </si>
  <si>
    <t>Pingente Prata 925 Ametista Gota Semi Lapidada Ponte Vecchio</t>
  </si>
  <si>
    <t>MLB4841029266</t>
  </si>
  <si>
    <t>MLB5506753848</t>
  </si>
  <si>
    <t>Colar Prata 925 Diamantado Quartzo Rosa Polido Ponte Vecchio</t>
  </si>
  <si>
    <t>MLB2186794316</t>
  </si>
  <si>
    <t>MLB3893072737</t>
  </si>
  <si>
    <t>MLB5506777898</t>
  </si>
  <si>
    <t>Profumo 268 - Feminino 65ml Rosa, Peônia, Almíscar</t>
  </si>
  <si>
    <t>Kit Óleo Essencial Pimenta Preta Puro Com Roll-on Para Massagem E Difusor</t>
  </si>
  <si>
    <t>Pingente Prata 925 Quartzo Rosa Natural Verdadeiro P Vecchio Cor Prateado</t>
  </si>
  <si>
    <t>MLB4841029278</t>
  </si>
  <si>
    <t>MLB5506804400</t>
  </si>
  <si>
    <t>Colar Prata 925 Diamantado Turquesa Polida - Ponte Vecchio</t>
  </si>
  <si>
    <t>Kit Óleos Essenciais Roll-on Essência Do Brasil Acalmar E Relaxar 5x10ml</t>
  </si>
  <si>
    <t>MLB2186794321</t>
  </si>
  <si>
    <t>Profumo 261 - Feminino 65ml Almíscar, Cedro, Flores</t>
  </si>
  <si>
    <t>MLB3893085507</t>
  </si>
  <si>
    <t>Pingente Prata 925 Turmalina Azul Natural Verdadeira Joias Cor Prateado</t>
  </si>
  <si>
    <t>MLB5506816832</t>
  </si>
  <si>
    <t>MLB4841041606</t>
  </si>
  <si>
    <t>Essência Do Brasil Óleos Essenciais Roll-on Menta Pinho Sibéria 10ml Kit</t>
  </si>
  <si>
    <t>Colar Prata 925 Diamantado Ametista Gota - P. Vecchio Joias</t>
  </si>
  <si>
    <t>MLB2186794331</t>
  </si>
  <si>
    <t>Profumo 783 - Masculino 65ml Toranja, Vetiver, Alecrim</t>
  </si>
  <si>
    <t>MLB5506842410</t>
  </si>
  <si>
    <t>MLB3893122589</t>
  </si>
  <si>
    <t>Pingente Prata 950 Figa Quartzo Vermelho - Ponte Vecchio Cor Natural</t>
  </si>
  <si>
    <t>MLB4841041608</t>
  </si>
  <si>
    <t>MLB5506842496</t>
  </si>
  <si>
    <t>MLB2186794332</t>
  </si>
  <si>
    <t>Colar Prata 925 Diamantado Granada Oval - P. Vecchio Joias</t>
  </si>
  <si>
    <t>Profumo 809 - Masculino 65ml Lírio, Almíscar, Canela</t>
  </si>
  <si>
    <t>MLB5506908098</t>
  </si>
  <si>
    <t>Kit Óleo Essencial Pinho Sibéria E Roll-on Pronto Para Uso 10ml</t>
  </si>
  <si>
    <t>MLB3893122921</t>
  </si>
  <si>
    <t>MLB2186799634</t>
  </si>
  <si>
    <t>Pingente Prata 925 Citrino Oval Natural Verdadeiro P Vecchio Cor Prateado</t>
  </si>
  <si>
    <t>MLB4841041610</t>
  </si>
  <si>
    <t>MLB5506920674</t>
  </si>
  <si>
    <t>Profumo 926 - Unissex 65ml Coco, Limão, Cana-de-açúcar</t>
  </si>
  <si>
    <t>Colar Prata 925 Diamantado Sodalita Oval - P. Vecchio Joias</t>
  </si>
  <si>
    <t>Kit Óleo Essencial Acalmar Com Roll-on Pronto Para Uso  Essência Do Brasil</t>
  </si>
  <si>
    <t>MLB3893163967</t>
  </si>
  <si>
    <t>MLB2186799637</t>
  </si>
  <si>
    <t>MLB5506933806</t>
  </si>
  <si>
    <t>Pingente Prata 925 Turmalina Negra Natural Verdadeira Joias Cor Prateado</t>
  </si>
  <si>
    <t>MLB4841041616</t>
  </si>
  <si>
    <t>Profumo 946 - Masculino 65ml Café, Patchouli, Chocolate</t>
  </si>
  <si>
    <t>Colar Prata 925 Diamantado Água-marinha Medalha - P. Vecchio</t>
  </si>
  <si>
    <t>Descrição repetida em outros anúncios com título diferente (verificar se é boilerplate ou erro): Mesma descrição usada em 12 anúncios com títulos diferentes | Valor incomum em campo que deveria ser curto/categórico (dado errado colado): Valor incomum/muito longo para o campo "LINE" (padrão da coluna é curto/categórico; parece dado errado colado aqui) | Documento de Notificação/Comunicação prévia na Anvisa não preenchido: Número de Notificação/Comunicação prévia na Anvisa não preenchido</t>
  </si>
  <si>
    <t>MLB5506933982</t>
  </si>
  <si>
    <t>Kit Óleos Essenciais Roll-on De Erva Doce E Noz-moscada Essência Do Brasil</t>
  </si>
  <si>
    <t>MLB3903793349</t>
  </si>
  <si>
    <t>MLB2186799640</t>
  </si>
  <si>
    <t>Pingente Prata 925 Rubi Natural E Verdadeiro P Vecchio Joias</t>
  </si>
  <si>
    <t>Profumo 399 - Feminino 65ml Lírio, Cedro, Benjoim</t>
  </si>
  <si>
    <t>MLB5508583126</t>
  </si>
  <si>
    <t>MLB4841041622</t>
  </si>
  <si>
    <t>Colar Prata 925 Diamantado Quartzo Verde Coração P. Vecchio</t>
  </si>
  <si>
    <t>MLB5508663812</t>
  </si>
  <si>
    <t>MLB2186799643</t>
  </si>
  <si>
    <t>Kit Óleo Essencial Cedro Atlas Roll-on 10ml Essência Do Brasil Aromaterapia</t>
  </si>
  <si>
    <t>MLB3903806195</t>
  </si>
  <si>
    <t>Profumo 635 - Masculino 65ml Baunilha, Madeiras, Maçã</t>
  </si>
  <si>
    <t>Pingente Prata 925 Quartzo Rosa Pirâmide Natural Verdadeiro</t>
  </si>
  <si>
    <t>MLB4841041626</t>
  </si>
  <si>
    <t>MLB5508664746</t>
  </si>
  <si>
    <t>Kit Óleo Essencial De Laranja Doce P/ Difusor E Roll-on Pronto Para Uso</t>
  </si>
  <si>
    <t>Colar Prata 925 Diamantado Selenita Retangular Ponte Vecchio</t>
  </si>
  <si>
    <t>MLB2186799647</t>
  </si>
  <si>
    <t>MLB5508665112</t>
  </si>
  <si>
    <t>MLB3903857039</t>
  </si>
  <si>
    <t>Profumo 378 - Feminino 65ml Lírio, Rosa, Violeta</t>
  </si>
  <si>
    <t>Pingente Prata 925 Água Marinha Em Gota Lapidada Verdadeira</t>
  </si>
  <si>
    <t>Kit Óleos Essenciais Roll-on Cedro E Ho Wood 10ml Essência Do Brasil</t>
  </si>
  <si>
    <t>Título com mais de 60 caracteres: Título com 68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</si>
  <si>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MLB4841041630</t>
  </si>
  <si>
    <t>MLB5508676768</t>
  </si>
  <si>
    <t>MLB2186799648</t>
  </si>
  <si>
    <t>Kit De Óleos Essenciais Roll-on Para Respirar E Ylang Ylang</t>
  </si>
  <si>
    <t>MLB3903857041</t>
  </si>
  <si>
    <t>Colar Prata 925 Diamantado Olho De Tigre Gota - P. Vecchio</t>
  </si>
  <si>
    <t>Profumo 967 - Masculino 65ml Cedro, Pimenta Rosa, Patchouli</t>
  </si>
  <si>
    <t>Pingente Prata 925 Citrino Pirâmide Natural E Verdadeiro</t>
  </si>
  <si>
    <t>MLB5508703736</t>
  </si>
  <si>
    <t>MLB2186799650</t>
  </si>
  <si>
    <t>MLB4841054480</t>
  </si>
  <si>
    <t>Profumo 194 - Feminino 65ml Almíscar, Patchouli, Couro</t>
  </si>
  <si>
    <t>MLB5508715250</t>
  </si>
  <si>
    <t>MLB3903864227</t>
  </si>
  <si>
    <t>Colar Prata 925 Diamantado Olho De Tigre Polido - P. Vecchio</t>
  </si>
  <si>
    <t>Pingente Prata 925 Ponto Luz Água Marinha Lapidada Legítima</t>
  </si>
  <si>
    <t>MLB5508723410</t>
  </si>
  <si>
    <t>MLB2186799652</t>
  </si>
  <si>
    <t>Kit Óleo Essencial Laranja Amarga 10ml + Roll-on Essência Do Brasil</t>
  </si>
  <si>
    <t>Profumo 947 - Unissex 65ml Sândalo , Tuberosa, Notas Verdes</t>
  </si>
  <si>
    <t>MLB4841054484</t>
  </si>
  <si>
    <t>MLB3903864229</t>
  </si>
  <si>
    <t>Colar Prata 925 Diamantado Quartzo Rosa Figa - Ponte Vecchio</t>
  </si>
  <si>
    <t>MLB5508740618</t>
  </si>
  <si>
    <t>MLB2186799653</t>
  </si>
  <si>
    <t>MLB5508754110</t>
  </si>
  <si>
    <t>MLB4841054496</t>
  </si>
  <si>
    <t>Profumo 902 - Unissex 65ml Sândalo, Pau-rosa, Oud</t>
  </si>
  <si>
    <t>Kit Com 5 Óleos Essenciais Puros Essência Do Brasil Para Aromatizador E Massagem 10ml</t>
  </si>
  <si>
    <t>MLB3907599459</t>
  </si>
  <si>
    <t>Colar Prata 925 Diamantado Quartzo Verde Gota Ponte Vecchio</t>
  </si>
  <si>
    <t>Colar Em Prata + Ouro Elo Veneziano 45cm Quartzo Verde Cor Dourado</t>
  </si>
  <si>
    <t>Título com mais de 60 caracteres: Título com 66 caracteres (limite ML=60) | Marca cadastrada incorreta/inconsistente: Marca "Ponte Vecchio" difere da marca própria esperada "Ponte Vecchio Joias"</t>
  </si>
  <si>
    <t>MLB5508786336</t>
  </si>
  <si>
    <t>Óleo Essencial Essência Do Brasil Óleos Essenciais Prontos Mandarina E Orégano Roll On 10ml Mandarina - Orégano 10ml - 2 Kits Do 2 Unidades</t>
  </si>
  <si>
    <t>MLB2186799656</t>
  </si>
  <si>
    <t>Título com mais de 60 caracteres: Título com 139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</si>
  <si>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MLB4841067306</t>
  </si>
  <si>
    <t>Profumo 661 - Masculino 65ml Lírio, Couro, Cacau</t>
  </si>
  <si>
    <t>MLB3907633809</t>
  </si>
  <si>
    <t>Colar Prata 925 Diamantado Turquesa Bruta - P. Vecchio Joias</t>
  </si>
  <si>
    <t>MLB5510016788</t>
  </si>
  <si>
    <t>Pingente Quartzo Rosa Bruta Natural Legítima Ponte Vecchio Cor Prateado</t>
  </si>
  <si>
    <t>MLB5510431118</t>
  </si>
  <si>
    <t>MLB2186805853</t>
  </si>
  <si>
    <t>MLB4841067308</t>
  </si>
  <si>
    <t>MLB3907688971</t>
  </si>
  <si>
    <t>Profumo 124 - Feminino 65ml Rosa, Patchouli, Pimenta Rosa</t>
  </si>
  <si>
    <t>Colar Prata 925 Diamantado Água-marinha Triângulo P. Vecchio</t>
  </si>
  <si>
    <t>Pingente Prata 925 Topázio Azul Natural Verdadeiro P Vecchio Cor Prateado</t>
  </si>
  <si>
    <t>MLB5510473932</t>
  </si>
  <si>
    <t>MLB2186805856</t>
  </si>
  <si>
    <t>MLB4841067318</t>
  </si>
  <si>
    <t>Profumo 916 - Masculino 65ml Patchouli, Oud, Tabaco</t>
  </si>
  <si>
    <t>MLB5510476988</t>
  </si>
  <si>
    <t>MLB3907692011</t>
  </si>
  <si>
    <t>Kit Óleos Essenciais Louro Tangerina Roll-on 10ml Essência Do Brasil</t>
  </si>
  <si>
    <t>Colar Prata 925 Diamantado Pirita Coração - P. Vecchio Joias</t>
  </si>
  <si>
    <t>Pingente Prata 925 Duo Turmalina Verde E Rosa Ponte Vecchio Cor Prateado</t>
  </si>
  <si>
    <t>MLB5510508796</t>
  </si>
  <si>
    <t>Kit Óleo Essencial De Tomilho Branco Orgânico Com Roll-on De Rosa Mosqueta Para Uso Tópico</t>
  </si>
  <si>
    <t>MLB2186805862</t>
  </si>
  <si>
    <t>Título com mais de 60 caracteres: Título com 90 caracteres (limite ML=60) | Anúncio sem descrição: Descrição vazia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</si>
  <si>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MLB4841067324</t>
  </si>
  <si>
    <t>Profumo 804 - Masculino Cedro, Bergamota, Flor Laranjeira</t>
  </si>
  <si>
    <t>MLB3907695301</t>
  </si>
  <si>
    <t>Colar Prata 925 Diamantado Quartzo Fumê Bruto Ponte Vecchio</t>
  </si>
  <si>
    <t>MLB5522444976</t>
  </si>
  <si>
    <t>Pingente Prata 925 Esmeralda Oval Natural Verdadeira Joias Cor Prateado</t>
  </si>
  <si>
    <t>Óleo Essencial Camomila Azul 2ml - Puro E Natural</t>
  </si>
  <si>
    <t>MLB2186805866</t>
  </si>
  <si>
    <t>Profumo 729 - Masculino 65ml Patchouli, Café, Caramelo</t>
  </si>
  <si>
    <t>MLB5535377920</t>
  </si>
  <si>
    <t>MLB3907738783</t>
  </si>
  <si>
    <t>MLB4841067326</t>
  </si>
  <si>
    <t>Pingente Prata 950 Lindo Jaspe Dálmata Polido Ponte Vecchio Cor Natural</t>
  </si>
  <si>
    <t>Colar Prata 925 Diamantado Água-marinha Coração - P. Vecchio</t>
  </si>
  <si>
    <t>MLB5578790204</t>
  </si>
  <si>
    <t>MLB2186805867</t>
  </si>
  <si>
    <t>Profumo 692 - Masculino 65ml Cedro, Bergamota, Nota Aquática</t>
  </si>
  <si>
    <t>MLB3912125499</t>
  </si>
  <si>
    <t>MLB4841067328</t>
  </si>
  <si>
    <t>MLB5700356262</t>
  </si>
  <si>
    <t>Pingente Green Gold 5 Quilates Natural - Ponte Vecchio</t>
  </si>
  <si>
    <t>Colar Prata 925 Diamantado Sodalita Polida - Ponte Vecchio</t>
  </si>
  <si>
    <t>Óleo Essencial Citronela Essência Do Brasil 100ml Puro Para Aromaterapia</t>
  </si>
  <si>
    <t>Título com mais de 60 caracteres: Título com 72 caracteres (limite ML=60) | Código universal do produto (GTIN) não preenchido (texto de exemplo do ML ainda lá): Texto de exemplo do template não foi substituído pelo código real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</si>
  <si>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MLB2186811554</t>
  </si>
  <si>
    <t>MLB5770120246</t>
  </si>
  <si>
    <t>Profumo 178 - Feminino 65ml Rosa, Baunilha, Framboesa</t>
  </si>
  <si>
    <t>Óleos Essenciais Essência Do Brasil Eucalipto Alecrim Citronela 10ml Kit</t>
  </si>
  <si>
    <t>MLB4841079612</t>
  </si>
  <si>
    <t>Colar Prata 925 Diamantado Pirita Bruta - P. Vecchio Joias</t>
  </si>
  <si>
    <t>MLB3916492647</t>
  </si>
  <si>
    <t>MLB5805258556</t>
  </si>
  <si>
    <t>Kit Com 4 Essências Premium De 10ml Para Relaxamento Suave</t>
  </si>
  <si>
    <t>MLB2186811556</t>
  </si>
  <si>
    <t>Profumo 416 - Feminino 65ml Baunilha, Neroli, Lavanda</t>
  </si>
  <si>
    <t>MLB5829634568</t>
  </si>
  <si>
    <t>MLB4841079616</t>
  </si>
  <si>
    <t>Colar Prata 925 Diamantado Esmeralda Medalha - Ponte Vecchio</t>
  </si>
  <si>
    <t>MLB3916494807</t>
  </si>
  <si>
    <t>MLB2186811557</t>
  </si>
  <si>
    <t>MLB6288689316</t>
  </si>
  <si>
    <t>Kit 2 Óleos Essenciais 10ml - Limão + Laranja Amarga</t>
  </si>
  <si>
    <t>Profumo 905 - Unissex 65ml Almíscar, Rosa, Patchouli</t>
  </si>
  <si>
    <t>MLB4841079624</t>
  </si>
  <si>
    <t>Colar Prata 925 Diamantado Quartzo Verde Bruto Ponte Vecchio</t>
  </si>
  <si>
    <t>MLB6325780782</t>
  </si>
  <si>
    <t>MLB3916550307</t>
  </si>
  <si>
    <t>Óleo Essencial Capim-limão 100ml Pronto Para Pele / Massagem</t>
  </si>
  <si>
    <t>Pingente Prata 925 Ametista Gota Ponte Vecchio Roxo Pedra Natural Roxa</t>
  </si>
  <si>
    <t>MLB2186811559</t>
  </si>
  <si>
    <t>Profumo 951 - Unissex 65ml Rosa, Ameixa, Oud</t>
  </si>
  <si>
    <t>MLB6325780786</t>
  </si>
  <si>
    <t>Óleo Essencial Sândalo 100ml - Pronto Para Pele / Massagem</t>
  </si>
  <si>
    <t>MLB4841079626</t>
  </si>
  <si>
    <t>Colar Prata 925 Diamantado Quartzo Branco Cruz Ponte Vecchio</t>
  </si>
  <si>
    <t>MLB3917224209</t>
  </si>
  <si>
    <t>MLB6325780796</t>
  </si>
  <si>
    <t>Pingente De Cristal Transparente Em Prata 950 Ponte Vecchio Joias Translúcido</t>
  </si>
  <si>
    <t>MLB2186811561</t>
  </si>
  <si>
    <t>Óleo Essencial Pinho Sibéria 100ml - Pronto Pele / Massagem</t>
  </si>
  <si>
    <t>Profumo 698 - Masculino 65ml Patchouli, Café, Almíscar</t>
  </si>
  <si>
    <t>Título com mais de 60 caracteres: Título com 77 caracteres (limite ML=60) | Anúncio sem descrição: Descrição vazia</t>
  </si>
  <si>
    <t>MLB6325793840</t>
  </si>
  <si>
    <t>Óleo Essencial Litsea Cubeba 100ml - Pronto Pele / Massagem</t>
  </si>
  <si>
    <t>MLB4841079634</t>
  </si>
  <si>
    <t>MLB3922245509</t>
  </si>
  <si>
    <t>Colar Prata 925 Diamantado Ametista Triângulo - P. Vecchio</t>
  </si>
  <si>
    <t>Pingente Prata 925 Água Marinha Em Gota Lapidada Verdadeira Cor Natural</t>
  </si>
  <si>
    <t>MLB2186811564</t>
  </si>
  <si>
    <t>MLB6325793842</t>
  </si>
  <si>
    <t>Profumo 634 - Masculino 65ml Bergamota, Almíscar, Alecrim</t>
  </si>
  <si>
    <t>Óleo Essencial Gerânio Do Egito 100ml Pronto Pele / Massagem</t>
  </si>
  <si>
    <t>MLB6325793844</t>
  </si>
  <si>
    <t>Óleo Essencial Cipreste 100ml - Pronto Para Pele / Massagem</t>
  </si>
  <si>
    <t>MLB3934572477</t>
  </si>
  <si>
    <t>MLB4841079636</t>
  </si>
  <si>
    <t>MLB2186811566</t>
  </si>
  <si>
    <t>Pingente Prata 950 Esmeralda Polida Legítima P Vecchio Joias Cor Prateado</t>
  </si>
  <si>
    <t>Colar Prata 925 Diamantado Quartzo Branco Polido P. Vecchio</t>
  </si>
  <si>
    <t>Profumo 109 - Feminino 65ml Maçã Verde, Madeiras, Magnólia</t>
  </si>
  <si>
    <t>MLB6325793846</t>
  </si>
  <si>
    <t>Óleo Essencial Manjerona 100ml - Pronto Para Pele / Massagem</t>
  </si>
  <si>
    <t>MLB6325793852</t>
  </si>
  <si>
    <t>MLB3962933417</t>
  </si>
  <si>
    <t>MLB2199405552</t>
  </si>
  <si>
    <t>Óleo Essencial Laranja Amarga 100ml - Pronto Pele / Massagem</t>
  </si>
  <si>
    <t>Pingente Prata 925 Citrino Hexagonal Semi-lapidado Legítimo</t>
  </si>
  <si>
    <t>MLB4841092594</t>
  </si>
  <si>
    <t>Perfume Masculino Patchouli 100ml + Perfume 30ml Ed Limitada</t>
  </si>
  <si>
    <t>Colar Prata 925 Diamantado Quartzo Fumê Polido Ponte Vecchio</t>
  </si>
  <si>
    <t>MLB6325858418</t>
  </si>
  <si>
    <t>Óleo Essencial Cravo Botão 100ml Pronto Para Pele / Massagem</t>
  </si>
  <si>
    <t>MLB2199562317</t>
  </si>
  <si>
    <t>MLB6325858422</t>
  </si>
  <si>
    <t>MLB3962946319</t>
  </si>
  <si>
    <t>MLB4841092602</t>
  </si>
  <si>
    <t>Perfume Masculino Eros 100ml + Perfume 30ml Ed Limitada</t>
  </si>
  <si>
    <t>Óleo Essencial Orégano 100ml - Pronto Para Pele / Massagem</t>
  </si>
  <si>
    <t>Colar Prata 925 Diamantado Quartzo Fumê Redondo - P. Vecchio</t>
  </si>
  <si>
    <t>Pingente Prata Citrino Obelisco Lapidado Verdadeiro Natural</t>
  </si>
  <si>
    <t>MLB6325858424</t>
  </si>
  <si>
    <t>Óleo Essencial Melaleuca 100ml - Pronto Para Pele / Massagem</t>
  </si>
  <si>
    <t>MLB2199563995</t>
  </si>
  <si>
    <t>MLB4841092604</t>
  </si>
  <si>
    <t>Perfume Masculino Eros 100ml + Dark Tabac 30ml Ed Espec</t>
  </si>
  <si>
    <t>MLB6325936110</t>
  </si>
  <si>
    <t>Colar Prata 925 Diamantado Esmeralda Oval - P. Vecchio Joias</t>
  </si>
  <si>
    <t>MLB3962959269</t>
  </si>
  <si>
    <t>Óleo Essencial Copaíba 100ml - Pronto Para Pele / Massagem</t>
  </si>
  <si>
    <t>Pingente Prata 925 Quartzo Rosa Hexagonal Semi-lapidado</t>
  </si>
  <si>
    <t>MLB6325936112</t>
  </si>
  <si>
    <t>MLB2199595776</t>
  </si>
  <si>
    <t>Óleo Essencial Mandarina 100ml - Pronto Para Pele / Massagem</t>
  </si>
  <si>
    <t>Perfume Masculino Almíscar 100ml + Dark Tabac 30ml Ed Espec</t>
  </si>
  <si>
    <t>MLB4841092606</t>
  </si>
  <si>
    <t>MLB6325936116</t>
  </si>
  <si>
    <t>Colar Prata 925 Diamantado Opala Rosa Polida - Ponte Vecchio</t>
  </si>
  <si>
    <t>Óleo Essencial Euc. Globulus 100ml - Pronto Pele / Massagem</t>
  </si>
  <si>
    <t>MLB3962959279</t>
  </si>
  <si>
    <t>Pingente Prata 925 Citrino Obelisco Lapidado Verdadeiro</t>
  </si>
  <si>
    <t>MLB2200233303</t>
  </si>
  <si>
    <t>MLB6325936120</t>
  </si>
  <si>
    <t>Óleo Essencial Pimenta Preta 100ml - Pronto Pele / Massagem</t>
  </si>
  <si>
    <t>Perfume Masculino Patchouli 100ml + Perfume 10ml Ed Especial</t>
  </si>
  <si>
    <t>MLB4841092608</t>
  </si>
  <si>
    <t>MLB6325961912</t>
  </si>
  <si>
    <t>Colar Prata 925 Diamantado Pirita Polida - P. Vecchio Joias</t>
  </si>
  <si>
    <t>Óleo Essencial Euc. Citriodora 100ml Pronto Pele / Massagem</t>
  </si>
  <si>
    <t>MLB3962972491</t>
  </si>
  <si>
    <t>MLB2207499005</t>
  </si>
  <si>
    <t>Pingente Prata Quartzo Rosa Colmeia Verdadeiro P. Vecchio</t>
  </si>
  <si>
    <t>Perfume Com Ferômonios Night 100ml - Feminino</t>
  </si>
  <si>
    <t>MLB6325961914</t>
  </si>
  <si>
    <t>Óleo Essencial Menta Spicata 100ml - Pronto Pele / Massagem</t>
  </si>
  <si>
    <t>MLB4841092628</t>
  </si>
  <si>
    <t>MLB6325961918</t>
  </si>
  <si>
    <t>Colar Prata 925 Diamantado Olho De Tigre Oval - P. Vecchio</t>
  </si>
  <si>
    <t>Óleo Essencial Basilicão 100ml - Pronto Para Pele / Massagem</t>
  </si>
  <si>
    <t>MLB2207518015</t>
  </si>
  <si>
    <t>MLB3962972497</t>
  </si>
  <si>
    <t>Perfume Com Ferômonios Lady Noir 100ml - Feminino</t>
  </si>
  <si>
    <t>Pingente Prata Quartzo Rosa Medalha Verdadeiro - P. Vecchio</t>
  </si>
  <si>
    <t>MLB6325974714</t>
  </si>
  <si>
    <t>Óleo Essencial Euc. Staigeriana 100ml Pronto Pele / Massagem</t>
  </si>
  <si>
    <t>MLB4841105608</t>
  </si>
  <si>
    <t>MLB2217279724</t>
  </si>
  <si>
    <t>Colar Prata 925 Diamantado Selenita Esfera P. Vecchio Joias</t>
  </si>
  <si>
    <t>MLB6325974716</t>
  </si>
  <si>
    <t>Óleo Essencial Sálvia 100ml - Pronto Para Pele / Massagem</t>
  </si>
  <si>
    <t>Perfume Feminino Ferômonios Pure Instinct 10ml - Roll On</t>
  </si>
  <si>
    <t>MLB3962981193</t>
  </si>
  <si>
    <t>MLB6325974726</t>
  </si>
  <si>
    <t>Pingente Prata Citrino Polido Verdadeiro - P. Vecchio Joias</t>
  </si>
  <si>
    <t>Óleo Essencial Cedro Atlas 100ml Pronto Para Pele / Massagem</t>
  </si>
  <si>
    <t>MLB4841105610</t>
  </si>
  <si>
    <t>Colar Prata 925 Diamantado Citrino Semi Lapidado P. Vecchio</t>
  </si>
  <si>
    <t>MLB2605951043</t>
  </si>
  <si>
    <t>MLB6325974728</t>
  </si>
  <si>
    <t>Óleo Essencial Cânfora Branca 100ml - Pronto Pele / Massagem</t>
  </si>
  <si>
    <t>Perfume Feminino Afrodite 100ml + Roses 30ml</t>
  </si>
  <si>
    <t>MLB3963006877</t>
  </si>
  <si>
    <t>MLB4841105618</t>
  </si>
  <si>
    <t>MLB6325974730</t>
  </si>
  <si>
    <t>Pingente Prata Citrino Claro Obelisco Lapidado Verdadeiro</t>
  </si>
  <si>
    <t>Óleo Essencial Patchouli 100ml - Pronto Para Pele / Massagem</t>
  </si>
  <si>
    <t>Colar Prata 925 Diamantado Quartzo Rosa Redondo - P. Vecchio</t>
  </si>
  <si>
    <t>MLB2605976827</t>
  </si>
  <si>
    <t>Kit Perfume Feromônio Eros + Afrodite 65ml</t>
  </si>
  <si>
    <t>MLB6325987674</t>
  </si>
  <si>
    <t>Óleo Essencial Laranja Doce 100ml - Pronto Pele / Massagem</t>
  </si>
  <si>
    <t>MLB4841105626</t>
  </si>
  <si>
    <t>MLB3963019961</t>
  </si>
  <si>
    <t>Colar Prata 925 Diamantado Granada Triângulo - Ponte Vecchio</t>
  </si>
  <si>
    <t>MLB6325987678</t>
  </si>
  <si>
    <t>Pingente Prata 925 Citrino Coração Semi-lapidado Verdadeiro</t>
  </si>
  <si>
    <t>MLB2605983351</t>
  </si>
  <si>
    <t>Óleo Essencial Tangerina 100ml - Pronto Para Pele / Massagem</t>
  </si>
  <si>
    <t>Perfume Feminino Patchouli 100ml + Jasmine 30ml</t>
  </si>
  <si>
    <t>MLB6325987680</t>
  </si>
  <si>
    <t>MLB4841105628</t>
  </si>
  <si>
    <t>Óleo Essencial Gengibre 100ml - Pronto Para Pele / Massagem</t>
  </si>
  <si>
    <t>Colar Prata 925 Diamantado Quartzo Rosa Bruto Ponte Vecchio</t>
  </si>
  <si>
    <t>MLB3963019973</t>
  </si>
  <si>
    <t>MLB2624895380</t>
  </si>
  <si>
    <t>MLB6325987682</t>
  </si>
  <si>
    <t>Pingente Prata 925 Quartzo Rosa Obelisco De Prata Verdadeiro</t>
  </si>
  <si>
    <t>Óleo Essencial Palmarosa 100ml - Pronto Para Pele / Massagem</t>
  </si>
  <si>
    <t>Perfume Masculino Patchouli 100ml + Mini Perfume 10ml</t>
  </si>
  <si>
    <t>MLB6326013498</t>
  </si>
  <si>
    <t>Óleo Essencial Anis Estrelado 100ml - Pronto Pele / Massagem</t>
  </si>
  <si>
    <t>MLB4841105630</t>
  </si>
  <si>
    <t>MLB3963032619</t>
  </si>
  <si>
    <t>Colar Prata 925 Diamantado Citrino Coração P. Vecchio Joias</t>
  </si>
  <si>
    <t>MLB6326013504</t>
  </si>
  <si>
    <t>Pingente Prata 925 Ametista Obelisco Lapidada Verdadeira</t>
  </si>
  <si>
    <t>MLB2640799517</t>
  </si>
  <si>
    <t>Óleo Essencial Bergamota 100ml - Pronto Para Pele / Massagem</t>
  </si>
  <si>
    <t>Perfume Masculino Oriental Amadeirado Dark Tabac 100ml</t>
  </si>
  <si>
    <t>MLB6326013506</t>
  </si>
  <si>
    <t>Óleo Essencial Alfazema 100ml - Pronto Para Pele / Massagem</t>
  </si>
  <si>
    <t>MLB4841117666</t>
  </si>
  <si>
    <t>MLB3972069779</t>
  </si>
  <si>
    <t>MLB2781565568</t>
  </si>
  <si>
    <t>Colar Prata 925 Diamantado Ametista Coração P. Vecchio Joias</t>
  </si>
  <si>
    <t>Pingente Selenita Redonda - Natural E Legítima Ponte Vecchio</t>
  </si>
  <si>
    <t>MLB6326026342</t>
  </si>
  <si>
    <t>Perfume Masculino Patchouli 100ml + Cítricos D'italia 30ml</t>
  </si>
  <si>
    <t>Óleo Essencial Noz-moscada 100ml Pronto Para Pele / Massagem</t>
  </si>
  <si>
    <t>MLB6326026344</t>
  </si>
  <si>
    <t>MLB4841117668</t>
  </si>
  <si>
    <t>Óleo Essencial Hortelã Pimenta 100ml Pronto Pele / Massagem</t>
  </si>
  <si>
    <t>Colar Prata 925 Diamantado Opala Rosa Bruta - Ponte Vecchio</t>
  </si>
  <si>
    <t>MLB2781614288</t>
  </si>
  <si>
    <t>MLB3987412535</t>
  </si>
  <si>
    <t>Perfume Almíscar Selvagem 100ml + Cítricos D'italia 30ml</t>
  </si>
  <si>
    <t>Pingente Prata 925 Ametista, Turmalina E Citrino Lapidados Cor Prateado</t>
  </si>
  <si>
    <t>MLB6326026352</t>
  </si>
  <si>
    <t>Óleo Essencial Cedro Virgínia 100ml Pronto Pele / Massagem</t>
  </si>
  <si>
    <t>MLB4841117676</t>
  </si>
  <si>
    <t>MLB6326039348</t>
  </si>
  <si>
    <t>MLB2897264659</t>
  </si>
  <si>
    <t>Colar Prata 925 Diamantado Olho De Tigre Bruto - P. Vecchio</t>
  </si>
  <si>
    <t>Óleo Essencial Zimbro 100ml - Pronto Para Pele / Massagem</t>
  </si>
  <si>
    <t>Kit Perfume Patchouli 100ml + Roll On 10ml - Masculino</t>
  </si>
  <si>
    <t>MLB3987452527</t>
  </si>
  <si>
    <t>MLB6326039350</t>
  </si>
  <si>
    <t>Pingente Prata Pedra Da Lua Gota Verdadeira - P. Vecchio Cor Prateado</t>
  </si>
  <si>
    <t>Óleo Essencial Pimenta Rosa 100ml - Pronto Pele / Massagem</t>
  </si>
  <si>
    <t>MLB4841117682</t>
  </si>
  <si>
    <t>Título com mais de 60 caracteres: Título com 69 caracteres (limite ML=60) | Anúncio sem descrição: Descrição vazia</t>
  </si>
  <si>
    <t>Colar Prata 925 Diamantado Olho De Tigre Coração P. Vecchio</t>
  </si>
  <si>
    <t>MLB2897281921</t>
  </si>
  <si>
    <t>MLB6326039352</t>
  </si>
  <si>
    <t>Perfume Almíscar Selvagem Roll On 10ml- Masculino</t>
  </si>
  <si>
    <t>Óleo Essencial Funcho Doce 100ml Pronto Para Pele / Massagem</t>
  </si>
  <si>
    <t>MLB3987461573</t>
  </si>
  <si>
    <t>MLB6326039356</t>
  </si>
  <si>
    <t>Pingente Prata Turmalina Rosa Legítima - Ponte Vecchio Joias Cor Prateado</t>
  </si>
  <si>
    <t>MLB4844061688</t>
  </si>
  <si>
    <t>Óleo Essencial Limão Siciliano 100ml Pronto Pele / Massagem</t>
  </si>
  <si>
    <t>Colar Prata 925 Cadeado Malaquita Polida - P. Vecchio Joias Cor Prateado</t>
  </si>
  <si>
    <t>MLB3058598442</t>
  </si>
  <si>
    <t>MLB6326052238</t>
  </si>
  <si>
    <t>Óleo Essencial Citronela 100ml - Pronto Para Pele / Massagem</t>
  </si>
  <si>
    <t>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</si>
  <si>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MLB4844508696</t>
  </si>
  <si>
    <t>MLB6326052240</t>
  </si>
  <si>
    <t>MLB3058598748</t>
  </si>
  <si>
    <t>Óleo Essencial Alecrim 100ml - Pronto Para Pele / Massagem</t>
  </si>
  <si>
    <t>MLB3987464827</t>
  </si>
  <si>
    <t>Colar Prata 925 Rabo De Rato Quartzo Fumê Bruto - P. Vecchio Cor Prateado</t>
  </si>
  <si>
    <t>Perfume Oceanus 100ml - Essência Importada + Óleo Essencial</t>
  </si>
  <si>
    <t>Pingente Prata Quartzo Verde Figa Verdadeiro - P. Vecchio Cor Prateado</t>
  </si>
  <si>
    <t>MLB6326052242</t>
  </si>
  <si>
    <t>Óleo Essencial Artemísia 100ml - Pronto Para Pele / Massagem</t>
  </si>
  <si>
    <t>MLB3058611407</t>
  </si>
  <si>
    <t>MLB5000311392</t>
  </si>
  <si>
    <t>Perfume Masculino Amadeirado Essência Do Brasil Dark Code 100ml</t>
  </si>
  <si>
    <t>MLB6326065076</t>
  </si>
  <si>
    <t>Colar Em Ouro 18k Quartzo Rosa Em Gota - Natural P. Vecchio Dourado</t>
  </si>
  <si>
    <t>MLB3987480199</t>
  </si>
  <si>
    <t>Óleo Essencial Grapefruit 100ml Pronto Para Pele / Massagem</t>
  </si>
  <si>
    <t>Ano de lançamento preenchido (deveria ficar em branco); Descrição repetida em outros anúncios com título diferente (verificar se é boilerplate ou erro); Documento de Notificação/Comunicação prévia na Anvisa não preenchido; Título com mais de 60 caracteres</t>
  </si>
  <si>
    <t>Título com mais de 60 caracteres: Título com 63 caracteres (limite ML=60) | Descrição repetida em outros anúncios com título diferente (verificar se é boilerplate ou erro): Mesma descrição usada em 81 anúncios com títulos diferentes | Ano de lançamento preenchido (deveria ficar em branco): Ano de lançamento preenchido ("2022") - regra do negócio é deixar em branco | Documento de Notificação/Comunicação prévia na Anvisa não preenchido: Número de Notificação/Comunicação prévia na Anvisa não preenchido</t>
  </si>
  <si>
    <t>Pingente Prata Ametista E Água-marinha Lapidadas Legítimas Cor Prateado</t>
  </si>
  <si>
    <t>MLB6326207870</t>
  </si>
  <si>
    <t>Óleo Essencial Cravo Folha 100ml Pronto Para Pele / Massagem</t>
  </si>
  <si>
    <t>MLB3058611633</t>
  </si>
  <si>
    <t>Perfume Essência Do Brasil Patchouli 100ml Spray Amadeirado Masculino</t>
  </si>
  <si>
    <t>MLB6326207874</t>
  </si>
  <si>
    <t>MLB5000453788</t>
  </si>
  <si>
    <t>Ano de lançamento preenchido (deveria ficar em branco); Descrição repetida em outros anúncios com título diferente (verificar se é boilerplate ou erro); Título com mais de 60 caracteres</t>
  </si>
  <si>
    <t>Óleo Essencial Ho Wood 100ml - Pronto Para Pele / Massagem</t>
  </si>
  <si>
    <t>MLB3987507449</t>
  </si>
  <si>
    <t>Título com mais de 60 caracteres: Título com 69 caracteres (limite ML=60) | Descrição repetida em outros anúncios com título diferente (verificar se é boilerplate ou erro): Mesma descrição usada em 81 anúncios com títulos diferentes | Ano de lançamento preenchido (deveria ficar em branco): Ano de lançamento preenchido ("2023") - regra do negócio é deixar em branco</t>
  </si>
  <si>
    <t>Colar Prata 925 Com Quartzo Rosa Metalizado Bruto</t>
  </si>
  <si>
    <t>Pingente Prata 925 Ametista Obelisco Lapidada Verdadeira Cor Prateado</t>
  </si>
  <si>
    <t>MLB6326207880</t>
  </si>
  <si>
    <t>Óleo Essencial Petitgrain 100ml Pronto Para Pele / Massagem</t>
  </si>
  <si>
    <t>MLB3065120465</t>
  </si>
  <si>
    <t>Perfume Roll On Almíscar Selvagem 10ml Masculino Essência Do Brasil</t>
  </si>
  <si>
    <t>MLB5051230714</t>
  </si>
  <si>
    <t>Descrição repetida em outros anúncios com título diferente (verificar se é boilerplate ou erro); Documento de Notificação/Comunicação prévia na Anvisa não preenchido; Título com mais de 60 caracteres</t>
  </si>
  <si>
    <t>MLB6326298586</t>
  </si>
  <si>
    <t>Colar Prata 925 Ponto De Luz Ametista Natural Verdadeira</t>
  </si>
  <si>
    <t>Título com mais de 60 caracteres: Título com 67 caracteres (limite ML=60) | 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</si>
  <si>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MLB4008296105</t>
  </si>
  <si>
    <t>Óleo Essencial Lavandim 100ml - Pronto Para Pele / Massagem</t>
  </si>
  <si>
    <t>Pingente Prata 950 Incrível Lua Drusa Ametista- P. Vecchio Cor Natural</t>
  </si>
  <si>
    <t>MLB3069249184</t>
  </si>
  <si>
    <t>MLB6326298590</t>
  </si>
  <si>
    <t>MLB5051230716</t>
  </si>
  <si>
    <t>Óleo Essencial Menta Arvensis 100ml - Pronto Pele / Massagem</t>
  </si>
  <si>
    <t>Perfume Essência Do Brasil Platinum Elegante 100ml Masculino</t>
  </si>
  <si>
    <t>Colar Prata 925 Esmeralda Retangular Verdadeira - P. Vecchio</t>
  </si>
  <si>
    <t>MLB6326298592</t>
  </si>
  <si>
    <t>MLB4031141937</t>
  </si>
  <si>
    <t>Óleo Essencial Canela 100ml - Pronto Para Pele / Massagem</t>
  </si>
  <si>
    <t>Pingente Prata 950 Quartzo Verde Em Gota - Ponte Vecchio Cor Natural</t>
  </si>
  <si>
    <t>MLB3069273600</t>
  </si>
  <si>
    <t>MLB5148340360</t>
  </si>
  <si>
    <t>Perfume Masculino Almíscar Selvagem 100ml + Terre 30ml Essência Do Brasil</t>
  </si>
  <si>
    <t>Título com mais de 60 caracteres: Título com 68 caracteres (limite ML=60) | Anúncio sem descrição: Descrição vazia</t>
  </si>
  <si>
    <t>MLB6326298598</t>
  </si>
  <si>
    <t>Colar Prata 925 Ametista Triângulo Legítima P. Vecchio Joias Cor Prateado</t>
  </si>
  <si>
    <t>Óleo Essencial Louro Folhas 100ml - Pronto Pele / Massagem</t>
  </si>
  <si>
    <t>Título com mais de 60 caracteres: Título com 73 caracteres (limite ML=60) | 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</si>
  <si>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MLB6326467508</t>
  </si>
  <si>
    <t>Óleo Essencial Ylang Ylang 100ml Pronto Para Pele / Massagem</t>
  </si>
  <si>
    <t>MLB3069277726</t>
  </si>
  <si>
    <t>MLB4035433883</t>
  </si>
  <si>
    <t>MLB5148425872</t>
  </si>
  <si>
    <t>Perfume Attar 100ml Masculino- Árabe Oriental Amadeirado Top</t>
  </si>
  <si>
    <t>Pingente De Prata 925 Com Topázio Imperial Natural Ponte Vecchio Prateado</t>
  </si>
  <si>
    <t>MLB6326467512</t>
  </si>
  <si>
    <t>Colar Em Prata 925 Ametista 2 Quilates Natural Legítima Cor Prateado</t>
  </si>
  <si>
    <t>Óleo Essencial Olíbano 100ml - Pronto Para Pele / Massagem</t>
  </si>
  <si>
    <t>MLB3097628939</t>
  </si>
  <si>
    <t>MLB6604424506</t>
  </si>
  <si>
    <t>Óleo Essencial Cardamomo 10ml - Aromaterapia Natural E Puro</t>
  </si>
  <si>
    <t>Perfume Feminino Ferômonios Seduction 10ml - Roll On</t>
  </si>
  <si>
    <t>MLB5148476648</t>
  </si>
  <si>
    <t>MLB4042841383</t>
  </si>
  <si>
    <t>Colar Cruz Minimalista Em Prata 925 - Ponte Vecchio Cor Prateado</t>
  </si>
  <si>
    <t>Colar Prata 925 + Ouro 18k Ametista E Citrino Legítimos Amarelo</t>
  </si>
  <si>
    <t>MLB6730153342</t>
  </si>
  <si>
    <t>MLB3097774962</t>
  </si>
  <si>
    <t>MLB5148562476</t>
  </si>
  <si>
    <t>Perfume Masculino Natural Black Almíscar Oriental 50ml</t>
  </si>
  <si>
    <t>MLB6910900514</t>
  </si>
  <si>
    <t>Colar Prata + Ouro Green Gold 5 Quilates - Ponte Vecchio Cor Dourado</t>
  </si>
  <si>
    <t>MLB4051757065</t>
  </si>
  <si>
    <t>Colar Prata 925 Com Banho Em Ródio Esmeralda Bruta Natural</t>
  </si>
  <si>
    <t>MLB7021320496</t>
  </si>
  <si>
    <t>Óleo Essencial Tangerina 10ml - Puro Natural</t>
  </si>
  <si>
    <t>MLB3108539728</t>
  </si>
  <si>
    <t>Perfume Almíscar Selvagem 100ml + Cítricos D'italia 30ml Essência Do Brasil Spray</t>
  </si>
  <si>
    <t>MLB5167837590</t>
  </si>
  <si>
    <t>MLB7193068988</t>
  </si>
  <si>
    <t>Título com mais de 60 caracteres: Título com 81 caracteres (limite ML=60) | 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</si>
  <si>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Colar Prata 925 Citrino Pirâmide Natural Legítimo P. Vecchio</t>
  </si>
  <si>
    <t>MLB4051769425</t>
  </si>
  <si>
    <t>Colar Prata 925 Com Banho Em Ródio Citrino Gota Natural</t>
  </si>
  <si>
    <t>MLB3139271978</t>
  </si>
  <si>
    <t>MLB7195439740</t>
  </si>
  <si>
    <t>Kit Óleo Essencial Benjoim 10ml + Roll-on Essência Do Brasil Pronto Uso</t>
  </si>
  <si>
    <t>Perfume Masculino Ferômonios Men Noir 10ml - Roll On</t>
  </si>
  <si>
    <t>Título com mais de 60 caracteres: Título com 71 caracteres (limite ML=60) | Óleo essencial 100% puro marcado como adequado para massagem (risco ao cliente): Óleo essencial 100% puro (sem óleo vegetal/carreador) marcado como adequado para massagens - risco de uso incorreto/queimadura pelo cliente | Documento de Notificação/Comunicação prévia na Anvisa não preenchido: Número de Notificação/Comunicação prévia na Anvisa não preenchido</t>
  </si>
  <si>
    <t>MLB7195442466</t>
  </si>
  <si>
    <t>MLB5176903710</t>
  </si>
  <si>
    <t>Óleo Essencial Erva Cidreira 10ml - Puro E Natural</t>
  </si>
  <si>
    <t>MLB4051769427</t>
  </si>
  <si>
    <t>MLB3176037537</t>
  </si>
  <si>
    <t>Colar Em Prata + Ouro Elo Veneziano 45cm Sodalita Cor Dourado</t>
  </si>
  <si>
    <t>Colar Prata 925 Com Banho Em Ródio Quartzo Rosa Metalizado</t>
  </si>
  <si>
    <t>Perfume Essência Do Brasil Gardênia &amp; Flor De Jasmim 100ml</t>
  </si>
  <si>
    <t>MLB1959766711</t>
  </si>
  <si>
    <t>Título com mais de 60 caracteres: Título com 61 caracteres (limite ML=60) | Marca cadastrada incorreta/inconsistente: Marca "Ponte Vecchio" difere da marca própria esperada "Ponte Vecchio Joias"</t>
  </si>
  <si>
    <t>Kit 2 Óleos Essenciais - 2 Menta Piperita 10ml</t>
  </si>
  <si>
    <t>Marca cadastrada incorreta/inconsistente: Marca "Essencia Brasil" difere da marca própria esperada "Essência do Brasil"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</si>
  <si>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MLB1960449567</t>
  </si>
  <si>
    <t>Óleo Essencial Lavandim Grosso 100ml - Puro E Natural</t>
  </si>
  <si>
    <t>MLB4051795247</t>
  </si>
  <si>
    <t>MLB3176124019</t>
  </si>
  <si>
    <t>MLB5177106056</t>
  </si>
  <si>
    <t>Perfume Eau De Toilette Masculino Oriental 50ml Essência Do Brasil</t>
  </si>
  <si>
    <t>Colar Prata 925 Com Banho Ródio Lápis-lazúli Bruto Natural</t>
  </si>
  <si>
    <t>Colar Em Prata Banhado Ouro Elo Veneziano 45cm Coração Cor Dourado</t>
  </si>
  <si>
    <t>MLB1960455150</t>
  </si>
  <si>
    <t>Título com mais de 60 caracteres: Título com 66 caracteres (limite ML=60) | 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</si>
  <si>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Óleo Essencial Cedro Deodara 100ml - Puro E Natural</t>
  </si>
  <si>
    <t>MLB1960459941</t>
  </si>
  <si>
    <t>MLB5253108542</t>
  </si>
  <si>
    <t>MLB4051885089</t>
  </si>
  <si>
    <t>MLB3213311617</t>
  </si>
  <si>
    <t>Óleo Essencial Lavandim Grosso 60ml - Puro E Natural</t>
  </si>
  <si>
    <t>Colar Prata 925 Quartzo Verde Semi Lapidado Em Prata Cor Prateado</t>
  </si>
  <si>
    <t>Colar Prata 925 Com Banho Em Ródio Citrino Polido Natural</t>
  </si>
  <si>
    <t>Perfume Feminino Ferômonios Attraction 10ml - Roll On</t>
  </si>
  <si>
    <t>MLB1981665777</t>
  </si>
  <si>
    <t>Essência Para Aromatizador / Difusor 10ml - Escolha O Aroma</t>
  </si>
  <si>
    <t>Campo Marca em branco; Código universal do produto (GTIN) não preenchido (texto de exemplo do ML ainda lá); Descrição menciona horário/prazo fixo de despacho; Documento de Notificação/Comunicação prévia na Anvisa não preenchido; Marca cadastrada incorreta/inconsistente</t>
  </si>
  <si>
    <t>Marca cadastrada incorreta/inconsistente: Marca "Essencia Brasil" difere da marca própria esperada "Essência do Brasil"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</t>
  </si>
  <si>
    <t>MLB5268243776</t>
  </si>
  <si>
    <t>MLB1992495378</t>
  </si>
  <si>
    <t>MLB3224219344</t>
  </si>
  <si>
    <t>Colar Prata 925 Citrino Coração Semi-lapidado Verdadeiro</t>
  </si>
  <si>
    <t>MLB4051885091</t>
  </si>
  <si>
    <t>Blend De Óleos Essenciais Citrus Refrescante 10ml - Natural</t>
  </si>
  <si>
    <t>Perfume Feminino Essência Do Brasil Opium De Chine 100ml + Madame Paris 30ml</t>
  </si>
  <si>
    <t>Colar Prata 925 Com Banho Em Ródio Citrino Bruto Natural</t>
  </si>
  <si>
    <t>Título com mais de 60 caracteres: Título com 76 caracteres (limite ML=60) | 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</si>
  <si>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MLB2013640374</t>
  </si>
  <si>
    <t xml:space="preserve">Óleo Essencial De Copaíba (destilado Da Resina) - 10ml </t>
  </si>
  <si>
    <t>MLB5268281552</t>
  </si>
  <si>
    <t>MLB3248782977</t>
  </si>
  <si>
    <t>Colar Prata 925 Quartzo Rosa Obelisco De Prata Verdadeiro</t>
  </si>
  <si>
    <t>MLB2212421168</t>
  </si>
  <si>
    <t>Perfume Com Ferômonios Arabian 100ml - Masculino</t>
  </si>
  <si>
    <t>MLB4058373223</t>
  </si>
  <si>
    <t>Óleo Essencial Menta Piperita 30ml - Puro E Natural</t>
  </si>
  <si>
    <t>Pingente De Ouro Ponte Vecchio Joias Pingente Banhado Ouro 18k Nossa Senhora Legítima P. Vecchio Ouro</t>
  </si>
  <si>
    <t>MLB2643155249</t>
  </si>
  <si>
    <t>Título com mais de 60 caracteres: Título com 101 caracteres (limite ML=60)</t>
  </si>
  <si>
    <t>Super Kit 18 Essências Aromatizador / Difusor Ambientes</t>
  </si>
  <si>
    <t>MLB3251312639</t>
  </si>
  <si>
    <t>MLB5268281574</t>
  </si>
  <si>
    <t>Descrição repetida em outros anúncios com título diferente (verificar se é boilerplate ou erro): Mesma descrição usada em 4 anúncios com títulos diferentes | Documento de Notificação/Comunicação prévia na Anvisa não preenchido: Número de Notificação/Comunicação prévia na Anvisa não preenchido</t>
  </si>
  <si>
    <t>Perfume Masculino Petitgrain Natural 10ml Roll On</t>
  </si>
  <si>
    <t>Colar Prata 925 Ametista Obelisco Lapidada Prata Verdadeira</t>
  </si>
  <si>
    <t>MLB2643184357</t>
  </si>
  <si>
    <t>MLB4058450851</t>
  </si>
  <si>
    <t>Kit 4 Essências Frutais Aromatizador / Difusor Ambientes</t>
  </si>
  <si>
    <t>Pingente Prata 925 Citrino Bruto - Natural E Legítimo</t>
  </si>
  <si>
    <t>MLB3251312647</t>
  </si>
  <si>
    <t>MLB5268293346</t>
  </si>
  <si>
    <t>MLB2643196500</t>
  </si>
  <si>
    <t>Perfume Feminino Laranja Doce Natural 10ml Roll On</t>
  </si>
  <si>
    <t>Kit 3 Essências Aromatizador / Difusor Frutas Vermelhas</t>
  </si>
  <si>
    <t>Colar Prata 925 Citrino Claro Obelisco Lapidado Verdadeiro</t>
  </si>
  <si>
    <t>MLB4058553615</t>
  </si>
  <si>
    <t>MLB2643209317</t>
  </si>
  <si>
    <t>Kit 6 Essências Frutais Aromatizador / Difusor Ambientes</t>
  </si>
  <si>
    <t>MLB3251325281</t>
  </si>
  <si>
    <t>Colar Prata 925 Singapura Turquesa Bruta - P. Vecchio Joias Azul-turquesa</t>
  </si>
  <si>
    <t>Perfume Masculino Bergamota Natural 10ml Roll On</t>
  </si>
  <si>
    <t>MLB2791323630</t>
  </si>
  <si>
    <t>MLB5268293374</t>
  </si>
  <si>
    <t>Kit 4 Óleos Essenciais Roll On 10ml - Top Mais Vendidos</t>
  </si>
  <si>
    <t>Colar Prata 925 Citrino Obelisco Lapidado Prata Verdadeiro</t>
  </si>
  <si>
    <t>MLB2897253399</t>
  </si>
  <si>
    <t>MLB3251348175</t>
  </si>
  <si>
    <t>Kit 2 Óleos Essen. Menta Piperita E Eucalipto Roll On 10ml</t>
  </si>
  <si>
    <t>MLB4060204647</t>
  </si>
  <si>
    <t>Perfume Feminino Flor De Laranjeira Natural 10ml Roll On</t>
  </si>
  <si>
    <t>Pingente Prata 950 Quartzo Verde Semi Lapidado Em Prata Cor Natural</t>
  </si>
  <si>
    <t>MLB5365285896</t>
  </si>
  <si>
    <t>MLB2897253533</t>
  </si>
  <si>
    <t>Colar Em Prata 925 Ametista 13 Quilates Natural Legítima Roxo</t>
  </si>
  <si>
    <t>Kit 2 Óleos Essenciais Menta Piperita Roll On 10ml - Puro</t>
  </si>
  <si>
    <t>MLB3275946574</t>
  </si>
  <si>
    <t>Perfume Roll On Feminino Essência Do Brasil Jasmim Floral 10ml</t>
  </si>
  <si>
    <t>MLB4085587711</t>
  </si>
  <si>
    <t>MLB2897264542</t>
  </si>
  <si>
    <t>Título com mais de 60 caracteres: Título com 62 caracteres (limite ML=60) | 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</si>
  <si>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Kit 2 Óleos Essen. Hortelã Pimenta E Eucalipto Roll On 10ml</t>
  </si>
  <si>
    <t>Pingente De Prata + Pedra Natural Ponte Vecchio Joias Atemporal Y Desenho Do Atemporal</t>
  </si>
  <si>
    <t>MLB5372744204</t>
  </si>
  <si>
    <t>Título com mais de 60 caracteres: Título com 86 caracteres (limite ML=60)</t>
  </si>
  <si>
    <t>MLB3275957332</t>
  </si>
  <si>
    <t>MLB2897276453</t>
  </si>
  <si>
    <t>Colar Prata 925 Com Banho Platina Sodalita Polida Natural</t>
  </si>
  <si>
    <t>Kit 2 Óleos Essenciais Hortelã Pimenta Roll On 10ml - Puro</t>
  </si>
  <si>
    <t>Perfume Masculino Marcopolo 100ml Essência Do Brasil Com Ferômonios</t>
  </si>
  <si>
    <t>MLB4130403557</t>
  </si>
  <si>
    <t>MLB2897288200</t>
  </si>
  <si>
    <t>Colar Prata 925 + Ouro Green Gold Coração - P. Vecchio Joias Dourado</t>
  </si>
  <si>
    <t>MLB5372757322</t>
  </si>
  <si>
    <t>Óleo Vegetal De Sementes De Uva - 100ml Puro E Natural</t>
  </si>
  <si>
    <t>Colar Prata 925 Com Banho Em Platina Howlita Gota Natural</t>
  </si>
  <si>
    <t>MLB3275981742</t>
  </si>
  <si>
    <t>Perfume Almíscar Selvagem Masculino Essência Do Brasil De 100 Ml</t>
  </si>
  <si>
    <t>MLB3151638318</t>
  </si>
  <si>
    <t>Óleo Essencial Basilicão (manjericão) 20ml - Puro E Natural</t>
  </si>
  <si>
    <t>Título com mais de 60 caracteres: Título com 64 caracteres (limite ML=60) | 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</si>
  <si>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MLB4130404033</t>
  </si>
  <si>
    <t>MLB5372782400</t>
  </si>
  <si>
    <t>Pingente Prata 950 Citrino Oval Ponte Vecchio Joias Pedra Prosperidade Amarelo</t>
  </si>
  <si>
    <t>Colar Prata 925 Com Banho Platina Lápis-lazúli Bruto Natural</t>
  </si>
  <si>
    <t>MLB3388922461</t>
  </si>
  <si>
    <t>Título com mais de 60 caracteres: Título com 78 caracteres (limite ML=60)</t>
  </si>
  <si>
    <t>MLB3282840054</t>
  </si>
  <si>
    <t>Kit 4 Essências Aromatizador / Difusor 10ml - Doces</t>
  </si>
  <si>
    <t>Perfume Feminino Sálvia Natural 10ml Roll On</t>
  </si>
  <si>
    <t>MLB4130416797</t>
  </si>
  <si>
    <t>MLB5372821398</t>
  </si>
  <si>
    <t>MLB3396521519</t>
  </si>
  <si>
    <t>Colar Feminino Prata 925 45cm Com Pingente Quartzo Rosa Bruto Elegante Prateado</t>
  </si>
  <si>
    <t>Kit Óleo Essencial Lavandin + Roll On 10ml - Puro E Natural</t>
  </si>
  <si>
    <t>Colar Prata 925 Com Banho Em Platina Lápis-lazúli Polido</t>
  </si>
  <si>
    <t>MLB3282850266</t>
  </si>
  <si>
    <t>MLB3462895107</t>
  </si>
  <si>
    <t>Perfume Feminino Patchouli Natural 10ml Roll On</t>
  </si>
  <si>
    <t>Kit Óleo Essencial Menta Spicata + Vegetal R. Mosqueta 10ml</t>
  </si>
  <si>
    <t>MLB4146550873</t>
  </si>
  <si>
    <t>MLB5372834168</t>
  </si>
  <si>
    <t>Colar Prata 925 Com Banho Em Platina Howlita Bruta Natural</t>
  </si>
  <si>
    <t>Kit 4 Pingentes: Cornalina, Calcita, Olho De Tigre, Granada Cor Prateado</t>
  </si>
  <si>
    <t>MLB3462895115</t>
  </si>
  <si>
    <t>Kit Óleo Essencial Capim Limão + Vegetal Rosa Mosqueta 10ml</t>
  </si>
  <si>
    <t>MLB3282850272</t>
  </si>
  <si>
    <t>Perfume Masculino Flor De Laranjeira Natural 10ml Roll On</t>
  </si>
  <si>
    <t>MLB5372885740</t>
  </si>
  <si>
    <t>MLB3462921127</t>
  </si>
  <si>
    <t>Colar Prata 925 Com Banho Em Platina Citrino Bruto Natural</t>
  </si>
  <si>
    <t>MLB4182716499</t>
  </si>
  <si>
    <t>Kit Óleo Essencial Canela + Óleo Vegetal Rosa Mosqueta 10ml</t>
  </si>
  <si>
    <t>Colar Em Couro Grego E Prata Ametista Bruta - P. Vecchio Preto</t>
  </si>
  <si>
    <t>Título com mais de 60 caracteres: Título com 62 caracteres (limite ML=60)</t>
  </si>
  <si>
    <t>MLB3282850282</t>
  </si>
  <si>
    <t>MLB3462946421</t>
  </si>
  <si>
    <t>MLB5372885744</t>
  </si>
  <si>
    <t>Perfume Feminino Lima-limão Natural 10ml Roll On</t>
  </si>
  <si>
    <t>Kit Óleo Essencial Pinho Sibéria + Vegetal R. Mosqueta 10ml</t>
  </si>
  <si>
    <t>Colar Prata 925 Com Banho Em Platina Sodalita Bruta Natural</t>
  </si>
  <si>
    <t>MLB4203991159</t>
  </si>
  <si>
    <t>MLB3462946433</t>
  </si>
  <si>
    <t>Kit 4 Pingentes Prata: Hematita, Howlita, Pirita, Cristal Prateado</t>
  </si>
  <si>
    <t>Kit Óleo Essen. Lavanda Francesa + Vegetal R. Mosqueta 10ml</t>
  </si>
  <si>
    <t>MLB3282850284</t>
  </si>
  <si>
    <t>Perfume Feminino Petitgrain Natural 10ml Roll On</t>
  </si>
  <si>
    <t>MLB5372885748</t>
  </si>
  <si>
    <t>Colar Prata 925 Com Banho Em Platina Água-marinha Bruta</t>
  </si>
  <si>
    <t>MLB3462959433</t>
  </si>
  <si>
    <t>Kit Óleo Essencial Litsea Cubeba + Vegetal R. Mosqueta 10ml</t>
  </si>
  <si>
    <t>MLB4215913377</t>
  </si>
  <si>
    <t>Pingente Prata Água-marinha Medalha Verdadeira - P. Vecchio Prateado Transparente</t>
  </si>
  <si>
    <t>MLB3282850292</t>
  </si>
  <si>
    <t>MLB5372898666</t>
  </si>
  <si>
    <t>MLB3462959445</t>
  </si>
  <si>
    <t>Título com mais de 60 caracteres: Título com 81 caracteres (limite ML=60) | Anúncio sem descrição: Descrição vazia</t>
  </si>
  <si>
    <t>Perfume Masculino Grapefruit Natural 10ml Roll On</t>
  </si>
  <si>
    <t>Colar Prata 925 Com Banho Em Platina Granada Polida Natural</t>
  </si>
  <si>
    <t>Kit Óleo Essencial Mandarina + Óleo Vegetal R. Mosqueta 10ml</t>
  </si>
  <si>
    <t>MLB4263459181</t>
  </si>
  <si>
    <t>MLB3462972531</t>
  </si>
  <si>
    <t>Kit Óleo Essencial Pimenta Rosa + Vegetal Rosa Mosqueta 10ml</t>
  </si>
  <si>
    <t>Kit 4 Pingentes Prata: Jade, Quartzo, Amazonita, Esmeralda Cor Prateado</t>
  </si>
  <si>
    <t>MLB5372911902</t>
  </si>
  <si>
    <t>MLB3282864178</t>
  </si>
  <si>
    <t>Colar Prata 925 Com Banho Platina Quartzo Rosa Bruto Natural</t>
  </si>
  <si>
    <t>Perfume Masculino Patchouli Puro Natural 10ml Roll On</t>
  </si>
  <si>
    <t>MLB3462985333</t>
  </si>
  <si>
    <t>Kit Óleo Essencial Ylang Ylang + Vegetal Rosa Mosqueta 10ml</t>
  </si>
  <si>
    <t>MLB4263565061</t>
  </si>
  <si>
    <t>Berloque Prata 925 Multicolorido Arco-íris - Ponte Vecchio Prateado</t>
  </si>
  <si>
    <t>MLB5372924622</t>
  </si>
  <si>
    <t>MLB3463011229</t>
  </si>
  <si>
    <t>Colar Prata 925 Com Banho Em Platina Granada Bruta Natural</t>
  </si>
  <si>
    <t>Kit Óleo Essen. Lavanda BuLGária + Vegetal R. Mosqueta 10ml</t>
  </si>
  <si>
    <t>MLB3282864186</t>
  </si>
  <si>
    <t>Perfume Feminino Palmarosa Natural 10ml Roll On</t>
  </si>
  <si>
    <t>MLB3494478905</t>
  </si>
  <si>
    <t>Essência Do Brasil Kit 2 Óleos Essenciais 10ml Melaleuca Laranja Amarga</t>
  </si>
  <si>
    <t>MLB4264732599</t>
  </si>
  <si>
    <t>Documento de Notificação/Comunicação prévia na Anvisa não preenchido; Título com mais de 60 caracteres</t>
  </si>
  <si>
    <t>MLB5372976132</t>
  </si>
  <si>
    <t>Título com mais de 60 caracteres: Título com 71 caracteres (limite ML=60) | Documento de Notificação/Comunicação prévia na Anvisa não preenchido: Número de Notificação/Comunicação prévia na Anvisa não preenchido</t>
  </si>
  <si>
    <t>Colar Em Couro Grego E Prata Hematita - Ponte Vecchio Joias Cor Preto</t>
  </si>
  <si>
    <t>Colar Prata 925 Com Banho Em Platina Safira Bruta Natural</t>
  </si>
  <si>
    <t>MLB3282913684</t>
  </si>
  <si>
    <t>MLB3494528393</t>
  </si>
  <si>
    <t>Título com mais de 60 caracteres: Título com 69 caracteres (limite ML=60)</t>
  </si>
  <si>
    <t>Óleo Essencial Limão Tahiti 10ml Roll On - Puro E Natural</t>
  </si>
  <si>
    <t>Perfume Masculino Cedro Natural 10ml Roll On</t>
  </si>
  <si>
    <t>MLB3494529449</t>
  </si>
  <si>
    <t>MLB5372988774</t>
  </si>
  <si>
    <t>Óleo Essencial Basilicão 10ml Roll On - Puro E Natural</t>
  </si>
  <si>
    <t>MLB4264763389</t>
  </si>
  <si>
    <t>Colar Prata 925 Com Banho Em Platina Turmalina Negra Bruta</t>
  </si>
  <si>
    <t>MLB3283297314</t>
  </si>
  <si>
    <t>Colar De Prata 925 Com Pingente De Sodalita Semi Lapidada Feminino Azul</t>
  </si>
  <si>
    <t>MLB3494529507</t>
  </si>
  <si>
    <t>Perfume Masculino Laranja Amarga Natural 10ml Roll On</t>
  </si>
  <si>
    <t>Óleo Essencial Noz Moscada 10ml Roll On - Puro E Natural</t>
  </si>
  <si>
    <t>MLB3494548847</t>
  </si>
  <si>
    <t>MLB5372997304</t>
  </si>
  <si>
    <t>Óleo Essencial Puro De Cipreste Em Roll-on Essência Do Brasil, 10ml</t>
  </si>
  <si>
    <t>MLB3283297320</t>
  </si>
  <si>
    <t>Anúncio sem descrição; Documento de Notificação/Comunicação prévia na Anvisa não preenchido; Título com mais de 60 caracteres</t>
  </si>
  <si>
    <t>MLB4264893465</t>
  </si>
  <si>
    <t>Colar Prata 925 Com Banho Em Platina Safira Polida Natural</t>
  </si>
  <si>
    <t>Título com mais de 60 caracteres: Título com 67 caracteres (limite ML=60) | Anúncio sem descrição: Descrição vazia | Documento de Notificação/Comunicação prévia na Anvisa não preenchido: Número de Notificação/Comunicação prévia na Anvisa não preenchido</t>
  </si>
  <si>
    <t>Perfume Masculino Noz Moscada Natural 10ml Roll On</t>
  </si>
  <si>
    <t>Pingente Pedra Ametista Coração Roxo Ouro 18k Ponte Vecchio Joias</t>
  </si>
  <si>
    <t>MLB3494562299</t>
  </si>
  <si>
    <t>Óleo Essencial Eucalipto Globulus 10ml Roll On - Puro</t>
  </si>
  <si>
    <t>Título com mais de 60 caracteres: Título com 65 caracteres (limite ML=60)</t>
  </si>
  <si>
    <t>MLB5375488528</t>
  </si>
  <si>
    <t>Colar Prata 925 Com Banho Em Ródio Howlita Bruta Natural</t>
  </si>
  <si>
    <t>MLB3283297322</t>
  </si>
  <si>
    <t>MLB3494563865</t>
  </si>
  <si>
    <t>Óleo Essencial De Melaleuca E Lavandin Puro Da Essência Do Brasil, 10 Ml</t>
  </si>
  <si>
    <t>Perfume Feminino Mirra Natural 10ml Roll On</t>
  </si>
  <si>
    <t>MLB4265589625</t>
  </si>
  <si>
    <t>Título com mais de 60 caracteres: Título com 72 caracteres (limite ML=60) | Anúncio sem descrição: Descrição vazia | Documento de Notificação/Comunicação prévia na Anvisa não preenchido: Número de Notificação/Comunicação prévia na Anvisa não preenchido</t>
  </si>
  <si>
    <t>Kit 4 Pingentes Prata Quartzo Rosa, Selenita, Opala, Howlita Cor Prateado</t>
  </si>
  <si>
    <t>MLB3494574481</t>
  </si>
  <si>
    <t>MLB5375546208</t>
  </si>
  <si>
    <t>Óleo Essencial Menta Arvensis 10ml Roll On - Puro E Natural</t>
  </si>
  <si>
    <t>Colar Prata 925 Com Banho Em Ródio Turmalina Negra Polida</t>
  </si>
  <si>
    <t>MLB3283310326</t>
  </si>
  <si>
    <t>Perfume Masculino Eucalipto Natural 10ml Roll On</t>
  </si>
  <si>
    <t>MLB4271742469</t>
  </si>
  <si>
    <t>MLB3494603693</t>
  </si>
  <si>
    <t>Pingente Prata 950 Olho De Tigre Polido Ponte Vecchio Joias Cor Marrom Dourado</t>
  </si>
  <si>
    <t>Óleo Essencial Eucalipto Globulus Puro Para Difusor 20ml Da Essência Do Brasil</t>
  </si>
  <si>
    <t>MLB5375546210</t>
  </si>
  <si>
    <t>Colar Prata 925 Com Banho Em Ródio Safira Polida Natural</t>
  </si>
  <si>
    <t>Título com mais de 60 caracteres: Título com 78 caracteres (limite ML=60) | Documento de Notificação/Comunicação prévia na Anvisa não preenchido: Número de Notificação/Comunicação prévia na Anvisa não preenchido</t>
  </si>
  <si>
    <t>MLB3283310328</t>
  </si>
  <si>
    <t>MLB3494611205</t>
  </si>
  <si>
    <t>MLB4271843369</t>
  </si>
  <si>
    <t>Kit Óleo Essencial Limão Siciliano + Roll On 10ml - Puro</t>
  </si>
  <si>
    <t>Perfume Feminino Notas De Alecrim Natural 10ml Roll On</t>
  </si>
  <si>
    <t>MLB5375546214</t>
  </si>
  <si>
    <t>Pingente Cruz Minimalista Em Prata 925 - Ponte Vecchio Cor Prateado</t>
  </si>
  <si>
    <t>Colar Prata 925 Com Banho Ródio Sodalita Polida Natural</t>
  </si>
  <si>
    <t>MLB3494613079</t>
  </si>
  <si>
    <t>Óleo Essencial Cravo Botão 10ml Roll On - Puro E Natural</t>
  </si>
  <si>
    <t>MLB3288481611</t>
  </si>
  <si>
    <t>MLB4309528279</t>
  </si>
  <si>
    <t>MLB3494613127</t>
  </si>
  <si>
    <t>Perfume Deep Roses Masculino 100ml - Extrait De Parfum</t>
  </si>
  <si>
    <t>Pingente Prata 925 Peridoto Gota Lapidado Verdadeiro Natural Prateado</t>
  </si>
  <si>
    <t>MLB5375546216</t>
  </si>
  <si>
    <t>Óleo Essencial Grapefruit 10 Ml Roll On Puro E Natural Essência Do Brasil</t>
  </si>
  <si>
    <t>Título com mais de 60 caracteres: Título com 73 caracteres (limite ML=60) | Documento de Notificação/Comunicação prévia na Anvisa não preenchido: Número de Notificação/Comunicação prévia na Anvisa não preenchido</t>
  </si>
  <si>
    <t>Colar Prata 925 Com Banho Em Ródio Granada Bruta Natural</t>
  </si>
  <si>
    <t>MLB3505248737</t>
  </si>
  <si>
    <t>Blend De Óleos Essenciais Citrus Refrescante, 10 Ml</t>
  </si>
  <si>
    <t>MLB3288481617</t>
  </si>
  <si>
    <t>MLB4315678311</t>
  </si>
  <si>
    <t>MLB5375558948</t>
  </si>
  <si>
    <t>Perfume Deep Yellow Feminino 100ml - Extrait De Parfum</t>
  </si>
  <si>
    <t>Colar Em Couro Grego Prata 60cm Amazonita Bruta Masculino</t>
  </si>
  <si>
    <t>Colar Prata 925 Com Banho Em Ródio Lápis-lazúli Polido</t>
  </si>
  <si>
    <t>MLB3515578845</t>
  </si>
  <si>
    <t>Kit Óleo Essencial Menta Spicata + Rosa Mosqueta 10ml Essência Do Brasil</t>
  </si>
  <si>
    <t>Título com mais de 60 caracteres: Título com 72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</si>
  <si>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MLB3515617253</t>
  </si>
  <si>
    <t>MLB5375558952</t>
  </si>
  <si>
    <t>MLB3288502351</t>
  </si>
  <si>
    <t>MLB4315703687</t>
  </si>
  <si>
    <t>Kit Óleo Essencial Mandarina E Óleo Rosa Mosqueta Puro, 10 Ml Para Pele</t>
  </si>
  <si>
    <t>Colar Prata 925 Com Banho Em Ródio Ametista Drusa Natural</t>
  </si>
  <si>
    <t>Perfume Deep Green Masculino 100ml - Extrait De Parfum</t>
  </si>
  <si>
    <t>Título com mais de 60 caracteres: Título com 71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</si>
  <si>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Colar Em Couro Grego Prata 60cm Turquesa Polida Masculino</t>
  </si>
  <si>
    <t>MLB3515617351</t>
  </si>
  <si>
    <t>Kit Óleo Essencial Litsea Cubeba + Rosa Mosqueta 10ml Essência Do Brasil</t>
  </si>
  <si>
    <t>MLB5375597254</t>
  </si>
  <si>
    <t>MLB3289975827</t>
  </si>
  <si>
    <t>MLB3516968647</t>
  </si>
  <si>
    <t>Colar Prata 925 Com Banho Em Ródio Amazonita Polida Natural</t>
  </si>
  <si>
    <t>Perfume Gemma Rubi Feminino 100ml</t>
  </si>
  <si>
    <t>Óleo Essencial De Basilicão Puro E Natural 30ml - Essência Do Brasil</t>
  </si>
  <si>
    <t>MLB4332018152</t>
  </si>
  <si>
    <t>Documento de Notificação/Comunicação prévia na Anvisa não preenchido; Marca cadastrada incorreta/inconsistente</t>
  </si>
  <si>
    <t>Título com mais de 60 caracteres: Título com 68 caracteres (limite ML=60) | Documento de Notificação/Comunicação prévia na Anvisa não preenchido: Número de Notificação/Comunicação prévia na Anvisa não preenchido</t>
  </si>
  <si>
    <t>Marca cadastrada incorreta/inconsistente: Marca "Ponte Vecchio Joias" difere da marca própria esperada "Essência do Brasil" | Documento de Notificação/Comunicação prévia na Anvisa não preenchido: Número de Notificação/Comunicação prévia na Anvisa não preenchido</t>
  </si>
  <si>
    <t>Pingente Prata 950 Prasiolita Bruta Incrível - P. Vecchio Cor Natural</t>
  </si>
  <si>
    <t>MLB3521787589</t>
  </si>
  <si>
    <t>Kit Óleos Essência Do Brasil Com Lavanda Francesa E Rosa Mosqueta 10ml</t>
  </si>
  <si>
    <t>MLB3289989685</t>
  </si>
  <si>
    <t>Título com mais de 60 caracteres: Título com 70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</si>
  <si>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MLB5418241700</t>
  </si>
  <si>
    <t>Perfume Gemma Jade Feminino 100ml</t>
  </si>
  <si>
    <t>Colar Ponte Vecchio Joias De Prata 925 Com Cristal E Sodalita Feminino 45 Cm Cristal Transparente E Azul Escuro</t>
  </si>
  <si>
    <t>MLB3521807431</t>
  </si>
  <si>
    <t>MLB4332018166</t>
  </si>
  <si>
    <t>Kit Óleo Essencial Eucalipto Citriodora E Vegetal Alecrim Para Massagens Essência Do Brasil</t>
  </si>
  <si>
    <t>Pingente Prata 950 Ágata De Botswana - Ponte Vecchio Joias Cor Natural</t>
  </si>
  <si>
    <t>Título com mais de 60 caracteres: Título com 91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</si>
  <si>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Título com mais de 60 caracteres: Título com 111 caracteres (limite ML=60)</t>
  </si>
  <si>
    <t>MLB3521807543</t>
  </si>
  <si>
    <t>MLB3289989687</t>
  </si>
  <si>
    <t>Kit Óleo Essencial Laranja Com Óleo Vegetal Rosa Mosqueta Essência Do Brasil</t>
  </si>
  <si>
    <t>Coffret Perfume Gemma Ametista 100ml + Colar Em Prata 925</t>
  </si>
  <si>
    <t>Título com mais de 60 caracteres: Título com 76 caracteres (limite ML=60) | Documento de Notificação/Comunicação prévia na Anvisa não preenchido: Número de Notificação/Comunicação prévia na Anvisa não preenchido</t>
  </si>
  <si>
    <t>MLB5436728284</t>
  </si>
  <si>
    <t>MLB4332030362</t>
  </si>
  <si>
    <t>MLB3521814195</t>
  </si>
  <si>
    <t>Colar Prata 925 Pedra Bruta Natural Masculino: Você Escolhe</t>
  </si>
  <si>
    <t>Kit Óleos Essenciais: Eucalipto E Rosa Mosqueta Da Essência Do Brasil, 10 Ml</t>
  </si>
  <si>
    <t>Pingente Prata 950 Conjunto Ametista + Quartzo Rosa Cor Natural</t>
  </si>
  <si>
    <t>MLB3289989689</t>
  </si>
  <si>
    <t>Descrição repetida em outros anúncios com título diferente (verificar se é boilerplate ou erro): Mesma descrição usada em 2 anúncios com títulos diferentes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</t>
  </si>
  <si>
    <t>Perfume Gemma Água-marinha Feminino 100ml</t>
  </si>
  <si>
    <t>MLB3523914591</t>
  </si>
  <si>
    <t>Kit Óleos Essenciais Essência Do Brasil Lavanda BuLGária Rosa Mosqueta 10ml</t>
  </si>
  <si>
    <t>Título com mais de 60 caracteres: Título com 75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</si>
  <si>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MLB5444861444</t>
  </si>
  <si>
    <t>MLB4333174604</t>
  </si>
  <si>
    <t>MLB3539522631</t>
  </si>
  <si>
    <t>Colar Prata 925 Rabo De Rato Sodalita Oval - Ponte Vecchio Azul-escuro</t>
  </si>
  <si>
    <t>MLB3289989695</t>
  </si>
  <si>
    <t>Kit Óleo Essencial Pimenta Rosa + Rosa Mosqueta 10ml Essência Do Brasil</t>
  </si>
  <si>
    <t>Pingente Prata 950 Drusa Ametista Com Titânio P. Vecchio Cor Natural</t>
  </si>
  <si>
    <t>Perfume Gemma Turmalina Feminino 100ml</t>
  </si>
  <si>
    <t>MLB3542332269</t>
  </si>
  <si>
    <t>Essência Do Brasil Kit Óleo Essencial Pimenta Preta + Rosa Mosqueta 10ml 100% Puro</t>
  </si>
  <si>
    <t>MLB5457984402</t>
  </si>
  <si>
    <t>MLB4333174994</t>
  </si>
  <si>
    <t>Título com mais de 60 caracteres: Título com 82 caracteres (limite ML=60) | Documento de Notificação/Comunicação prévia na Anvisa não preenchido: Número de Notificação/Comunicação prévia na Anvisa não preenchido</t>
  </si>
  <si>
    <t>Colar Prata 925 Singapura Quartzo Rosa Polido Ponte Vecchio Rosa-pálido</t>
  </si>
  <si>
    <t>MLB3289989697</t>
  </si>
  <si>
    <t>Pingente Prata 950 Granada Bruta - Ponte Vecchio Joias Cor Natural</t>
  </si>
  <si>
    <t>Coffret Perfume Gemma Esmeralda 100ml + Colar Em Prata 925</t>
  </si>
  <si>
    <t>MLB3542344107</t>
  </si>
  <si>
    <t>Título com mais de 60 caracteres: Título com 66 caracteres (limite ML=60)</t>
  </si>
  <si>
    <t>Essência Do Brasil Kit 3 Óleos Essenciais 10ml Alecrim Hortelã Melaleuca</t>
  </si>
  <si>
    <t>MLB5477583328</t>
  </si>
  <si>
    <t>MLB4333309082</t>
  </si>
  <si>
    <t>Colar Em Prata 925 Pedra Citrino Pirâmide Natural Legítimo</t>
  </si>
  <si>
    <t>MLB3542345077</t>
  </si>
  <si>
    <t>Kit Óleo Essencial Lavandim E Óleo Vegetal Rosa Mosqueta Essência Do Brasil Para Pele E Massagem</t>
  </si>
  <si>
    <t>Pingente Turmalina Negra Bruta Natural - Ponte Vecchio Cor Prateado</t>
  </si>
  <si>
    <t>MLB3343547006</t>
  </si>
  <si>
    <t>Título com mais de 60 caracteres: Título com 96 caracteres (limite ML=60) | Documento de Notificação/Comunicação prévia na Anvisa não preenchido: Número de Notificação/Comunicação prévia na Anvisa não preenchido</t>
  </si>
  <si>
    <t>MLB3542356871</t>
  </si>
  <si>
    <t>MLB5480894786</t>
  </si>
  <si>
    <t>Kit Óleo Essencial Grapefruit &amp; Rosa Mosqueta 10ml Essência Do Brasil</t>
  </si>
  <si>
    <t>Título com mais de 60 caracteres: Título com 69 caracteres (limite ML=60) | Documento de Notificação/Comunicação prévia na Anvisa não preenchido: Número de Notificação/Comunicação prévia na Anvisa não preenchido</t>
  </si>
  <si>
    <t>Colar Em Prata 925 Com Pedra Pirita Oval Verdadeira Marrom</t>
  </si>
  <si>
    <t>MLB4333500940</t>
  </si>
  <si>
    <t>MLB3542384493</t>
  </si>
  <si>
    <t>MLB3343590416</t>
  </si>
  <si>
    <t>Kit 2 Óleos Essenciais Roll On 10ml Menta Piperita Eucalipto Essência Brasil</t>
  </si>
  <si>
    <t>Pingente Prata: Turmalina Bruta E Design Oval De Cristal Cor Natural</t>
  </si>
  <si>
    <t>Perfume Feromônios Masculino Eros 100ml - Amadeirado</t>
  </si>
  <si>
    <t>Descrição repetida em outros anúncios com título diferente (verificar se é boilerplate ou erro): Mesma descrição usada em 81 anúncios com títulos diferentes | País de origem diferente de "Brasil": País de origem = "(vazio)", deveria ser "Brasil" | Documento de Notificação/Comunicação prévia na Anvisa não preenchido: Número de Notificação/Comunicação prévia na Anvisa não preenchido</t>
  </si>
  <si>
    <t>MLB3546038257</t>
  </si>
  <si>
    <t>MLB5502049152</t>
  </si>
  <si>
    <t>Kit Com 2 Óleos Essenciais Roll-on De Menta Piperita E Lavandin 10ml</t>
  </si>
  <si>
    <t>Colar Prata 925 Lápis-lazúli Bruto Genuíno Natural Masculino Prateado</t>
  </si>
  <si>
    <t>MLB4334315628</t>
  </si>
  <si>
    <t>MLB3343629314</t>
  </si>
  <si>
    <t>MLB3580536927</t>
  </si>
  <si>
    <t>Pingente Prata 950 Chapa De Ágata - P. Vecchio Joias Cor Natural</t>
  </si>
  <si>
    <t>Essência Do Brasil Óleo Essencial Pimenta Rosa 10ml Aromaterapia</t>
  </si>
  <si>
    <t>Título com mais de 60 caracteres: Título com 64 caracteres (limite ML=60) | Documento de Notificação/Comunicação prévia na Anvisa não preenchido: Número de Notificação/Comunicação prévia na Anvisa não preenchido</t>
  </si>
  <si>
    <t>MLB5507752404</t>
  </si>
  <si>
    <t>MLB3580858215</t>
  </si>
  <si>
    <t>Óleo Essencial Petitgrain Puro De Essência Do Brasil Para Difusor</t>
  </si>
  <si>
    <t>Colar Prata 925 Cadeado Cianita Bruta - Ponte Vecchio Joias Azul</t>
  </si>
  <si>
    <t>MLB3346771123</t>
  </si>
  <si>
    <t>Título com mais de 60 caracteres: Título com 65 caracteres (limite ML=60) | Documento de Notificação/Comunicação prévia na Anvisa não preenchido: Número de Notificação/Comunicação prévia na Anvisa não preenchido</t>
  </si>
  <si>
    <t>MLB4334326970</t>
  </si>
  <si>
    <t>Eau De Toilette Feminino Essência Do Brasil Roll On Patchouli 10ml</t>
  </si>
  <si>
    <t>Colar Prata 925 E Pingente Gota Cristal Natural - P. Vecchio Cor Prateado</t>
  </si>
  <si>
    <t>MLB3580893863</t>
  </si>
  <si>
    <t>Óleo Essencial Tangerina 10ml Roll On - Puro E Natural</t>
  </si>
  <si>
    <t>Título com mais de 60 caracteres: Título com 66 caracteres (limite ML=60) | Documento de Notificação/Comunicação prévia na Anvisa não preenchido: Número de Notificação/Comunicação prévia na Anvisa não preenchido</t>
  </si>
  <si>
    <t>Marca cadastrada incorreta/inconsistente: Marca "Essencia Brasil" difere da marca própria esperada "Essência do Brasil" | Documento de Notificação/Comunicação prévia na Anvisa não preenchido: Número de Notificação/Comunicação prévia na Anvisa não preenchido</t>
  </si>
  <si>
    <t>MLB5507921360</t>
  </si>
  <si>
    <t>MLB3580946007</t>
  </si>
  <si>
    <t>MLB3347899555</t>
  </si>
  <si>
    <t>Colar Em Prata 925 Pedra Quartzo Rosa Pirâmide Natural</t>
  </si>
  <si>
    <t>Kit 4 Óleos Essenciais Roll On Puros Essência Do Brasil, Com Alecrim, Menta, Cravo E Melaleuca</t>
  </si>
  <si>
    <t>Perfume Essência Do Brasil Amadeirado Pau Rosa Natural 10ml Roll On</t>
  </si>
  <si>
    <t>Título com mais de 60 caracteres: Título com 94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</si>
  <si>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Documento de Notificação/Comunicação prévia na Anvisa não preenchido; País de origem diferente de "Brasil"; Título com mais de 60 caracteres</t>
  </si>
  <si>
    <t>Título com mais de 60 caracteres: Título com 67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</si>
  <si>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MLB4334415060</t>
  </si>
  <si>
    <t>MLB3580948465</t>
  </si>
  <si>
    <t>Pingente Prata Com Ametista Drusa Radiante - Ponte Vecchio Cor Natural</t>
  </si>
  <si>
    <t>Óleo Essencial Ho Wood Puro E Natural Para Aromaterapia, 30 Ml</t>
  </si>
  <si>
    <t>Título com mais de 60 caracteres: Título com 62 caracteres (limite ML=60) | Documento de Notificação/Comunicação prévia na Anvisa não preenchido: Número de Notificação/Comunicação prévia na Anvisa não preenchido</t>
  </si>
  <si>
    <t>MLB3357990609</t>
  </si>
  <si>
    <t>Eau De Toilette Feminino Essência Do Brasil Alfazema 10ml Roll On</t>
  </si>
  <si>
    <t>MLB3580963183</t>
  </si>
  <si>
    <t>Óleo Essencial 30ml Essência Do Brasil Laranja Doce Cedro Anis Relaxar Difusor</t>
  </si>
  <si>
    <t>MLB5508248858</t>
  </si>
  <si>
    <t>Título com mais de 60 caracteres: Título com 78 caracteres (limite ML=60) | Anúncio sem descrição: Descrição vazia | Documento de Notificação/Comunicação prévia na Anvisa não preenchido: Número de Notificação/Comunicação prévia na Anvisa não preenchido</t>
  </si>
  <si>
    <t>Colar Prata 925 Pedra Polida Natural Masculino: Você Escolhe Cor Água-marinha</t>
  </si>
  <si>
    <t>MLB4334541640</t>
  </si>
  <si>
    <t>MLB3580975933</t>
  </si>
  <si>
    <t>Pingente Prata 950 Cristal Bruto - Ponte Vecchio Joias Cor Natural</t>
  </si>
  <si>
    <t>Título com mais de 60 caracteres: Título com 77 caracteres (limite ML=60)</t>
  </si>
  <si>
    <t>Óleo Essencial De Eucalipto Citriodora Para Difusor, 10ml Essência Do Brasil</t>
  </si>
  <si>
    <t>MLB3359864097</t>
  </si>
  <si>
    <t>Perfume Almíscar 11 Essência Do Brasil Amadeirado Vegano 60ml</t>
  </si>
  <si>
    <t>MLB3580976221</t>
  </si>
  <si>
    <t>Título com mais de 60 caracteres: Título com 61 caracteres (limite ML=60) | 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</si>
  <si>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MLB5508714596</t>
  </si>
  <si>
    <t>Óleo Essencial Puro De Limão Siciliano Essência Do Brasil Para Difusor</t>
  </si>
  <si>
    <t>Título com mais de 60 caracteres: Título com 70 caracteres (limite ML=60) | Documento de Notificação/Comunicação prévia na Anvisa não preenchido: Número de Notificação/Comunicação prévia na Anvisa não preenchido</t>
  </si>
  <si>
    <t>MLB4353840364</t>
  </si>
  <si>
    <t>MLB3360522665</t>
  </si>
  <si>
    <t>MLB3583298113</t>
  </si>
  <si>
    <t>Colar Prata 925 Drusa Ametista Metalizada Em Coração Cor Prateado</t>
  </si>
  <si>
    <t>Kit 4 Óleos Essenciais 30ml - Puro E Natural</t>
  </si>
  <si>
    <t>Perfume Floral Essência Do Brasil Ferômonios Nefertiti 10ml Roll On</t>
  </si>
  <si>
    <t>MLB5508722884</t>
  </si>
  <si>
    <t>Colar Feminino Ouro 18k Com Pingente Citrino Ponte Vecchio Joias Amarelo</t>
  </si>
  <si>
    <t>MLB3583310599</t>
  </si>
  <si>
    <t>Kit 8 Essências De Frutas Aromatizador Difusor Ambientes</t>
  </si>
  <si>
    <t>MLB4353842592</t>
  </si>
  <si>
    <t>MLB3366184967</t>
  </si>
  <si>
    <t>Essência Do Brasil Perfume Feminino Natural Flor De Maçã 50ml</t>
  </si>
  <si>
    <t>Pingente Ametista Bruta Natural E Legítima - Ponte Vecchio Cor Prateado</t>
  </si>
  <si>
    <t>MLB3583310607</t>
  </si>
  <si>
    <t>MLB5508786436</t>
  </si>
  <si>
    <t>Óleo Essencial Cipreste 30ml - Puro E Natural</t>
  </si>
  <si>
    <t>Colar Prata 925 + Ouro Quartzo Briolette Lapidado Cristalino</t>
  </si>
  <si>
    <t>Valor incomum em campo que deveria ser curto/categórico (dado errado colado): Valor incomum/muito longo para o campo "NECKLACE_MATERIAL" (padrão da coluna é curto/categórico; parece dado errado colado aqui)</t>
  </si>
  <si>
    <t>MLB3588774243</t>
  </si>
  <si>
    <t>Óleo Essencial Patchouli Dark 10ml Roll On - Puro E Natural</t>
  </si>
  <si>
    <t>MLB3366211977</t>
  </si>
  <si>
    <t>MLB4353886318</t>
  </si>
  <si>
    <t>Perfume Feminino Natural De Gardênia 50ml</t>
  </si>
  <si>
    <t>MLB3588887541</t>
  </si>
  <si>
    <t>MLB5541209566</t>
  </si>
  <si>
    <t>Pingente Prata 950 Quartzo Rosa Gota Semi Lapidado Prata Cor Natural</t>
  </si>
  <si>
    <t>Óleo Essencial De Patchouli Dark Puro E Natural 30ml</t>
  </si>
  <si>
    <t>Colar Prata 925 Pedra Bruta Natural Masculino: Você Escolhe Cor Cianita</t>
  </si>
  <si>
    <t>MLB3368206973</t>
  </si>
  <si>
    <t>MLB3597297125</t>
  </si>
  <si>
    <t>Óleo Essencial Eucalipto Citriodora 30ml - Puro</t>
  </si>
  <si>
    <t>MLB4353886744</t>
  </si>
  <si>
    <t>MLB3597317023</t>
  </si>
  <si>
    <t>MLB5541409862</t>
  </si>
  <si>
    <t>Kit 2 Óleos Essenciais 10ml Melaleuca E Tangerina Essência Do Brasil</t>
  </si>
  <si>
    <t>Pingente Prata 950 Calcedônia Bruta - Ponte Vecchio Joias Cor Natural</t>
  </si>
  <si>
    <t>Código universal do produto (GTIN) não preenchido (texto de exemplo do ML ainda lá); Documento de Notificação/Comunicação prévia na Anvisa não preenchido; Marca cadastrada incorreta/inconsistente; Título com mais de 60 caracteres</t>
  </si>
  <si>
    <t>Colar Prata 925 Pedra Polida Natural Masculino: Você Escolhe Cor Ágata Botswana</t>
  </si>
  <si>
    <t>Título com mais de 60 caracteres: Título com 68 caracteres (limite ML=60) | Marca cadastrada incorreta/inconsistente: Marca "Essencia do Brasil" difere da marca própria esperada "Essência do Brasil"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</si>
  <si>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MLB3390102999</t>
  </si>
  <si>
    <t>MLB3597370329</t>
  </si>
  <si>
    <t>Perfume Essência Do Brasil Dama Da Noite Spray 100ml Feminino</t>
  </si>
  <si>
    <t>Óleo Essencial Cedro Atlas 10ml Essencia Brasil Aromaterapia Difusor</t>
  </si>
  <si>
    <t>Descrição repetida em outros anúncios com título diferente (verificar se é boilerplate ou erro); Documento de Notificação/Comunicação prévia na Anvisa não preenchido; País de origem diferente de "Brasil"; Título com mais de 60 caracteres</t>
  </si>
  <si>
    <t>Documento de Notificação/Comunicação prévia na Anvisa não preenchido; Marca cadastrada incorreta/inconsistente; Título com mais de 60 caracteres</t>
  </si>
  <si>
    <t>Título com mais de 60 caracteres: Título com 68 caracteres (limite ML=60) | Marca cadastrada incorreta/inconsistente: Marca "Essencia Brasil" difere da marca própria esperada "Essência do Brasil" | Documento de Notificação/Comunicação prévia na Anvisa não preenchido: Número de Notificação/Comunicação prévia na Anvisa não preenchido</t>
  </si>
  <si>
    <t>Título com mais de 60 caracteres: Título com 61 caracteres (limite ML=60) | Descrição repetida em outros anúncios com título diferente (verificar se é boilerplate ou erro): Mesma descrição usada em 81 anúncios com títulos diferentes | País de origem diferente de "Brasil": País de origem = "(vazio)", deveria ser "Brasil" | Documento de Notificação/Comunicação prévia na Anvisa não preenchido: Número de Notificação/Comunicação prévia na Anvisa não preenchido</t>
  </si>
  <si>
    <t>MLB5541412784</t>
  </si>
  <si>
    <t>MLB4353923738</t>
  </si>
  <si>
    <t>Colar Prata 925 Pedra Polida Natural Masculino: Você Escolhe Cor Cornalina</t>
  </si>
  <si>
    <t>MLB3609140241</t>
  </si>
  <si>
    <t>Óleo Essencial Menta Piperita 10ml - Puro</t>
  </si>
  <si>
    <t>Colar Prata 925 Quartzo Rutilado Gota Lapidado P. Vecchio Cor Prateado</t>
  </si>
  <si>
    <t>MLB3390111011</t>
  </si>
  <si>
    <t>Perfume Dama Da Noite 100ml Extrait De Parfum 40% Óleos</t>
  </si>
  <si>
    <t>MLB3609150757</t>
  </si>
  <si>
    <t>Descrição repetida em outros anúncios com título diferente (verificar se é boilerplate ou erro); Documento de Notificação/Comunicação prévia na Anvisa não preenchido; País de origem diferente de "Brasil"; Tipo de perfume cadastrado diverge do que está no título/nome</t>
  </si>
  <si>
    <t>Kit Óleo Essencial Hortelã Pimenta Alecrim 10ml Essência Do Brasil Orgânico Para Massagens</t>
  </si>
  <si>
    <t>MLB5541415580</t>
  </si>
  <si>
    <t>Descrição repetida em outros anúncios com título diferente (verificar se é boilerplate ou erro): Mesma descrição usada em 81 anúncios com títulos diferentes | Tipo de perfume cadastrado diverge do que está no título/nome: Campo "Tipo de perfume" = "Eau de parfum", mas título/nome menciona ['Parfum', 'Extrait de parfum'] | País de origem diferente de "Brasil": País de origem = "(vazio)", deveria ser "Brasil" | Documento de Notificação/Comunicação prévia na Anvisa não preenchido: Número de Notificação/Comunicação prévia na Anvisa não preenchido</t>
  </si>
  <si>
    <t>Título com mais de 60 caracteres: Título com 90 caracteres (limite ML=60) | Documento de Notificação/Comunicação prévia na Anvisa não preenchido: Número de Notificação/Comunicação prévia na Anvisa não preenchido</t>
  </si>
  <si>
    <t>Colar Prata 925 Pedra Bruta Natural Masculino: Você Escolhe Cor Charoita</t>
  </si>
  <si>
    <t>MLB4353924484</t>
  </si>
  <si>
    <t>MLB3609172953</t>
  </si>
  <si>
    <t>Kit 2 Óleos Essenciais 10ml Alecrim E Cedro Da Virgínia Essência Do Brasil</t>
  </si>
  <si>
    <t>MLB3390144505</t>
  </si>
  <si>
    <t>Pingente Banhado Em Ouro Citrino Polido Metalizado Brilhante Cor Natural</t>
  </si>
  <si>
    <t>Título com mais de 60 caracteres: Título com 74 caracteres (limite ML=60) | Documento de Notificação/Comunicação prévia na Anvisa não preenchido: Número de Notificação/Comunicação prévia na Anvisa não preenchido</t>
  </si>
  <si>
    <t>Eau De Parfum Essência Do Brasil Verbena Elixir Feminino 100ml</t>
  </si>
  <si>
    <t>MLB5541424658</t>
  </si>
  <si>
    <t>Título com mais de 60 caracteres: Título com 62 caracteres (limite ML=60) | Descrição repetida em outros anúncios com título diferente (verificar se é boilerplate ou erro): Mesma descrição usada em 81 anúncios com títulos diferentes | País de origem diferente de "Brasil": País de origem = "(vazio)", deveria ser "Brasil" | Documento de Notificação/Comunicação prévia na Anvisa não preenchido: Número de Notificação/Comunicação prévia na Anvisa não preenchido</t>
  </si>
  <si>
    <t>MLB3615009343</t>
  </si>
  <si>
    <t>Kit Óleo Essencial Gerânio E Rosa Mosqueta Essência Do Brasil 10ml</t>
  </si>
  <si>
    <t>Colar Prata 925 Pedra Bruta Natural Masculino: Você Escolhe Cor Fluorita</t>
  </si>
  <si>
    <t>MLB4390747811</t>
  </si>
  <si>
    <t>MLB3432567433</t>
  </si>
  <si>
    <t>MLB3618628535</t>
  </si>
  <si>
    <t>Pingente Prata 925 Ametista Coração Lapidada Verdadeira Prateado</t>
  </si>
  <si>
    <t>Kit Óleo Essencial Pimenta Preta E Alecrim 10ml Essência Do Brasil Massagens</t>
  </si>
  <si>
    <t>Kit 3 Perfumes Spray 10ml - Florais Marcantes Masculinos</t>
  </si>
  <si>
    <t>Título com mais de 60 caracteres: Título com 76 caracteres (limite ML=60) | Anúncio sem descrição: Descrição vazia | Documento de Notificação/Comunicação prévia na Anvisa não preenchido: Número de Notificação/Comunicação prévia na Anvisa não preenchido</t>
  </si>
  <si>
    <t>MLB5541488098</t>
  </si>
  <si>
    <t>Colar Prata 925 Pedra Bruta Natural Masculino: Você Escolhe Cor Azurita</t>
  </si>
  <si>
    <t>MLB3620399879</t>
  </si>
  <si>
    <t>Kit Com Essências Para Aromatizador Essência Do Brasil, 4 Unidades De 10ml</t>
  </si>
  <si>
    <t>Título com mais de 60 caracteres: Título com 74 caracteres (limite ML=60) | Anúncio sem descrição: Descrição vazia | Documento de Notificação/Comunicação prévia na Anvisa não preenchido: Número de Notificação/Comunicação prévia na Anvisa não preenchido</t>
  </si>
  <si>
    <t>MLB4396179319</t>
  </si>
  <si>
    <t>MLB3432567435</t>
  </si>
  <si>
    <t>MLB5541499550</t>
  </si>
  <si>
    <t>Pingente Hematita Negra Natural De 1.5cm Da Ponte Vecchio Joias</t>
  </si>
  <si>
    <t>MLB3633160795</t>
  </si>
  <si>
    <t>Kit 3 Perfumes Roll On 10ml - Fragrância Frutada Para Homens</t>
  </si>
  <si>
    <t>Kit Óleos Essência Do Brasil: Laranja Amarga E Alecrim 10ml</t>
  </si>
  <si>
    <t>Colar Prata 925 Pedra Bruta Natural Masculino: Você Escolhe Cor Pirita</t>
  </si>
  <si>
    <t>MLB3635882939</t>
  </si>
  <si>
    <t>Óleo Essencial Citronela 10ml Roll On - Puro E Natural</t>
  </si>
  <si>
    <t>MLB3471765132</t>
  </si>
  <si>
    <t>MLB5541514342</t>
  </si>
  <si>
    <t>MLB4400828942</t>
  </si>
  <si>
    <t>Perfume Deep Yellow Masculino 100ml - Extrait De Parfum</t>
  </si>
  <si>
    <t>Colar Prata 925 Pedra Bruta Natural Masculino: Você Escolhe Cor Turmalina Negra</t>
  </si>
  <si>
    <t>Pingente São Jorge Em Relevo Banhado Em Ouro - Ponte Vecchio Cor Dourado</t>
  </si>
  <si>
    <t>MLB3639266057</t>
  </si>
  <si>
    <t>Óleo Essencial Puro De Limão Siciliano Essência Do Brasil, 60ml Cítrico Revigorante</t>
  </si>
  <si>
    <t>Título com mais de 60 caracteres: Título com 83 caracteres (limite ML=60) | Documento de Notificação/Comunicação prévia na Anvisa não preenchido: Número de Notificação/Comunicação prévia na Anvisa não preenchido</t>
  </si>
  <si>
    <t>MLB3471790108</t>
  </si>
  <si>
    <t>MLB5541552640</t>
  </si>
  <si>
    <t>MLB3661687503</t>
  </si>
  <si>
    <t>Kit 3 Essências Para Aromatizador: Camomila, Morango E Lavanda  10 Ml Cada</t>
  </si>
  <si>
    <t>Perfume Deep Roses Feminino 100ml - Extrait De Parfum</t>
  </si>
  <si>
    <t>Colar Prata 925 Pedra Bruta Natural Masculino: Você Escolhe Cor Quartzo Rosa</t>
  </si>
  <si>
    <t>MLB4595342570</t>
  </si>
  <si>
    <t>Título com mais de 60 caracteres: Título com 76 caracteres (limite ML=60) | Anúncio sem descrição: Descrição vazia</t>
  </si>
  <si>
    <t>Pingentes Pedras Naturais Polidas P. Vecchio - Você Escolhe Cor Jade - Verde</t>
  </si>
  <si>
    <t>MLB3703887469</t>
  </si>
  <si>
    <t>Óleo Essencial Bergamota (itália) 60ml - Puro E Natural</t>
  </si>
  <si>
    <t>MLB3472058726</t>
  </si>
  <si>
    <t>MLB5541581302</t>
  </si>
  <si>
    <t>Colar Prata 925 Pedra Bruta Natural Masculino: Você Escolhe Cor Turquesa</t>
  </si>
  <si>
    <t>Perfume Deep Green Feminino 100ml - Extrait De Parfum</t>
  </si>
  <si>
    <t>MLB3723192629</t>
  </si>
  <si>
    <t>Kit 6 Essências Refrescantes Para Aromatizador / Difusor</t>
  </si>
  <si>
    <t>MLB4616787395</t>
  </si>
  <si>
    <t>MLB3730949119</t>
  </si>
  <si>
    <t>MLB5686680698</t>
  </si>
  <si>
    <t>Kit Óleo Essen. Menta Piperita 20ml + Vegetal Alecrim 30ml</t>
  </si>
  <si>
    <t>MLB3482035112</t>
  </si>
  <si>
    <t>Colar Prata 925 Pedra Bruta Natural Masculino: Você Escolhe Cor Safira</t>
  </si>
  <si>
    <t>Coffret Perfume Gemma Jade 100ml + Colar Em Prata 925</t>
  </si>
  <si>
    <t>MLB3731000329</t>
  </si>
  <si>
    <t>Kit Óleo Essen. Hortelã Pimenta 20ml + Vegetal Alecrim 30ml</t>
  </si>
  <si>
    <t>MLB4651402556</t>
  </si>
  <si>
    <t>MLB3482048024</t>
  </si>
  <si>
    <t>MLB5689485778</t>
  </si>
  <si>
    <t>MLB3739086443</t>
  </si>
  <si>
    <t>Pingente De Banhado Em Ouro Ponte Vecchio Joias Moderno Y Desenho Do Ponto De Luz Com 4mm De Diâmetro Dourado</t>
  </si>
  <si>
    <t>Coffret Perfume Gemma Turmalina 100ml + Colar Em Prata 925</t>
  </si>
  <si>
    <t>Colar Prata 925 Pedra Bruta Natural Masculino: Você Escolhe Cor Prasiolita</t>
  </si>
  <si>
    <t>Kit Essência Do Brasil Com Óleo Essencial De Gengibre E Óleo Vegetal De Alecrim</t>
  </si>
  <si>
    <t>Título com mais de 60 caracteres: Título com 79 caracteres (limite ML=60) | Anúncio sem descrição: Descrição vazia | Documento de Notificação/Comunicação prévia na Anvisa não preenchido: Número de Notificação/Comunicação prévia na Anvisa não preenchido</t>
  </si>
  <si>
    <t>Título com mais de 60 caracteres: Título com 109 caracteres (limite ML=60) | Anúncio sem descrição: Descrição vazia</t>
  </si>
  <si>
    <t>MLB3755334673</t>
  </si>
  <si>
    <t>Kit Óleo Essencial Manjerona + Óleo Vegetal De Alecrim 10ml</t>
  </si>
  <si>
    <t>MLB3482073244</t>
  </si>
  <si>
    <t>MLB4654828724</t>
  </si>
  <si>
    <t>MLB5827739876</t>
  </si>
  <si>
    <t>Coffret Perfume Gemma Citrino 100ml + Colar Em Prata 925</t>
  </si>
  <si>
    <t>MLB3786085799</t>
  </si>
  <si>
    <t>Pingente De Prata Ponte Vecchio Joias Moderno Y Desenho Do Ponto De Luz Com 8mm De Diâmetro Prateado</t>
  </si>
  <si>
    <t>Colar Prata 925 Pedra Bruta Natural Masculino: Você Escolhe Cor Hematita</t>
  </si>
  <si>
    <t>Kit Óleo Essencial Gerânio + Óleo Vegetal De Alecrim 10ml</t>
  </si>
  <si>
    <t>Título com mais de 60 caracteres: Título com 100 caracteres (limite ML=60) | Anúncio sem descrição: Descrição vazia</t>
  </si>
  <si>
    <t>MLB3791229029</t>
  </si>
  <si>
    <t>Kit Óleo Essencial Copaíba E Vegetal Alecrim 10ml Essência Do Brasil</t>
  </si>
  <si>
    <t>MLB5828835114</t>
  </si>
  <si>
    <t>MLB3482073248</t>
  </si>
  <si>
    <t>Título com mais de 60 caracteres: Título com 68 caracteres (limite ML=60) | Anúncio sem descrição: Descrição vazia | Documento de Notificação/Comunicação prévia na Anvisa não preenchido: Número de Notificação/Comunicação prévia na Anvisa não preenchido</t>
  </si>
  <si>
    <t>Colar Em Couro Grego E Prata Quartzo Rosa Bruto - P. Vecchio Cor Preto</t>
  </si>
  <si>
    <t>MLB4659855434</t>
  </si>
  <si>
    <t>Coffret Perfume Gemma Água-marinha 100ml + Colar Prata 925</t>
  </si>
  <si>
    <t>MLB3804890715</t>
  </si>
  <si>
    <t>Óleo Essencial Alfazema 10ml Roll On - Puro E Natural</t>
  </si>
  <si>
    <t>MLB3832102057</t>
  </si>
  <si>
    <t>Kit Óleo Essencial Artemísia E Vegetal Alecrim Para Massagem | Essência Do Brasil</t>
  </si>
  <si>
    <t>MLB5865064088</t>
  </si>
  <si>
    <t>Título com mais de 60 caracteres: Título com 81 caracteres (limite ML=60) | Anúncio sem descrição: Descrição vazia | Documento de Notificação/Comunicação prévia na Anvisa não preenchido: Número de Notificação/Comunicação prévia na Anvisa não preenchido</t>
  </si>
  <si>
    <t>Colar Feminino De Prata 925 Com Howlita Azul Polida E Malha Singapura Azul-turquesa</t>
  </si>
  <si>
    <t>MLB3482073250</t>
  </si>
  <si>
    <t>MLB4778275217</t>
  </si>
  <si>
    <t>MLB3832336995</t>
  </si>
  <si>
    <t>Perfume Gemma Ametista Feminino 100ml</t>
  </si>
  <si>
    <t>Kit Essência Do Brasil Óleo Essencial Laranja Amarga 20ml Alecrim 30ml</t>
  </si>
  <si>
    <t>Pingente Prata Cristal Craquelado Vermelho Polido Verdadeiro Prateado</t>
  </si>
  <si>
    <t>Título com mais de 60 caracteres: Título com 70 caracteres (limite ML=60) | Anúncio sem descrição: Descrição vazia | Documento de Notificação/Comunicação prévia na Anvisa não preenchido: Número de Notificação/Comunicação prévia na Anvisa não preenchido</t>
  </si>
  <si>
    <t>MLB5913598048</t>
  </si>
  <si>
    <t>MLB3832382897</t>
  </si>
  <si>
    <t>Colar Prata 925 Ametista Coração Lapidada Verdadeira Natural</t>
  </si>
  <si>
    <t>Kit Óleo Essencial Menta Spicata De 20ml E Vegetal Alecrim De 30ml Para Massagem</t>
  </si>
  <si>
    <t>Título com mais de 60 caracteres: Título com 80 caracteres (limite ML=60) | Anúncio sem descrição: Descrição vazia | Documento de Notificação/Comunicação prévia na Anvisa não preenchido: Número de Notificação/Comunicação prévia na Anvisa não preenchido</t>
  </si>
  <si>
    <t>MLB3482073252</t>
  </si>
  <si>
    <t>Perfume Gemma Safira Feminino 100ml</t>
  </si>
  <si>
    <t>MLB3832467165</t>
  </si>
  <si>
    <t>MLB4783629294</t>
  </si>
  <si>
    <t>MLB5950320978</t>
  </si>
  <si>
    <t>Kit Óleos Essenciais: Sândalo Amyris 20ml E Vegetal Alecrim 30ml Para Massagem Essência Do Brasil</t>
  </si>
  <si>
    <t>Pingente Banhado Ouro Ametista Drusa Radiante - P. Vecchio Violeta</t>
  </si>
  <si>
    <t>Título com mais de 60 caracteres: Título com 97 caracteres (limite ML=60) | Anúncio sem descrição: Descrição vazia | Documento de Notificação/Comunicação prévia na Anvisa não preenchido: Número de Notificação/Comunicação prévia na Anvisa não preenchido</t>
  </si>
  <si>
    <t>Colar Couro Grego Prata 60cm Selenita Retangular Masculino</t>
  </si>
  <si>
    <t>MLB3482213542</t>
  </si>
  <si>
    <t>MLB3832481841</t>
  </si>
  <si>
    <t>Kit Óleo Essen. Cedro Virgínia 20ml + Vegetal Alecrim 30ml</t>
  </si>
  <si>
    <t>Coffret Perfume Gemma Rubi 100ml + Colar Em Prata 925</t>
  </si>
  <si>
    <t>MLB5950333622</t>
  </si>
  <si>
    <t>MLB4798056061</t>
  </si>
  <si>
    <t>MLB3832529931</t>
  </si>
  <si>
    <t>Colar Em Couro Grego Prata 60cm Ametista Drusa Masculino</t>
  </si>
  <si>
    <t>Kit Óleo Essencial Tomilho E Vegetal Alecrim Para Massagem - Essência Do Brasil</t>
  </si>
  <si>
    <t>Pingente De Pedra Natural Cristal Craquelado Verde Polido Ponte Vecchio Joias Prateado</t>
  </si>
  <si>
    <t>MLB3482213544</t>
  </si>
  <si>
    <t>Título com mais de 60 caracteres: Título com 86 caracteres (limite ML=60) | Anúncio sem descrição: Descrição vazia</t>
  </si>
  <si>
    <t>MLB3832570819</t>
  </si>
  <si>
    <t>Perfume Gemma Citrino Feminino 100ml</t>
  </si>
  <si>
    <t>Kit Óleo Essencial De Anis-estrelado E Óleo Vegetal De Alecrim Para Massagem</t>
  </si>
  <si>
    <t>MLB5950333626</t>
  </si>
  <si>
    <t>Colar Em Couro Grego Prata 60cm Hematita Polida Masculino</t>
  </si>
  <si>
    <t>MLB3832818081</t>
  </si>
  <si>
    <t>MLB4834676172</t>
  </si>
  <si>
    <t>Kit Essência Do Brasil Com Óleo Essencial Menta Piperita 20ml E Óleo Vegetal Alecrim 30ml</t>
  </si>
  <si>
    <t>MLB3482226272</t>
  </si>
  <si>
    <t>Colar Prata 925 Singapura Turquesa Polida - P. Vecchio Joias</t>
  </si>
  <si>
    <t>Título com mais de 60 caracteres: Título com 89 caracteres (limite ML=60) | Anúncio sem descrição: Descrição vazia | Documento de Notificação/Comunicação prévia na Anvisa não preenchido: Número de Notificação/Comunicação prévia na Anvisa não preenchido</t>
  </si>
  <si>
    <t>Coffret Perfume Gemma Safira 100ml + Colar Em Prata 925</t>
  </si>
  <si>
    <t>MLB5950371134</t>
  </si>
  <si>
    <t>MLB3832830893</t>
  </si>
  <si>
    <t>Kit Óleo Essen. Euc. Globulus 20ml + Vegetal Alecrim 30ml</t>
  </si>
  <si>
    <t>Colar Em Couro Grego Prata 60cm Howlita Polida Masculino</t>
  </si>
  <si>
    <t>MLB3832842113</t>
  </si>
  <si>
    <t>MLB4834676212</t>
  </si>
  <si>
    <t>MLB3482226276</t>
  </si>
  <si>
    <t>Kit Óleo Essencial Cravo Botão 20ml + Vegetal Alecrim 30ml Essência Do Brasil</t>
  </si>
  <si>
    <t>MLB5950383438</t>
  </si>
  <si>
    <t>Colar Prata 925 Singapura Quartzo Fumê Polido Ponte Vecchio</t>
  </si>
  <si>
    <t>Título com mais de 60 caracteres: Título com 77 caracteres (limite ML=60) | Anúncio sem descrição: Descrição vazia | Documento de Notificação/Comunicação prévia na Anvisa não preenchido: Número de Notificação/Comunicação prévia na Anvisa não preenchido</t>
  </si>
  <si>
    <t>Colar Em Couro Grego Prata 60cm Granada Bruta Masculino</t>
  </si>
  <si>
    <t>MLB3832890577</t>
  </si>
  <si>
    <t>Kit Óleos Essência Do Brasil Cedro Do Atlas 20ml E Alecrim 30ml</t>
  </si>
  <si>
    <t>Coffret Perfume Gemma Citrino 100ml + Pingente De Presente</t>
  </si>
  <si>
    <t>Título com mais de 60 caracteres: Título com 63 caracteres (limite ML=60) | Anúncio sem descrição: Descrição vazia | Documento de Notificação/Comunicação prévia na Anvisa não preenchido: Número de Notificação/Comunicação prévia na Anvisa não preenchido</t>
  </si>
  <si>
    <t>MLB4834702176</t>
  </si>
  <si>
    <t>MLB5950383444</t>
  </si>
  <si>
    <t>MLB3832891671</t>
  </si>
  <si>
    <t>Kit Óleo Essencial Lavandim 20ml + Óleo Vegetal Alecrim 30ml</t>
  </si>
  <si>
    <t>Colar Prata 925 Singapura Fluorita Polida - P. Vecchio Joias</t>
  </si>
  <si>
    <t>Colar Couro Grego Prata 60cm Lápis-lazúli Polido Masculino</t>
  </si>
  <si>
    <t>MLB3489432805</t>
  </si>
  <si>
    <t>MLB3834025875</t>
  </si>
  <si>
    <t>Perfume Feminino Natural Dama Da Noite 30ml Essência Do Brasil Floral</t>
  </si>
  <si>
    <t>Kit Óleo Essen. Lavanda Francesa 20ml + Vegetal Alecrim 30ml</t>
  </si>
  <si>
    <t>MLB4834714582</t>
  </si>
  <si>
    <t>MLB3838006647</t>
  </si>
  <si>
    <t>Kit Óleo Essencial Wintergreen 20ml E Vegetal De Alecrim 30ml Essência Do Brasil</t>
  </si>
  <si>
    <t>MLB5950445150</t>
  </si>
  <si>
    <t>Colar Prata 925 Singapura Granada Polida - P. Vecchio Joias</t>
  </si>
  <si>
    <t>Colar Em Couro Prata 60cm Calcita Laranja Polida Masculino</t>
  </si>
  <si>
    <t>MLB3504097405</t>
  </si>
  <si>
    <t>Perfume Patchouli Forest Masculino De Essência Do Brasil 100 Ml</t>
  </si>
  <si>
    <t>MLB3838010677</t>
  </si>
  <si>
    <t>Kit Óleo Essencial Ylang Ylang E Óleo Vegetal De Alecrim Para Massagem</t>
  </si>
  <si>
    <t>Título com mais de 60 caracteres: Título com 63 caracteres (limite ML=60) | Documento de Notificação/Comunicação prévia na Anvisa não preenchido: Número de Notificação/Comunicação prévia na Anvisa não preenchido</t>
  </si>
  <si>
    <t>MLB5950457618</t>
  </si>
  <si>
    <t>MLB4834714596</t>
  </si>
  <si>
    <t>MLB3838020117</t>
  </si>
  <si>
    <t>Colar Couro Prata 60cm Sodalita Semi-lapidada Gota Masculino</t>
  </si>
  <si>
    <t>Colar Prata 925 Singapura Olho De Tigre Oval - Ponte Vecchio</t>
  </si>
  <si>
    <t>Kit Essência Do Brasil Com Óleo Essencial De Manjerona E Óleo Vegetal De Alecrim</t>
  </si>
  <si>
    <t>MLB3505212899</t>
  </si>
  <si>
    <t>Título com mais de 60 caracteres: Título com 80 caracteres (limite ML=60) | Documento de Notificação/Comunicação prévia na Anvisa não preenchido: Número de Notificação/Comunicação prévia na Anvisa não preenchido</t>
  </si>
  <si>
    <t>Perfume Roll On Flor De Lótus Essência Do Brasil Natural 10ml Aquático</t>
  </si>
  <si>
    <t>MLB5950457624</t>
  </si>
  <si>
    <t>MLB3838038425</t>
  </si>
  <si>
    <t>Colar Em Couro Grego Prata 60cm Angelita Polida Masculino</t>
  </si>
  <si>
    <t>MLB4834714606</t>
  </si>
  <si>
    <t>Kit Óleo Essencial Lemongrass E Óleo Vegetal De Alecrim Puro Para Massagem Essência Do Brasil</t>
  </si>
  <si>
    <t>Título com mais de 60 caracteres: Título com 93 caracteres (limite ML=60) | Documento de Notificação/Comunicação prévia na Anvisa não preenchido: Número de Notificação/Comunicação prévia na Anvisa não preenchido</t>
  </si>
  <si>
    <t>MLB3505214119</t>
  </si>
  <si>
    <t>Colar Prata 925 Singapura Quartzo Branco Polido - P. Vecchio</t>
  </si>
  <si>
    <t>Perfume Masculino Poseidon Spray Portátil 10ml Essência Do Brasil</t>
  </si>
  <si>
    <t>MLB3838045591</t>
  </si>
  <si>
    <t>Kit Óleo Essencial Petitgrain E Óleo Vegetal Alecrim Para Aromaterapia 50ml</t>
  </si>
  <si>
    <t>MLB5950457626</t>
  </si>
  <si>
    <t>Título com mais de 60 caracteres: Título com 75 caracteres (limite ML=60) | Documento de Notificação/Comunicação prévia na Anvisa não preenchido: Número de Notificação/Comunicação prévia na Anvisa não preenchido</t>
  </si>
  <si>
    <t>Colar Couro Grego Prata 60cm Calcita Laranja Bruta Masculino</t>
  </si>
  <si>
    <t>MLB3860852482</t>
  </si>
  <si>
    <t>MLB4834726854</t>
  </si>
  <si>
    <t>MLB3505226371</t>
  </si>
  <si>
    <t>Óleo Essencial Lavanda Da BuLGária 10ml Roll On - Puro</t>
  </si>
  <si>
    <t>Eau De Toilette Essência Do Brasil Lima-limão Roll On 10ml Cítrico</t>
  </si>
  <si>
    <t>Colar Prata 925 Singapura Quartzo Rosa Medalha Ponte Vecchio</t>
  </si>
  <si>
    <t>Título com mais de 60 caracteres: Título com 66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</si>
  <si>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MLB3860912650</t>
  </si>
  <si>
    <t>MLB5950470480</t>
  </si>
  <si>
    <t>Kit 4 Essências Aromatizador / Difusor 10ml - Chás E Bambu</t>
  </si>
  <si>
    <t>Colar Em Couro Grego Prata 60cm Fluorita Polida Masculino</t>
  </si>
  <si>
    <t>MLB3505238675</t>
  </si>
  <si>
    <t>MLB3898582315</t>
  </si>
  <si>
    <t>Kit Óleos Essenciais Anis-estrelado Alecrim 10ml Essência Do Brasil</t>
  </si>
  <si>
    <t>Perfume Feminino Alecrim Natural Roll On 10ml Essência Do Brasil</t>
  </si>
  <si>
    <t>MLB4834813516</t>
  </si>
  <si>
    <t>Título com mais de 60 caracteres: Título com 67 caracteres (limite ML=60) | Documento de Notificação/Comunicação prévia na Anvisa não preenchido: Número de Notificação/Comunicação prévia na Anvisa não preenchido</t>
  </si>
  <si>
    <t>MLB5950470488</t>
  </si>
  <si>
    <t>Título com mais de 60 caracteres: Título com 64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</si>
  <si>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Colar Prata 925 Singapura Turquesa Bruta - P. Vecchio Joias</t>
  </si>
  <si>
    <t>Colar Em Couro Grego Prata 60cm Turquesa Bruta Masculino</t>
  </si>
  <si>
    <t>MLB3906528653</t>
  </si>
  <si>
    <t>Kit Óleo Essencial Lavanda E Óleo Vegetal Alecrim Para Massagem E Difusor</t>
  </si>
  <si>
    <t>MLB3505239507</t>
  </si>
  <si>
    <t>Perfume Feminino Essência Do Brasil Nefertiti 100ml + Brinco Prata 925</t>
  </si>
  <si>
    <t>MLB3907690837</t>
  </si>
  <si>
    <t>MLB5950482574</t>
  </si>
  <si>
    <t>Kit Óleos Essenciais Copaíba E Vegetal De Alecrim Essência Do Brasil Para Massagem</t>
  </si>
  <si>
    <t>MLB4834813530</t>
  </si>
  <si>
    <t>Colar Em Couro Prata 60cm Ametista Semi-lapidada Masculino</t>
  </si>
  <si>
    <t>Título com mais de 60 caracteres: Título com 70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</si>
  <si>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Colar Prata 925 Singapura Howlita Gota - Ponte Vecchio Joias</t>
  </si>
  <si>
    <t>MLB3916550189</t>
  </si>
  <si>
    <t>Óleo Essencial Eucalipto (lima Limão) 100ml - Puro E Natural</t>
  </si>
  <si>
    <t>MLB3505277539</t>
  </si>
  <si>
    <t>MLB5950495404</t>
  </si>
  <si>
    <t>Perfume Masculino Eucalipto Essência Do Brasil Natural 10ml Roll On</t>
  </si>
  <si>
    <t>Colar Em Couro Grego Prata 60cm Pirita Bruta Masculino</t>
  </si>
  <si>
    <t>MLB3935305229</t>
  </si>
  <si>
    <t>Título com mais de 60 caracteres: Título com 67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</si>
  <si>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Kit Óleo Essencial Ylang Ylang E Óleo Vegetal Alecrim Para Massagem E Difusor Da Essência Do Brasil</t>
  </si>
  <si>
    <t>MLB4834813540</t>
  </si>
  <si>
    <t>Título com mais de 60 caracteres: Título com 99 caracteres (limite ML=60) | Anúncio sem descrição: Descrição vazia | Documento de Notificação/Comunicação prévia na Anvisa não preenchido: Número de Notificação/Comunicação prévia na Anvisa não preenchido</t>
  </si>
  <si>
    <t>Colar Prata 925 Singapura Água-marinha Coração - P. Vecchio</t>
  </si>
  <si>
    <t>MLB3506182337</t>
  </si>
  <si>
    <t>MLB3940436991</t>
  </si>
  <si>
    <t>MLB5984206384</t>
  </si>
  <si>
    <t>Kit Óleo Essencial Mandarina + Óleo Vegetal De Alecrim 10ml</t>
  </si>
  <si>
    <t>Perfume Thor Essência Do Brasil Masculino Spray Portátil 10ml</t>
  </si>
  <si>
    <t>Colar Couro Grego Prata 60cm Selenita Retangular Masculino Preto</t>
  </si>
  <si>
    <t>Título com mais de 60 caracteres: Título com 61 caracteres (limite ML=60) | Documento de Notificação/Comunicação prévia na Anvisa não preenchido: Número de Notificação/Comunicação prévia na Anvisa não preenchido</t>
  </si>
  <si>
    <t>MLB3942752163</t>
  </si>
  <si>
    <t>Kit Óleos Essenciais Lavanda Francesa E Alecrim 10ml Essência Do Brasil</t>
  </si>
  <si>
    <t>MLB4834813554</t>
  </si>
  <si>
    <t>Título com mais de 60 caracteres: Título com 71 caracteres (limite ML=60) | Anúncio sem descrição: Descrição vazia | Documento de Notificação/Comunicação prévia na Anvisa não preenchido: Número de Notificação/Comunicação prévia na Anvisa não preenchido</t>
  </si>
  <si>
    <t>MLB3515574863</t>
  </si>
  <si>
    <t>Colar Prata 925 Singapura Quartzo Verde Cruz - Ponte Vecchio</t>
  </si>
  <si>
    <t>MLB6058418540</t>
  </si>
  <si>
    <t>Eau De Toilette Masculino Thor 100ml Com Feromônios Essência Do Brasil Herbal</t>
  </si>
  <si>
    <t>MLB3972057247</t>
  </si>
  <si>
    <t>Colar Couro Prata 60cm Sodalita Semi-lapidada Gota Masculino Preto Azul</t>
  </si>
  <si>
    <t>Essência Do Brasil Essência Chá Verde Aromatizador Difusor</t>
  </si>
  <si>
    <t>Título com mais de 60 caracteres: Título com 77 caracteres (limite ML=60) | Documento de Notificação/Comunicação prévia na Anvisa não preenchido: Número de Notificação/Comunicação prévia na Anvisa não preenchido</t>
  </si>
  <si>
    <t>MLB3979692233</t>
  </si>
  <si>
    <t>MLB3515575431</t>
  </si>
  <si>
    <t>Óleo Essencial Laranja Doce Essência Do Brasil Kit Vegetal Rosa Mosqueta 10ml</t>
  </si>
  <si>
    <t>MLB4834813560</t>
  </si>
  <si>
    <t>MLB6179383686</t>
  </si>
  <si>
    <t>Perfume Feminino Oriental Ponte Vecchio Joias Gemma Ametista Eau De Parfum</t>
  </si>
  <si>
    <t>Colar Em Couro Grego Prata 60cm Cornalina Polida Masculino Preto</t>
  </si>
  <si>
    <t>Colar Prata 925 Singapura Quartzo Rosa Bruto - Ponte Vecchio</t>
  </si>
  <si>
    <t>Documento de Notificação/Comunicação prévia na Anvisa não preenchido; Marca cadastrada incorreta/inconsistente; País de origem diferente de "Brasil"; Título com mais de 60 caracteres</t>
  </si>
  <si>
    <t>Título com mais de 60 caracteres: Título com 74 caracteres (limite ML=60) | Marca cadastrada incorreta/inconsistente: Marca "Ponte Vecchio Joias" difere da marca própria esperada "Essência do Brasil" | País de origem diferente de "Brasil": País de origem = "Itália", deveria ser "Brasil" | Documento de Notificação/Comunicação prévia na Anvisa não preenchido: Número de Notificação/Comunicação prévia na Anvisa não preenchido</t>
  </si>
  <si>
    <t>MLB4047127266</t>
  </si>
  <si>
    <t>Essência Do Brasil Óleo Essencial Lavanda Francesa 10ml Puro Para Difusor</t>
  </si>
  <si>
    <t>MLB6490569088</t>
  </si>
  <si>
    <t>MLB3515575441</t>
  </si>
  <si>
    <t>MLB4060173415</t>
  </si>
  <si>
    <t>Colar Pedras Naturais Labradorita Verdadeira - P. Vecchio Cinza</t>
  </si>
  <si>
    <t>MLB4834826044</t>
  </si>
  <si>
    <t>Óleo Essencial De Canela Puro Essência Do Brasil 30 Ml</t>
  </si>
  <si>
    <t>Perfume Feminino Jasmin Imperial 60ml - Floral Volume Da Unidade 60 Ml</t>
  </si>
  <si>
    <t>Colar Prata 925 Singapura Howlita Polida - P. Vecchio Joias</t>
  </si>
  <si>
    <t>MLB4113633325</t>
  </si>
  <si>
    <t>Óleo Essencial De Anis Estrelado Puro Para Difusor, Essência Do Brasil (100ml)</t>
  </si>
  <si>
    <t>MLB6638070356</t>
  </si>
  <si>
    <t>MLB3521710053</t>
  </si>
  <si>
    <t>Colar Em Couro Grego Prata 60cm Sodalita Bruta Masculino Preto</t>
  </si>
  <si>
    <t>Perfume Feminino Essência Do Brasil Gerânio E Ylang Ylang Com Mini De Presente</t>
  </si>
  <si>
    <t>MLB4834826050</t>
  </si>
  <si>
    <t>MLB4145060469</t>
  </si>
  <si>
    <t>Kit Óleo Essencial Gerânio Bourbon E Rosa Mosqueta Essência Do Brasil</t>
  </si>
  <si>
    <t>Colar Prata 925 Singapura Quartzo Fumê Redondo Ponte Vecchio</t>
  </si>
  <si>
    <t>Título com mais de 60 caracteres: Título com 69 caracteres (limite ML=60) | Anúncio sem descrição: Descrição vazia | Documento de Notificação/Comunicação prévia na Anvisa não preenchido: Número de Notificação/Comunicação prévia na Anvisa não preenchido</t>
  </si>
  <si>
    <t>MLB7079084360</t>
  </si>
  <si>
    <t>MLB4146314253</t>
  </si>
  <si>
    <t>MLB3528249957</t>
  </si>
  <si>
    <t>Colar Prata 925 Singapura Malaquita Polida - Ponte Vecchio Verde</t>
  </si>
  <si>
    <t>Kit Óleo Essencial Lavanda E Alecrim 10ml Essência Do Brasil</t>
  </si>
  <si>
    <t>Perfume Masculino Essência Do Brasil Alecrim &amp; Limão Siciliano 10ml Roll On</t>
  </si>
  <si>
    <t>Título com mais de 60 caracteres: Título com 75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</si>
  <si>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MLB4146529979</t>
  </si>
  <si>
    <t>Óleo Essencial Melaleuca Chinesa + Rosa Mosqueta Essência Do Brasil 10ml</t>
  </si>
  <si>
    <t>MLB4834826060</t>
  </si>
  <si>
    <t>MLB3542369087</t>
  </si>
  <si>
    <t>Colar Prata 925 Singapura Olho De Tigre Polido - P. Vecchio</t>
  </si>
  <si>
    <t>Essência Do Brasil Perfume Cítrico Absolu 100ml Eau De Parfum Spray</t>
  </si>
  <si>
    <t>MLB4146540941</t>
  </si>
  <si>
    <t>Kit Óleo Essencial Alecrim Tunísia + Rosa Mosqueta 10ml Essência Do Brasil</t>
  </si>
  <si>
    <t>MLB4146552147</t>
  </si>
  <si>
    <t>Óleo Essencial De Mandarina Verde + Vegetal De Alecrim 10ml</t>
  </si>
  <si>
    <t>MLB3543943883</t>
  </si>
  <si>
    <t>MLB4834826066</t>
  </si>
  <si>
    <t>Perfume Ponte Vecchio Joias Coffret Gemma 100ml + Colar Prata 925</t>
  </si>
  <si>
    <t>Colar Prata 925 Singapura Sodalita Polida - P. Vecchio Joias</t>
  </si>
  <si>
    <t>MLB4146570805</t>
  </si>
  <si>
    <t>Título com mais de 60 caracteres: Título com 65 caracteres (limite ML=60) | Marca cadastrada incorreta/inconsistente: Marca "Ponte Vecchio Joias"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</si>
  <si>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Kit Óleo Essencial Bálsamo Do Peru + Alecrim 10ml Essência Do Brasil</t>
  </si>
  <si>
    <t>MLB4147505397</t>
  </si>
  <si>
    <t>MLB3549972167</t>
  </si>
  <si>
    <t>Kit Óleo Essencial Bálsamo Do Peru E Rosa Mosqueta 10ml Essência Do Brasil</t>
  </si>
  <si>
    <t>Perfume Blend De Patchouli, Menta Spicata &amp; Menta Piperita 100ml - Menta</t>
  </si>
  <si>
    <t>MLB4834826068</t>
  </si>
  <si>
    <t>Colar Prata 925 Singapura Citrino Polido - P. Vecchio Joias</t>
  </si>
  <si>
    <t>Título com mais de 60 caracteres: Título com 72 caracteres (limite ML=60) | Documento de Notificação/Comunicação prévia na Anvisa não preenchido: Número de Notificação/Comunicação prévia na Anvisa não preenchido</t>
  </si>
  <si>
    <t>MLB4147710893</t>
  </si>
  <si>
    <t>Kit Óleo Essencial Melaleuca Chinesa E Alecrim 10ml Essência Do Brasil</t>
  </si>
  <si>
    <t>MLB3550045061</t>
  </si>
  <si>
    <t>MLB4161046462</t>
  </si>
  <si>
    <t>Perfume Blend De Patchouli, Alecrim &amp; Lavanda 100ml - Revigorante</t>
  </si>
  <si>
    <t>Óleo Essencial Tomilho Branco 10ml Essência Do Brasil Aromaterapia</t>
  </si>
  <si>
    <t>MLB4834837446</t>
  </si>
  <si>
    <t>Colar Prata 925 Singapura Olho De Tigre Bruto - P. Vecchio</t>
  </si>
  <si>
    <t>MLB4161067572</t>
  </si>
  <si>
    <t>Kit 2 Óleos Essenciais 10ml - Cedro Do Himalaia + Tangerina</t>
  </si>
  <si>
    <t>MLB3550874195</t>
  </si>
  <si>
    <t>Marca cadastrada incorreta/inconsistente: Marca "Essencial" difere da marca própria esperada "Essência do Brasil" | Documento de Notificação/Comunicação prévia na Anvisa não preenchido: Número de Notificação/Comunicação prévia na Anvisa não preenchido</t>
  </si>
  <si>
    <t>Eau De Toilette Essência Do Brasil Perfume Natural Magnólia 50ml Spray</t>
  </si>
  <si>
    <t>MLB4161119982</t>
  </si>
  <si>
    <t>Óleo Essencial Funcho Doce Roll On 10ml Puro  Essência Do Brasil</t>
  </si>
  <si>
    <t>MLB4834837454</t>
  </si>
  <si>
    <t>Título com mais de 60 caracteres: Título com 64 caracteres (limite ML=60) | Anúncio sem descrição: Descrição vazia | Documento de Notificação/Comunicação prévia na Anvisa não preenchido: Número de Notificação/Comunicação prévia na Anvisa não preenchido</t>
  </si>
  <si>
    <t>Colar Prata 925 Singapura Opala Rosa Gota - P. Vecchio Joias</t>
  </si>
  <si>
    <t>MLB4188857968</t>
  </si>
  <si>
    <t>MLB3550893373</t>
  </si>
  <si>
    <t>Óleo Essencial Pinho Sibéria 10ml Essência Do Brasil Aromaterapia</t>
  </si>
  <si>
    <t>Eau De Toilette Masculino Essência Do Brasil Spray Patchouli Cedro 100ml</t>
  </si>
  <si>
    <t>MLB4194954458</t>
  </si>
  <si>
    <t>MLB4834837462</t>
  </si>
  <si>
    <t>Kit Óleo Essen. Eucalipto Citriodora + Vegetal Alecrim 10ml</t>
  </si>
  <si>
    <t>Colar Prata 925 Singapura Citrino Coração - P. Vecchio Joias</t>
  </si>
  <si>
    <t>MLB3550943831</t>
  </si>
  <si>
    <t>MLB4194954490</t>
  </si>
  <si>
    <t>Kit Óleo Essencial Menta Piperita + Vegetal De Alecrim 10ml</t>
  </si>
  <si>
    <t>MLB4195031502</t>
  </si>
  <si>
    <t>Kit Óleo Essencial Hortelã Pimenta + Vegetal De Alecrim 10ml</t>
  </si>
  <si>
    <t>MLB4834837472</t>
  </si>
  <si>
    <t>MLB3551663183</t>
  </si>
  <si>
    <t>Colar Prata 925 Singapura Ametista Gota - P. Vecchio Joias</t>
  </si>
  <si>
    <t>Eau De Toilette Masculino Refrescante Spray 100ml Essência Do Brasil</t>
  </si>
  <si>
    <t>MLB4195056854</t>
  </si>
  <si>
    <t>Kit Óleo Essencial Pimenta Rosa + Óleo Vegetal Alecrim 10ml</t>
  </si>
  <si>
    <t>MLB4217365902</t>
  </si>
  <si>
    <t>MLB3551685725</t>
  </si>
  <si>
    <t>MLB4836014938</t>
  </si>
  <si>
    <t>Kit Óleo Essencial Capim Limão Com Óleo Vegetal Rosa Mosqueta, Da Essência Do Brasil</t>
  </si>
  <si>
    <t>Eau De Toilette Essência Do Brasil Perfume Blend Patchouli Ylang-ylang &amp; Jasmim Spray 100ml</t>
  </si>
  <si>
    <t>Título com mais de 60 caracteres: Título com 84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</si>
  <si>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Colar Prata 925 Rabo De Rato Quartzo Verde Cruz - P. Vecchio</t>
  </si>
  <si>
    <t>Título com mais de 60 caracteres: Título com 91 caracteres (limite ML=60) | Documento de Notificação/Comunicação prévia na Anvisa não preenchido: Número de Notificação/Comunicação prévia na Anvisa não preenchido</t>
  </si>
  <si>
    <t>MLB4217365930</t>
  </si>
  <si>
    <t>Kit Óleo Essencial Pimenta Rosa E Vegetal Alecrim Para Massagem | Essência Do Brasil</t>
  </si>
  <si>
    <t>MLB3551696929</t>
  </si>
  <si>
    <t>MLB4217379118</t>
  </si>
  <si>
    <t>Eau De Toilette Masculino Essência Do Brasil Blend Patchouli 100ml</t>
  </si>
  <si>
    <t>Kit Óleo Essencial Menta + Alecrim 10ml - Essência Brasil</t>
  </si>
  <si>
    <t>MLB4836026964</t>
  </si>
  <si>
    <t>Colar Prata 925 Rabo De Rato Selenita Retangular P. Vecchio</t>
  </si>
  <si>
    <t>MLB4217567246</t>
  </si>
  <si>
    <t>Kit Óleo Essencial Canela + Rosa Mosqueta 10ml Essência Do Brasil</t>
  </si>
  <si>
    <t>MLB3551702351</t>
  </si>
  <si>
    <t>Título com mais de 60 caracteres: Título com 65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</si>
  <si>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Essência Do Brasil Perfume Golf Blue Masculino 100ml Fresco E Aquático Spray</t>
  </si>
  <si>
    <t>MLB4217567348</t>
  </si>
  <si>
    <t>Kit Óleo Essencial Pinho Sibéria E Óleo Vegetal Rosa Mosqueta Essência Do Brasil</t>
  </si>
  <si>
    <t>MLB4836026986</t>
  </si>
  <si>
    <t>Título com mais de 60 caracteres: Título com 80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</si>
  <si>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Colar Prata 925 Rabo De Rato Granada Polida - Ponte Vecchio</t>
  </si>
  <si>
    <t>MLB3551710125</t>
  </si>
  <si>
    <t>MLB4217567414</t>
  </si>
  <si>
    <t>Kit Óleo Essencial Copaíba E Rosa Mosqueta Essência Do Brasil Aromaterapia 10ml</t>
  </si>
  <si>
    <t>Eau De Toilette Masculino Spray Essência Do Brasil Patchouli Menta 100ml</t>
  </si>
  <si>
    <t>Título com mais de 60 caracteres: Título com 79 caracteres (limite ML=60) | Documento de Notificação/Comunicação prévia na Anvisa não preenchido: Número de Notificação/Comunicação prévia na Anvisa não preenchido</t>
  </si>
  <si>
    <t>MLB4217569750</t>
  </si>
  <si>
    <t>Kit Com Óleo Essencial De Ylang Ylang E Óleo Vegetal De Rosa Mosqueta - Essência Do Brasil</t>
  </si>
  <si>
    <t>MLB4836026992</t>
  </si>
  <si>
    <t>Título com mais de 60 caracteres: Título com 90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</si>
  <si>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MLB3551714843</t>
  </si>
  <si>
    <t>Colar Prata 925 Rabo De Rato Olho De Tigre Bruto P. Vecchio</t>
  </si>
  <si>
    <t>Perfume Eau De Toilette Masculino Blend Patchouli, Cravo &amp; Canela 100ml</t>
  </si>
  <si>
    <t>MLB4243622806</t>
  </si>
  <si>
    <t>Kit Essências Essência Do Brasil Para Difusor De Ambiente Com 4 Óleos De 10ml</t>
  </si>
  <si>
    <t>MLB4287589868</t>
  </si>
  <si>
    <t>MLB4628686515</t>
  </si>
  <si>
    <t>MLB4836039966</t>
  </si>
  <si>
    <t>Kit Óleos Essenciais: Eucalipto Globulus E Rosa Mosqueta Da Essência Do Brasil</t>
  </si>
  <si>
    <t>MLB3553924477</t>
  </si>
  <si>
    <t>Perfume Aquático Masculino Blue Ocean 100ml Essência Do Brasil</t>
  </si>
  <si>
    <t>Colar Prata 925 Rabo De Rato Quartzo Branco Polido P Vecchio</t>
  </si>
  <si>
    <t>MLB4287600366</t>
  </si>
  <si>
    <t>Kit Óleo Essencial De Limão E Óleo Vegetal De Rosa Mosqueta 10 Ml Essência Do Brasil</t>
  </si>
  <si>
    <t>Título com mais de 60 caracteres: Título com 84 caracteres (limite ML=60) | Documento de Notificação/Comunicação prévia na Anvisa não preenchido: Número de Notificação/Comunicação prévia na Anvisa não preenchido</t>
  </si>
  <si>
    <t>Pulseira De Pedra Natural Granada Verdadeira - P. Vecchio Cor Natural Bordô</t>
  </si>
  <si>
    <t>Anúncio sem descrição; Anúncio sem preço definido; Título com mais de 60 caracteres</t>
  </si>
  <si>
    <t>MLB3563004905</t>
  </si>
  <si>
    <t>MLB4299991662</t>
  </si>
  <si>
    <t>Título com mais de 60 caracteres: Título com 75 caracteres (limite ML=60) | Anúncio sem descrição: Descrição vazia | Anúncio sem preço definido: Sem preço definido</t>
  </si>
  <si>
    <t>Óleo Essencial Lavandim Grosso Essência Brasil 10ml Aromaterapia Puro Natural</t>
  </si>
  <si>
    <t>MLB4836039974</t>
  </si>
  <si>
    <t>Kit Perfume Patchouli Fem. 100ml + Manteiga De Karité 60gr Volume Da Unidade 100 Ml</t>
  </si>
  <si>
    <t>Título com mais de 60 caracteres: Título com 77 caracteres (limite ML=60) | Marca cadastrada incorreta/inconsistente: Marca "Essência Brasil" difere da marca própria esperada "Essência do Brasil" | Documento de Notificação/Comunicação prévia na Anvisa não preenchido: Número de Notificação/Comunicação prévia na Anvisa não preenchido</t>
  </si>
  <si>
    <t>Colar Prata 925 Rabo De Rato Água-marinha Polida P. Vecchio</t>
  </si>
  <si>
    <t>Título com mais de 60 caracteres: Título com 83 caracteres (limite ML=60) | País de origem diferente de "Brasil": País de origem = "Indonésia", deveria ser "Brasil" | Documento de Notificação/Comunicação prévia na Anvisa não preenchido: Número de Notificação/Comunicação prévia na Anvisa não preenchido</t>
  </si>
  <si>
    <t>MLB4280447137</t>
  </si>
  <si>
    <t>MLB4334847329</t>
  </si>
  <si>
    <t>Kit 5 Óleos Essenciais Relaxar Dormir Focar 10ml Essência Do Brasil</t>
  </si>
  <si>
    <t>Anel Prata 925 Ajustável Granada Oval - Ponte Vecchio Joias</t>
  </si>
  <si>
    <t>MLB3568625898</t>
  </si>
  <si>
    <t>Perfume Feromônio Feminino Afrodite - Floral Frutal Clássico</t>
  </si>
  <si>
    <t>MLB4836040028</t>
  </si>
  <si>
    <t>MLB4353890106</t>
  </si>
  <si>
    <t>Óleo Roll On Essência Do Brasil Manjericão Com Rosa Mosqueta 10ml</t>
  </si>
  <si>
    <t>MLB4280498405</t>
  </si>
  <si>
    <t>Colar Prata 925 Rabo De Rato Citrino Coração - Ponte Vecchio</t>
  </si>
  <si>
    <t>Anel Prata 925 Ajustável Granada Gota - Ponte Vecchio Joias</t>
  </si>
  <si>
    <t>MLB3568803982</t>
  </si>
  <si>
    <t>MLB4403126426</t>
  </si>
  <si>
    <t>Óleo Essencial De Citronela Puro Para Difusor, Essência Brasil De 10 Ml</t>
  </si>
  <si>
    <t>Perfume Feminino Natural Dama Da Noite 10ml</t>
  </si>
  <si>
    <t>Título com mais de 60 caracteres: Título com 71 caracteres (limite ML=60) | Marca cadastrada incorreta/inconsistente: Marca "Essencia Brasil" difere da marca própria esperada "Essência do Brasil" | Documento de Notificação/Comunicação prévia na Anvisa não preenchido: Número de Notificação/Comunicação prévia na Anvisa não preenchido</t>
  </si>
  <si>
    <t>MLB4836040040</t>
  </si>
  <si>
    <t>MLB4342901561</t>
  </si>
  <si>
    <t>MLB4404247512</t>
  </si>
  <si>
    <t>Anel Ajustável Prata 925 Rubi Natural Ponte Vecchio Joias Prateado</t>
  </si>
  <si>
    <t>Colar Prata 925 Rabo De Rato Pirita Polida - Ponte Vecchio</t>
  </si>
  <si>
    <t>Óleo Essencial Roll On 10ml Essencia Brasil Laranja Limão Tangerina</t>
  </si>
  <si>
    <t>MLB3573541827</t>
  </si>
  <si>
    <t>Título com mais de 60 caracteres: Título com 67 caracteres (limite ML=60) | Marca cadastrada incorreta/inconsistente: Marca "Essencia Brasil" difere da marca própria esperada "Essência do Brasil" | Documento de Notificação/Comunicação prévia na Anvisa não preenchido: Número de Notificação/Comunicação prévia na Anvisa não preenchido</t>
  </si>
  <si>
    <t>Perfume Masculino Ferômonios Night 10ml - Roll On Volume Da Unidade 10 Ml</t>
  </si>
  <si>
    <t>MLB4404249312</t>
  </si>
  <si>
    <t>Óleo Essencial De Cravo Folha 10ml Essência Do Brasil Para Difusor</t>
  </si>
  <si>
    <t>MLB6080565628</t>
  </si>
  <si>
    <t>Título com mais de 60 caracteres: Título com 66 caracteres (limite ML=60) | Anúncio sem descrição: Descrição vazia | Documento de Notificação/Comunicação prévia na Anvisa não preenchido: Número de Notificação/Comunicação prévia na Anvisa não preenchido</t>
  </si>
  <si>
    <t>Anel Banhado Em Ouro 18k Ajustável Ametista E Granada Gota Dourado Ajustável</t>
  </si>
  <si>
    <t>MLB4836077746</t>
  </si>
  <si>
    <t>MLB3574062039</t>
  </si>
  <si>
    <t>MLB4404254556</t>
  </si>
  <si>
    <t>Colar Prata 925 Rabo De Rato Quartzo Rosa Bruto - P. Vecchio</t>
  </si>
  <si>
    <t>Perfume Alecrim Do Marrocos Essência Do Brasil 100ml Eau De Toilette</t>
  </si>
  <si>
    <t>Anúncio sem descrição; Código universal do produto (GTIN) não preenchido (texto de exemplo do ML ainda lá); Documento de Notificação/Comunicação prévia na Anvisa não preenchido; Marca cadastrada incorreta/inconsistente</t>
  </si>
  <si>
    <t>Anúncio sem descrição: Descrição vazia | Marca cadastrada incorreta/inconsistente: Marca "Essencia Brasil" difere da marca própria esperada "Essência do Brasil"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</si>
  <si>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MLB2803522276</t>
  </si>
  <si>
    <t>MLB4410619194</t>
  </si>
  <si>
    <t>Brinco Pérola Em Prata 925 6mm</t>
  </si>
  <si>
    <t>Óleo Essencial Essencia Brasil Roll On Dormir Lavandim Bergamota Alecrim</t>
  </si>
  <si>
    <t>Título com mais de 60 caracteres: Título com 72 caracteres (limite ML=60) | Marca cadastrada incorreta/inconsistente: Marca "Essencia Brasil" difere da marca própria esperada "Essência do Brasil" | Documento de Notificação/Comunicação prévia na Anvisa não preenchido: Número de Notificação/Comunicação prévia na Anvisa não preenchido</t>
  </si>
  <si>
    <t>MLB4836077798</t>
  </si>
  <si>
    <t>MLB3574554795</t>
  </si>
  <si>
    <t>MLB4410645850</t>
  </si>
  <si>
    <t>Colar Prata 925 Rabo De Rato Hematita Cruz - Ponte Vecchio</t>
  </si>
  <si>
    <t>Óleo Essencial Anis Estrelado 10ml Roll On Puro E Natural Essência Do Brasil</t>
  </si>
  <si>
    <t>Essência Do Brasil Perfume Oriental Prelude 100ml Feminino Floriental</t>
  </si>
  <si>
    <t>MLB2803528007</t>
  </si>
  <si>
    <t>Brinco Prata 925 Ponto De Luz 4mm</t>
  </si>
  <si>
    <t>MLB4422192412</t>
  </si>
  <si>
    <t>Óleo Essencial De Wintergreen 10ml - Puro E Natural</t>
  </si>
  <si>
    <t>MLB4836102868</t>
  </si>
  <si>
    <t>MLB2803528016</t>
  </si>
  <si>
    <t>MLB3574766849</t>
  </si>
  <si>
    <t>MLB4422347640</t>
  </si>
  <si>
    <t>Colar Prata 925 Rabo De Rato Sodalita Polida - Ponte Vecchio</t>
  </si>
  <si>
    <t>Brinco Prata 925 Ponto De Luz Ametista 3mm</t>
  </si>
  <si>
    <t>Óleo Essencial Noz Moscada 30ml Essência Do Brasil Aromaterapia</t>
  </si>
  <si>
    <t>Perfume Lady Noir 100ml Feminino Essência Do Brasil Com Feromônios Spray</t>
  </si>
  <si>
    <t>MLB4427357708</t>
  </si>
  <si>
    <t>Óleo Essencial Blend Para Dormir 10ml Difusor Essência Do Brasil</t>
  </si>
  <si>
    <t>MLB2803533333</t>
  </si>
  <si>
    <t>MLB4836137888</t>
  </si>
  <si>
    <t>Brinco Prata 925 Ponto De Luz 6mm</t>
  </si>
  <si>
    <t>Colar Prata 925 Rabo Rato Água-marinha Triângulo P Vecchio</t>
  </si>
  <si>
    <t>MLB4427460650</t>
  </si>
  <si>
    <t>MLB3574829289</t>
  </si>
  <si>
    <t>Kit 4 Óleos Essenciais Alecrim, Cedro, Menta Arvensis, Limão</t>
  </si>
  <si>
    <t>MLB4440914532</t>
  </si>
  <si>
    <t>Óleo Essencial Cânfora Branca 30ml - Puro E Natural</t>
  </si>
  <si>
    <t>MLB2803551106</t>
  </si>
  <si>
    <t>MLB4448485958</t>
  </si>
  <si>
    <t>MLB4836137920</t>
  </si>
  <si>
    <t>Brinco Prata 925 Ponto De Luz Rubi 3mm</t>
  </si>
  <si>
    <t>Óleo Essencial Lemongrass 20ml - Puro E Natural</t>
  </si>
  <si>
    <t>Colar Prata 925 Rabo De Rato Citrino Semi Lapidado P Vecchio</t>
  </si>
  <si>
    <t>MLB3579681403</t>
  </si>
  <si>
    <t>Perfume Eau De Toilette Oud Madeira 100ml Essência Do Brasil Amadeirado</t>
  </si>
  <si>
    <t>MLB2897258542</t>
  </si>
  <si>
    <t>MLB4464752980</t>
  </si>
  <si>
    <t>Brinco Flor Em Prata 925 E Zircônia - Ponte Vecchio</t>
  </si>
  <si>
    <t>Óleo Essencial De Ylang Ylang Puro Roll On 10 Ml Essencia Brasil</t>
  </si>
  <si>
    <t>Anúncio sem descrição; Documento de Notificação/Comunicação prévia na Anvisa não preenchido; Marca cadastrada incorreta/inconsistente; Título com mais de 60 caracteres</t>
  </si>
  <si>
    <t>Título com mais de 60 caracteres: Título com 64 caracteres (limite ML=60) | Anúncio sem descrição: Descrição vazia | Marca cadastrada incorreta/inconsistente: Marca "Essencia Brasil" difere da marca própria esperada "Essência do Brasil" | Documento de Notificação/Comunicação prévia na Anvisa não preenchido: Número de Notificação/Comunicação prévia na Anvisa não preenchido</t>
  </si>
  <si>
    <t>MLB4836137940</t>
  </si>
  <si>
    <t>Colar Prata 925 Rabo De Rato Olho De Tigre Gota - P. Vecchio</t>
  </si>
  <si>
    <t>MLB4468354000</t>
  </si>
  <si>
    <t>Óleo Essencial Roll On Alecrim Lavandin Essência Do Brasil 10ml</t>
  </si>
  <si>
    <t>MLB3579733025</t>
  </si>
  <si>
    <t>MLB3037062909</t>
  </si>
  <si>
    <t>Brinco Argola Em Prata 925 Liso Elegante Ponte Vecchio Joias</t>
  </si>
  <si>
    <t>Extrait De Parfum Masculino Essência Do Brasil Patchouli Absolu 100ml Spray</t>
  </si>
  <si>
    <t>MLB4476179298</t>
  </si>
  <si>
    <t>Kit Com 2 Óleos Essenciais Puros De Laranja Amarga Para Massagem Roll-on 10 Ml Essência Do Brasil</t>
  </si>
  <si>
    <t>Título com mais de 60 caracteres: Título com 97 caracteres (limite ML=60) | Documento de Notificação/Comunicação prévia na Anvisa não preenchido: Número de Notificação/Comunicação prévia na Anvisa não preenchido</t>
  </si>
  <si>
    <t>MLB4836150590</t>
  </si>
  <si>
    <t>Colar Prata 925 Rabo De Rato Água-marinha Coração P. Vecchio</t>
  </si>
  <si>
    <t>MLB4476179710</t>
  </si>
  <si>
    <t>Óleo Essencial De Cedro Do Himalaia 10ml - Natural E Puro</t>
  </si>
  <si>
    <t>MLB3895046511</t>
  </si>
  <si>
    <t>MLB3579745135</t>
  </si>
  <si>
    <t>Brinco Prata 925 Rubi Coração Legítimo Natural Ponte Vecchio</t>
  </si>
  <si>
    <t>MLB4476191708</t>
  </si>
  <si>
    <t>Perfume Feminino Volcan D'amour 100ml Essência Do Brasil Chipre Gourmand</t>
  </si>
  <si>
    <t>Óleo Essencial Cedro Deodara 10ml Roll On - Puro E Natural</t>
  </si>
  <si>
    <t>MLB4836150634</t>
  </si>
  <si>
    <t>MLB4476280488</t>
  </si>
  <si>
    <t>MLB3895046513</t>
  </si>
  <si>
    <t>Kit Óleo Essencial Laranja Amarga Com Roll On Essência Do Brasil</t>
  </si>
  <si>
    <t>Colar Prata 925 Rabo De Rato Ametista Polida - Ponte Vecchio</t>
  </si>
  <si>
    <t>Brinco Prata 925 Rubi Redondo Legítimo Natural Ponte Vecchio</t>
  </si>
  <si>
    <t>MLB3580790533</t>
  </si>
  <si>
    <t>MLB4569207576</t>
  </si>
  <si>
    <t>Kit Essência Do Brasil Óleo Essencial Manjerona + Rosa Mosqueta 10ml Aromaterapia</t>
  </si>
  <si>
    <t>Perfume Feminino Essência Do Brasil Flor De Artemísia Eau De Parfum</t>
  </si>
  <si>
    <t>MLB4115301012</t>
  </si>
  <si>
    <t>MLB4836150666</t>
  </si>
  <si>
    <t>Brinco Prata 925 Ponto De Luz Rubi 3mm Cor Prateado</t>
  </si>
  <si>
    <t>Título com mais de 60 caracteres: Título com 67 caracteres (limite ML=60) | Descrição repetida em outros anúncios com título diferente (verificar se é boilerplate ou erro): Mesma descrição usada em 81 anúncios com títulos diferentes | País de origem diferente de "Brasil": País de origem = "(vazio)", deveria ser "Brasil" | Documento de Notificação/Comunicação prévia na Anvisa não preenchido: Número de Notificação/Comunicação prévia na Anvisa não preenchido</t>
  </si>
  <si>
    <t>MLB4612961112</t>
  </si>
  <si>
    <t>Kit 2 Óleos Essenciais Essência Do Brasil: Lavandim E Melaleuca</t>
  </si>
  <si>
    <t>Colar Prata 925 Rabo De Rato Quartzo Branco Cruz P. Vecchio</t>
  </si>
  <si>
    <t>Código universal do produto (GTIN) não preenchido (texto de exemplo do ML ainda lá); Documento de Notificação/Comunicação prévia na Anvisa não preenchido; Título com mais de 60 caracteres</t>
  </si>
  <si>
    <t>Título com mais de 60 caracteres: Título com 63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</si>
  <si>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MLB4629026501</t>
  </si>
  <si>
    <t>MLB3580887757</t>
  </si>
  <si>
    <t>Kit Com 2 Óleos Essenciais Puros: Alecrim E Laranja Amarga De 10ml</t>
  </si>
  <si>
    <t>MLB4294612551</t>
  </si>
  <si>
    <t>Coffret Perfume Gemma Jade 100ml + Pingente De Presente</t>
  </si>
  <si>
    <t>Brinco Prata 925 Turmalina Negra Oval Verdadeira Natural</t>
  </si>
  <si>
    <t>MLB4836150692</t>
  </si>
  <si>
    <t>MLB4659741994</t>
  </si>
  <si>
    <t>Colar Prata 925 Rabo De Rato Água-marinha Bruta - P. Vecchio</t>
  </si>
  <si>
    <t>Descrição repetida em outros anúncios com título diferente (verificar se é boilerplate ou erro): Mesma descrição usada em 2 anúncios com títulos diferentes | Campo Marca em branco: Marca não preenchida</t>
  </si>
  <si>
    <t>Kit 4 Óleos Essenciais De Lavanda 10ml - Puros E Naturais</t>
  </si>
  <si>
    <t>Marca cadastrada incorreta/inconsistente: Marca "Ponte Vecchio Joias"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</si>
  <si>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MLB4670286280</t>
  </si>
  <si>
    <t>MLB4294625579</t>
  </si>
  <si>
    <t>Kit Com Óleos Essenciais Puros De Alecrim E Lavandim Essência Do Brasil Para Aromaterapia</t>
  </si>
  <si>
    <t>MLB3580890103</t>
  </si>
  <si>
    <t>Brinco Prata 925 Turmalina Negra Triangular Legítima Natural</t>
  </si>
  <si>
    <t>Título com mais de 60 caracteres: Título com 89 caracteres (limite ML=60) | Documento de Notificação/Comunicação prévia na Anvisa não preenchido: Número de Notificação/Comunicação prévia na Anvisa não preenchido</t>
  </si>
  <si>
    <t>MLB4836150702</t>
  </si>
  <si>
    <t>Perfume Feminino Ponte Vecchio Joias Gemma Água-marinha 100ml</t>
  </si>
  <si>
    <t>MLB4674164012</t>
  </si>
  <si>
    <t>Colar Prata 925 Rabo De Rato Opala Rosa Gota - Ponte Vecchio</t>
  </si>
  <si>
    <t>Óleo Essencial De Laranja Amarga Essência Do Brasil, 10 Ml Puro</t>
  </si>
  <si>
    <t>Título com mais de 60 caracteres: Título com 61 caracteres (limite ML=60) | Marca cadastrada incorreta/inconsistente: Marca "Ponte Vecchio Joias"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</si>
  <si>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MLB5159039630</t>
  </si>
  <si>
    <t>MLB4696800293</t>
  </si>
  <si>
    <t>Óleo Essencial De Cajeput 10ml Puro Para Aromaterapia</t>
  </si>
  <si>
    <t>MLB4836175696</t>
  </si>
  <si>
    <t>MLB3580892441</t>
  </si>
  <si>
    <t>MLB4783627582</t>
  </si>
  <si>
    <t>Colar Prata 925 Rabo De Rato Howlita Polida - Ponte Vecchio</t>
  </si>
  <si>
    <t>Kit Óleo Essencial Poejo 20ml + Óleo Vegetal Alecrim 30ml</t>
  </si>
  <si>
    <t>Essência Do Brasil Perfume Masculino Amadeirado Madeira Oriente 100ml + Cítricos Itália 30ml</t>
  </si>
  <si>
    <t>MLB5462992478</t>
  </si>
  <si>
    <t>Brinco Pérola Em Prata 925 6mm Cinza</t>
  </si>
  <si>
    <t>Título com mais de 60 caracteres: Título com 92 caracteres (limite ML=60) | Documento de Notificação/Comunicação prévia na Anvisa não preenchido: Número de Notificação/Comunicação prévia na Anvisa não preenchido</t>
  </si>
  <si>
    <t>MLB4878870273</t>
  </si>
  <si>
    <t>Óleo Essencial Menta Arvensis 10ml Puro E Natural</t>
  </si>
  <si>
    <t>MLB4836175776</t>
  </si>
  <si>
    <t>Colar Prata 925 Rabo De Rato Hematita Polida - Ponte Vecchio</t>
  </si>
  <si>
    <t>MLB5828865452</t>
  </si>
  <si>
    <t>MLB4939113500</t>
  </si>
  <si>
    <t>MLB3580894581</t>
  </si>
  <si>
    <t>Kit Óleo Essencial De Menta Spicata Com Óleo Vegetal De Alecrim Puro 10ml</t>
  </si>
  <si>
    <t>Título com mais de 60 caracteres: Título com 73 caracteres (limite ML=60) | Anúncio sem descrição: Descrição vazia | Documento de Notificação/Comunicação prévia na Anvisa não preenchido: Número de Notificação/Comunicação prévia na Anvisa não preenchido</t>
  </si>
  <si>
    <t>Eau De Toilette Essência Do Brasil Perfume Masculino Cipreste 10ml Roll On</t>
  </si>
  <si>
    <t>MLB5029664072</t>
  </si>
  <si>
    <t>Kit Com Óleo Essencial Laranja Doce E Óleo Vegetal De Alecrim Para Massagem</t>
  </si>
  <si>
    <t>Título com mais de 60 caracteres: Título com 74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</si>
  <si>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MLB6251743370</t>
  </si>
  <si>
    <t>Título com mais de 60 caracteres: Título com 75 caracteres (limite ML=60) | Anúncio sem descrição: Descrição vazia | Documento de Notificação/Comunicação prévia na Anvisa não preenchido: Número de Notificação/Comunicação prévia na Anvisa não preenchido</t>
  </si>
  <si>
    <t>MLB4920672400</t>
  </si>
  <si>
    <t>Brinco Prata 925 Água-marinha Ponto De Luz Legítima Natural Prateado</t>
  </si>
  <si>
    <t>Colar Prata 925 Amazonita - Ponte Vecchio Joias Cor Prateado</t>
  </si>
  <si>
    <t>MLB5029710816</t>
  </si>
  <si>
    <t>Kit Óleo Essencial De Patchouli Com Óleo Vegetal De Alecrim Essência Do Brasil</t>
  </si>
  <si>
    <t>Título com mais de 60 caracteres: Título com 68 caracteres (limite ML=60) | Anúncio sem descrição: Descrição vazia | Marca cadastrada incorreta/inconsistente: Marca "Ponte Vecchio" difere da marca própria esperada "Ponte Vecchio Joias"</t>
  </si>
  <si>
    <t>MLB3580899353</t>
  </si>
  <si>
    <t>MLB5029749418</t>
  </si>
  <si>
    <t>MLB6719371406</t>
  </si>
  <si>
    <t>Perfume Essência Do Brasil Patchouli Masculino 10ml Natural Roll On</t>
  </si>
  <si>
    <t>Kit Óleos Essenciais Essência Do Brasil Com Menta Arvensis E Vegetal Alecrim</t>
  </si>
  <si>
    <t>Larimar 8-12mm Para Pingente 20 Gramas - Ponte Vecchio Joias Azul</t>
  </si>
  <si>
    <t>MLB4990689746</t>
  </si>
  <si>
    <t>MLB5029749812</t>
  </si>
  <si>
    <t>Pingentes Pedras Naturais Brutas P. Vecchio - Você Escolhe Cor Opala Rosa - Rosa Com Jogo De Cores</t>
  </si>
  <si>
    <t>Kit Óleo Essen. Euc. Staigeriana 20ml + Vegetal Alecrim 30ml</t>
  </si>
  <si>
    <t>Título com mais de 60 caracteres: Título com 98 caracteres (limite ML=60) | Anúncio sem descrição: Descrição vazia</t>
  </si>
  <si>
    <t>MLB4311707235</t>
  </si>
  <si>
    <t>MLB5029753430</t>
  </si>
  <si>
    <t>Pulseira Pedra Natural Olho De Tigre Marrom Ponte Vecchio Unissex Atemporal</t>
  </si>
  <si>
    <t>MLB3580899477</t>
  </si>
  <si>
    <t>Kit Óleo Essencial Litsea Cubeba E Vegetal Alecrim Para Massagem</t>
  </si>
  <si>
    <t>Título com mais de 60 caracteres: Título com 75 caracteres (limite ML=60) | Anúncio sem descrição: Descrição vazia</t>
  </si>
  <si>
    <t>Perfume Oriental Arabian Masculino 10ml Spray Essência Do Brasil</t>
  </si>
  <si>
    <t>MLB5000254768</t>
  </si>
  <si>
    <t>MLB5029765460</t>
  </si>
  <si>
    <t>Pingente Prata 950 Quartzo Aura Bruto Legítima - P. Vecchio Ouro</t>
  </si>
  <si>
    <t>Kit Óleo Essencial Bergamota E Vegetal De Alecrim Da Essência Do Brasil</t>
  </si>
  <si>
    <t>MLB4647594909</t>
  </si>
  <si>
    <t>Pulseira De Pedra Natural Turmalina Negra Legítima P Vecchio Cor Natural Preto</t>
  </si>
  <si>
    <t>MLB5029776306</t>
  </si>
  <si>
    <t>Kit Óleo Essencial Alfazema 20ml + Óleo Vegetal Alecrim 30ml</t>
  </si>
  <si>
    <t>MLB3580899827</t>
  </si>
  <si>
    <t>MLB5000260758</t>
  </si>
  <si>
    <t>MLB4878870421</t>
  </si>
  <si>
    <t>Perfume Extrait Ponte Vecchio Gemma Rubi 100ml + Colar Prata 925</t>
  </si>
  <si>
    <t>MLB5029947764</t>
  </si>
  <si>
    <t>Pulseira De Pedra Natural Pirita Verdadeira - P. Vecchio Marrom-escuro</t>
  </si>
  <si>
    <t>Pingente Prata 950 Lápis Lazuli Polida Legítima - P. Vecchio Prateado</t>
  </si>
  <si>
    <t>Kit Com Óleo Essencial De Tangerina 20ml E Óleo Vegetal De Alecrim 30ml</t>
  </si>
  <si>
    <t>Título com mais de 60 caracteres: Título com 64 caracteres (limite ML=60) | Marca cadastrada incorreta/inconsistente: Marca "Ponte Vecchio Joias"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</si>
  <si>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MLB5030340118</t>
  </si>
  <si>
    <t>Kit Óleo Essencial Noz-moscada 20ml E Vegetal Alecrim 30ml Essência Do Brasil</t>
  </si>
  <si>
    <t>MLB5958440710</t>
  </si>
  <si>
    <t>MLB3580901913</t>
  </si>
  <si>
    <t>MLB5010915630</t>
  </si>
  <si>
    <t>MLB5030520444</t>
  </si>
  <si>
    <t>Pulseira Pedra Natural Selenita Ponte Vecchio Elástico Resistente Branca Média Branco</t>
  </si>
  <si>
    <t>Kit Óleo Essencial Essência Do Brasil Cânfora Branca 20ml + Alecrim 30ml</t>
  </si>
  <si>
    <t>Eau De Toilette Essência Do Brasil Flor De Angélica 10ml Roll On Feminino</t>
  </si>
  <si>
    <t>Colar Prata 925 Ametista Rolada Legítima - Ponte Vecchio Cor Prateado</t>
  </si>
  <si>
    <t>Título com mais de 60 caracteres: Título com 85 caracteres (limite ML=60) | Anúncio sem descrição: Descrição vazia</t>
  </si>
  <si>
    <t>Título com mais de 60 caracteres: Título com 73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</si>
  <si>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MLB5030827646</t>
  </si>
  <si>
    <t>Kit Óleo Essencial Capim Limão + Vegetal Alecrim 20ml 30ml Essência Do Brasil</t>
  </si>
  <si>
    <t>MLB5966466998</t>
  </si>
  <si>
    <t>MLB3580901967</t>
  </si>
  <si>
    <t>MLB5030836674</t>
  </si>
  <si>
    <t>MLB5051230720</t>
  </si>
  <si>
    <t>Kit Óleo Essencial Orégano 20ml + Óleo Vegetal Alecrim 30ml Essência Do Brasil</t>
  </si>
  <si>
    <t>Perfume Feminino Essência Do Brasil Deep Blue Extrait 100ml Amadeirado</t>
  </si>
  <si>
    <t>Pulseira Pedra Natural Lápis-lazúli Azul Ponte Vecchio Joias</t>
  </si>
  <si>
    <t>Colar Prata 925 Quartzo Rosa Natural Verdadeiro - P. Vecchio</t>
  </si>
  <si>
    <t>MLB5030838548</t>
  </si>
  <si>
    <t>Kit Óleo Essencial Melaleuca E Vegetal Alecrim Puro Para Massagens</t>
  </si>
  <si>
    <t>MLB4294483083</t>
  </si>
  <si>
    <t>MLB5030865804</t>
  </si>
  <si>
    <t>MLB5062334280</t>
  </si>
  <si>
    <t>MLB3580902071</t>
  </si>
  <si>
    <t>Brinco Prata 925 Sodalita Oval Verdadeira Natural P. Vecchio</t>
  </si>
  <si>
    <t>Kit Óleo Essencial Eucalipto Citriodora E Óleo Vegetal De Alecrim Para Massagem</t>
  </si>
  <si>
    <t>Pingente Prata 925 Ametista Retangular - Ponte Vecchio Joias</t>
  </si>
  <si>
    <t>Essência Do Brasil Perfume Deep Green Eau De Parfum Masculino 100ml</t>
  </si>
  <si>
    <t>Campo Marca em branco</t>
  </si>
  <si>
    <t>Campo Marca em branco: Marca não preenchida</t>
  </si>
  <si>
    <t>MLB5030992078</t>
  </si>
  <si>
    <t>Kit Óleo Essen. Pimenta Rosa 20ml + Vegetal De Alecrim 30ml</t>
  </si>
  <si>
    <t>MLB4294496197</t>
  </si>
  <si>
    <t>MLB5031003124</t>
  </si>
  <si>
    <t>Brinco Prata 925 Granada Gota Verdadeira Natural P. Vecchio</t>
  </si>
  <si>
    <t>MLB5122180978</t>
  </si>
  <si>
    <t>Kit Com Óleo Essencial Basilicão E Óleo Vegetal Alecrim Para Massagem</t>
  </si>
  <si>
    <t>MLB3580906785</t>
  </si>
  <si>
    <t>Pingente Prata 950 Esmeralda Polida Legítima P Vecchio Joias</t>
  </si>
  <si>
    <t>Perfume Eau De Toilette Essência Do Brasil Floral Feminino 10ml Roll On Spray</t>
  </si>
  <si>
    <t>MLB5031016196</t>
  </si>
  <si>
    <t>Kit Óleo Essen. Limão Siciliano 20ml + Vegetal Alecrim 30ml</t>
  </si>
  <si>
    <t>MLB4294534953</t>
  </si>
  <si>
    <t>Brinco Prata 925 Água-marinha Ponto De Luz Legítima Natural</t>
  </si>
  <si>
    <t>MLB5122268914</t>
  </si>
  <si>
    <t>MLB5098808868</t>
  </si>
  <si>
    <t>Kit Óleo Essencial Pinho 20ml E Óleo Vegetal De Alecrim 30ml</t>
  </si>
  <si>
    <t>Pingente Prata 950 Água Marinha Bruta Legítima - P. Vecchio</t>
  </si>
  <si>
    <t>MLB3580912245</t>
  </si>
  <si>
    <t>MLB4294561201</t>
  </si>
  <si>
    <t>Perfume Feminino Essência Do Brasil Flor De Laranjeira 10ml Roll On</t>
  </si>
  <si>
    <t>MLB5098871174</t>
  </si>
  <si>
    <t>Kit Óleo Essencial Louro + Óleo Vegetal Rosa Mosqueta 10ml Essência Do Brasil</t>
  </si>
  <si>
    <t>Brinco Prata 925 Topázio London Blue Oval - P. Vecchio Joias</t>
  </si>
  <si>
    <t>MLB5098872912</t>
  </si>
  <si>
    <t>Kit Óleo Essencial Mandarina E Óleo Vegetal Alecrim Para Massagens Da Essência Do Brasil</t>
  </si>
  <si>
    <t>MLB5124128476</t>
  </si>
  <si>
    <t>MLB4294574035</t>
  </si>
  <si>
    <t>Título com mais de 60 caracteres: Título com 88 caracteres (limite ML=60) | Documento de Notificação/Comunicação prévia na Anvisa não preenchido: Número de Notificação/Comunicação prévia na Anvisa não preenchido</t>
  </si>
  <si>
    <t>MLB3580912807</t>
  </si>
  <si>
    <t>Pingente Ametista Bruta Banhado Ouro 18k Natural E Legítima</t>
  </si>
  <si>
    <t>Brinco Prata 925 Pirita Coração Legítima Natural - P Vecchio</t>
  </si>
  <si>
    <t>Perfume Feminino Extrait Esmeralda 100ml + Pingente Prata Ponte Vecchio</t>
  </si>
  <si>
    <t>MLB5150482072</t>
  </si>
  <si>
    <t>Kit Óleo Essencial Sândalo Amyris + Vegetal De Alecrim 10ml</t>
  </si>
  <si>
    <t>Título com mais de 60 caracteres: Título com 71 caracteres (limite ML=60) | Marca cadastrada incorreta/inconsistente: Marca "Ponte Vecchio Joias"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</si>
  <si>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MLB4294586843</t>
  </si>
  <si>
    <t>MLB5150568410</t>
  </si>
  <si>
    <t>MLB5124163980</t>
  </si>
  <si>
    <t>Kit Óleo Essencial Cedro Virgínia + Vegetal De Alecrim 10ml</t>
  </si>
  <si>
    <t>Brinco Prata 925 Tanzanita Oval Verdadeira - P. Vecchio</t>
  </si>
  <si>
    <t>Pingente Ametista Polida Banhado Ouro 18k Natural E Legítima</t>
  </si>
  <si>
    <t>MLB3580915177</t>
  </si>
  <si>
    <t>MLB5150601750</t>
  </si>
  <si>
    <t>Perfume Ponte Vecchio Gemma Esmeralda Feminino 100 Ml</t>
  </si>
  <si>
    <t>Kit Óleo Essencial Pinho + Óleo Vegetal De Alecrim 10ml</t>
  </si>
  <si>
    <t>MLB4294625577</t>
  </si>
  <si>
    <t>Brinco Prata 925 Ametista Ponto De Luz Verdadeira Natural</t>
  </si>
  <si>
    <t>MLB5177137796</t>
  </si>
  <si>
    <t>MLB5148365964</t>
  </si>
  <si>
    <t>Kit Óleo Essencial Alfazema E Alecrim 10ml Essência Do Brasil Aromaterapia</t>
  </si>
  <si>
    <t>Pingente Ametista Natural Prata 925 Ponte Vecchio Joias Cor Prateado</t>
  </si>
  <si>
    <t>MLB3580915527</t>
  </si>
  <si>
    <t>MLB5177146596</t>
  </si>
  <si>
    <t>Kit Óleo Essencial Ho Wood E Óleo Vegetal De Alecrim 10ml Para Massagem E Bem-estar</t>
  </si>
  <si>
    <t>Perfume Patchouli Masculino Essência Do Brasil Eau De Toilette 10ml Cítrico</t>
  </si>
  <si>
    <t>MLB4294638485</t>
  </si>
  <si>
    <t>Brinco Prata 925 Larimar Oval Verdadeiro Natural P. Vecchio</t>
  </si>
  <si>
    <t>MLB5178692874</t>
  </si>
  <si>
    <t>MLB5148436264</t>
  </si>
  <si>
    <t>Kit Óleo Essencial Ho Wood E Vegetal Alecrim Essência Do Brasil</t>
  </si>
  <si>
    <t>Colar Prata 925 Turmalina Negra Natural Verdadeira P Vecchio Cor Prateado</t>
  </si>
  <si>
    <t>MLB5178762572</t>
  </si>
  <si>
    <t>MLB3580916077</t>
  </si>
  <si>
    <t>Kit Óleos Essenciais Cipreste E Vegetal Alecrim Para Massagem - Essência Do Brasil</t>
  </si>
  <si>
    <t>MLB5178788074</t>
  </si>
  <si>
    <t>Kit Óleos Essenciais Palmarosa E Vegetal Alecrim 20ml E 30ml Essência Do Brasil</t>
  </si>
  <si>
    <t>MLB5148436482</t>
  </si>
  <si>
    <t>Colar Em Ouro 18k Ametista 6 Quilates Natural Legítima Cor Dourado</t>
  </si>
  <si>
    <t>MLB5178803712</t>
  </si>
  <si>
    <t>Kit Essência Do Brasil Com Óleo Essencial De Citronela E Vegetal De Alecrim</t>
  </si>
  <si>
    <t>MLB3580933199</t>
  </si>
  <si>
    <t>Perfume Masculino Essência Do Brasil Menta Adventure Com Roll On De 10ml</t>
  </si>
  <si>
    <t>MLB5178814006</t>
  </si>
  <si>
    <t>MLB5148442486</t>
  </si>
  <si>
    <t>Kit Óleo Essencial Zimbro E Vegetal De Alecrim Essência Do Brasil</t>
  </si>
  <si>
    <t>Pingente Prata 950 Drusa Ametista Metalizada - Ponte Vecchio Cor Natural</t>
  </si>
  <si>
    <t>MLB5218807030</t>
  </si>
  <si>
    <t>Kit Óleos Essenciais - Anis, Alecrim, Cedro, Citronela</t>
  </si>
  <si>
    <t>MLB3580935705</t>
  </si>
  <si>
    <t>MLB5228905144</t>
  </si>
  <si>
    <t>Óleo Essencial Noz Moscada 20ml Essência Do Brasil Puro Aromaterapia</t>
  </si>
  <si>
    <t>MLB5148481994</t>
  </si>
  <si>
    <t>Perfume Feminino Essência Do Brasil Dama Da Noite + Brinco Prata Coração</t>
  </si>
  <si>
    <t>Pingente Ponto De Luz Quadrado 5mm Banhado Em Ouro Cor Dourado</t>
  </si>
  <si>
    <t>Título com mais de 60 caracteres: Título com 72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</si>
  <si>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MLB5287461408</t>
  </si>
  <si>
    <t>MLB5343945742</t>
  </si>
  <si>
    <t>Kit Óleo Essencial Alecrim + Óleo Vegetal 10ml Essência Do Brasil</t>
  </si>
  <si>
    <t>MLB3580936269</t>
  </si>
  <si>
    <t>MLB5148525182</t>
  </si>
  <si>
    <t>Perfume Cítrico Roll On Essência Do Brasil Laranja Doce 10ml</t>
  </si>
  <si>
    <t>Pingente Prata 925 Rubi Natural Verdadeiro - P Vecchio Joias Cor Prateado</t>
  </si>
  <si>
    <t>MLB5413860756</t>
  </si>
  <si>
    <t>Kit 10 Essências Aromatizador / Difusor Ambientes</t>
  </si>
  <si>
    <t>MLB5421473990</t>
  </si>
  <si>
    <t>Blend De Óleos Essenciais Para Focar - Difusor 10ml</t>
  </si>
  <si>
    <t>MLB5167825400</t>
  </si>
  <si>
    <t>MLB3580936385</t>
  </si>
  <si>
    <t>Colar Prata 925 Rubi Bruto Natural E Verdadeiro - P. Vecchio</t>
  </si>
  <si>
    <t>MLB5480953210</t>
  </si>
  <si>
    <t>Perfume Eros Essência Do Brasil Spray Portátil 10ml Amadeirado Masculino</t>
  </si>
  <si>
    <t>Kit Óleo Essencial Yuzu Japão + Vegetal Alecrim Essência Do Brasil 10ml</t>
  </si>
  <si>
    <t>MLB5480958552</t>
  </si>
  <si>
    <t>Kit Óleo Essencial De Coentro E Rosa Mosqueta Essência Do Brasil Com 2 Unidades</t>
  </si>
  <si>
    <t>MLB5168708038</t>
  </si>
  <si>
    <t>MLB3580936821</t>
  </si>
  <si>
    <t>Pingente Prata 925 Rubi Bruto Natural E Verdadeiro P Vecchio</t>
  </si>
  <si>
    <t>MLB5482765930</t>
  </si>
  <si>
    <t>Óleo Essencial De Cabreúva + Óleo Vegetal De Alecrim 10ml</t>
  </si>
  <si>
    <t>Perfume Masculino Gerânio &amp; Olíbano 100ml + Mini 10ml Essência Do Brasil</t>
  </si>
  <si>
    <t>MLB5483832938</t>
  </si>
  <si>
    <t>Óleo Essencial Grapefruit Espanha + Vegetal De Alecrim 10ml</t>
  </si>
  <si>
    <t>MLB5176996446</t>
  </si>
  <si>
    <t>MLB3580937029</t>
  </si>
  <si>
    <t>MLB5483963994</t>
  </si>
  <si>
    <t>Colar Em Prata Banhado Ouro 45cm - Nossa Senhora Cravejado Cor Dourado</t>
  </si>
  <si>
    <t>Kit Essência Do Brasil Com Óleo Essencial De Cabreúva E Rosa Mosqueta Puro</t>
  </si>
  <si>
    <t>Perfume Feminino Essência Do Brasil Floral Doce La Madrague 100ml</t>
  </si>
  <si>
    <t>Título com mais de 60 caracteres: Título com 70 caracteres (limite ML=60) | Marca cadastrada incorreta/inconsistente: Marca "Ponte Vecchio" difere da marca própria esperada "Ponte Vecchio Joias"</t>
  </si>
  <si>
    <t>Código universal do produto (GTIN) não preenchido (texto de exemplo do ML ainda lá); Documento de Notificação/Comunicação prévia na Anvisa não preenchido; País de origem diferente de "Brasil"; Título com mais de 60 caracteres</t>
  </si>
  <si>
    <t>MLB5484158350</t>
  </si>
  <si>
    <t>Título com mais de 60 caracteres: Título com 65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</si>
  <si>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Óleo Essencial De Coriandro + Óleo Vegetal De Alecrim 10ml</t>
  </si>
  <si>
    <t>MLB5177082968</t>
  </si>
  <si>
    <t>MLB5484387344</t>
  </si>
  <si>
    <t>Pingente Prata 925 Esmeralda Retangular Verdadeira P Vecchio Cor Prateado</t>
  </si>
  <si>
    <t>MLB3580939049</t>
  </si>
  <si>
    <t>Kit Óleo Essencial Grapefruit Essência Do Brasil + Rosa Mosqueta 10ml</t>
  </si>
  <si>
    <t>Perfume Dama Da Noite Essência Do Brasil 100ml + Spray Portátil</t>
  </si>
  <si>
    <t>MLB5484607904</t>
  </si>
  <si>
    <t>Essência Do Brasil Óleo Essencial Yuzu Japão E Rosa Mosqueta 10ml Kit</t>
  </si>
  <si>
    <t>MLB5177099484</t>
  </si>
  <si>
    <t>Pingente Prata 925 Turmalina Rosa Natural Verdadeira Joias Cor Prateado</t>
  </si>
  <si>
    <t>MLB3580940799</t>
  </si>
  <si>
    <t>MLB5505474538</t>
  </si>
  <si>
    <t>Óleo De Anis Estrelado 10ml Roll On C/ Rosa Mosqueta</t>
  </si>
  <si>
    <t>Perfume Ponte Vecchio Joias Gemma Jade Feminino 100ml</t>
  </si>
  <si>
    <t>MLB5508754708</t>
  </si>
  <si>
    <t>MLB5177107388</t>
  </si>
  <si>
    <t>Kit 4 Óleos Essenciais 10ml Essência Do Brasil - Alecrim Lavandim Limão Melaleuca</t>
  </si>
  <si>
    <t>Título com mais de 60 caracteres: Título com 81 caracteres (limite ML=60) | Documento de Notificação/Comunicação prévia na Anvisa não preenchido: Número de Notificação/Comunicação prévia na Anvisa não preenchido</t>
  </si>
  <si>
    <t>Pingente Prata 925 Topázio Imperial Gota Natural Verdadeiro Cor Prateado</t>
  </si>
  <si>
    <t>MLB3580945925</t>
  </si>
  <si>
    <t>MLB5534822130</t>
  </si>
  <si>
    <t>Kit Óleos Essência Do Brasil Gerânio Bourbon E Alecrim Para Difusor E Massagem</t>
  </si>
  <si>
    <t>Essência Do Brasil Perfume Dama Da Noite Feminino 100ml + Brinco Prata 925</t>
  </si>
  <si>
    <t>MLB5535377278</t>
  </si>
  <si>
    <t>MLB5177114156</t>
  </si>
  <si>
    <t>Óleo Essencial Zimbro 30ml Essência Do Brasil Aromaterapia Natural</t>
  </si>
  <si>
    <t>Colar Em Prata Banhado Ouro 18k - 45cm Coração Pequeno Cor Dourado</t>
  </si>
  <si>
    <t>MLB5536902096</t>
  </si>
  <si>
    <t>MLB3580951577</t>
  </si>
  <si>
    <t>Óleo Essencial De Olíbano + Óleo Vegetal De Alecrim 10ml</t>
  </si>
  <si>
    <t>Coffret Perfume Gemma Citrino 100ml + Pingente Prata Ponte Vecchio</t>
  </si>
  <si>
    <t>MLB5536921760</t>
  </si>
  <si>
    <t>Título com mais de 60 caracteres: Título com 66 caracteres (limite ML=60) | Marca cadastrada incorreta/inconsistente: Marca "Ponte Vecchio Joias"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</si>
  <si>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MLB5177120228</t>
  </si>
  <si>
    <t>Kit Óleos Essenciais Essência Do Brasil Lavanda E Rosa Mosqueta 10ml</t>
  </si>
  <si>
    <t>Pingente Prata 950 Quartzo Vermelho Polido P. Vecchio Joias Cor Natural</t>
  </si>
  <si>
    <t>MLB2166250981</t>
  </si>
  <si>
    <t>MLB5538583020</t>
  </si>
  <si>
    <t>MLB3580959215</t>
  </si>
  <si>
    <t>Kit Óleo Essencial Olíbano E Rosa Mosqueta 10ml Essência Do Brasil</t>
  </si>
  <si>
    <t>Eau De Toilette Essência Do Brasil Feminino Mirra Natural Roll On 10ml</t>
  </si>
  <si>
    <t>MLB5541553272</t>
  </si>
  <si>
    <t>MLB5177217902</t>
  </si>
  <si>
    <t>Aromatizador De Ambiente Para Hotéis 250ml + Presente</t>
  </si>
  <si>
    <t>Kit Óleo Essencial E Vegetal De Alecrim Essência Do Brasil Orgânico Puro Para Difusor E Massagem</t>
  </si>
  <si>
    <t>Campo Marca em branco; Código universal do produto (GTIN) não preenchido (texto de exemplo do ML ainda lá); Descrição menciona horário/prazo fixo de despacho; Descrição repetida em outros anúncios com título diferente (verificar se é boilerplate ou erro)</t>
  </si>
  <si>
    <t>Colar Ponte Vecchio Joias Em Ouro 18k Com Citrino, 45 Cm Dourado</t>
  </si>
  <si>
    <t>Título com mais de 60 caracteres: Título com 96 caracteres (limite ML=60) | Anúncio sem descrição: Descrição vazia | Documento de Notificação/Comunicação prévia na Anvisa não preenchido: Número de Notificação/Comunicação prévia na Anvisa não preenchido</t>
  </si>
  <si>
    <t>Descrição repetida em outros anúncios com título diferente (verificar se é boilerplate ou erro): Mesma descrição usada em 2 anúncios com títulos diferentes | Campo Marca em branco: Marca não preenchida | Campo Marca em branco: Marca não preenchida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Campo Marca em branco: Marca não preenchida | Campo Marca em branco: Marca não preenchida | Descrição menciona horário/prazo fixo de despacho: Descrição menciona horário/prazo de despacho fixo - texto operacional que pode ficar desatualizado</t>
  </si>
  <si>
    <t>MLB5541758216</t>
  </si>
  <si>
    <t>MLB3580959317</t>
  </si>
  <si>
    <t>Kit Óleo Essencial Mandarina Verde E Óleo Vegetal Rosa Mosqueta 10ml Da Essência Do Brasil</t>
  </si>
  <si>
    <t>MLB2166283701</t>
  </si>
  <si>
    <t>Título com mais de 60 caracteres: Título com 90 caracteres (limite ML=60) | Anúncio sem descrição: Descrição vazia | Documento de Notificação/Comunicação prévia na Anvisa não preenchido: Número de Notificação/Comunicação prévia na Anvisa não preenchido</t>
  </si>
  <si>
    <t>Perfume Masculino Essência Do Brasil Dark Tabac 10ml Baunilha</t>
  </si>
  <si>
    <t>Aromatizador De Ambiente Para Hotéis 500ml + Presente</t>
  </si>
  <si>
    <t>MLB5192735766</t>
  </si>
  <si>
    <t>MLB5713520906</t>
  </si>
  <si>
    <t>Pingente Prata 925 Ponto Luz Água Marinha Lapidada Legítima Cor Natural</t>
  </si>
  <si>
    <t>Descrição repetida em outros anúncios com título diferente (verificar se é boilerplate ou erro): Mesma descrição usada em 2 anúncios com títulos diferentes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Descrição menciona horário/prazo fixo de despacho: Descrição menciona horário/prazo de despacho fixo - texto operacional que pode ficar desatualizado</t>
  </si>
  <si>
    <t>Kit 05 Óleos Essenciais - Você Escolhe - 100% Puro E Natural</t>
  </si>
  <si>
    <t>MLB5728020582</t>
  </si>
  <si>
    <t>MLB2166305359</t>
  </si>
  <si>
    <t>Óleo Essencial De Manjerona 30ml Puro Essência Do Brasil</t>
  </si>
  <si>
    <t>MLB3580963613</t>
  </si>
  <si>
    <t>Aromatizador De Ambiente Para Lojas 250ml</t>
  </si>
  <si>
    <t>Eau De Toilette Essência Do Brasil Baunilha E Limão Siciliano 10ml</t>
  </si>
  <si>
    <t>MLB5192752182</t>
  </si>
  <si>
    <t>MLB5828906994</t>
  </si>
  <si>
    <t>Descrição repetida em outros anúncios com título diferente (verificar se é boilerplate ou erro): Mesma descrição usada em 2 anúncios com títulos diferentes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</t>
  </si>
  <si>
    <t>Óleo Essencial Funcho Doce 10ml Essência Do Brasil Aromaterapia</t>
  </si>
  <si>
    <t>MLB2166336868</t>
  </si>
  <si>
    <t>MLB5829578468</t>
  </si>
  <si>
    <t>Óleo Essencial Gengibre 10ml Essência Do Brasil Puro E Natural</t>
  </si>
  <si>
    <t>Aromatizador De Ambiente Para Lojas 500ml</t>
  </si>
  <si>
    <t>MLB5212813936</t>
  </si>
  <si>
    <t>MLB3580966323</t>
  </si>
  <si>
    <t>Pingente Prata 950 Ametista Natural Ponte Vecchio Joias Prateado</t>
  </si>
  <si>
    <t>MLB6155139552</t>
  </si>
  <si>
    <t>Eau De Toilette Essência Do Brasil Masculino Cedro Natural 10ml Roll On</t>
  </si>
  <si>
    <t>Óleo Essencial Camomila Azul (brasil) 5ml - Natural E Puro</t>
  </si>
  <si>
    <t>MLB5827942986</t>
  </si>
  <si>
    <t>Essência Do Brasil Difusor De Ambiente Lavanda 100ml Com Varetas Vidro</t>
  </si>
  <si>
    <t>MLB6158536026</t>
  </si>
  <si>
    <t>Óleo Essencial Citronela 30ml - Puro E Natural</t>
  </si>
  <si>
    <t>MLB5268230828</t>
  </si>
  <si>
    <t>MLB3580970123</t>
  </si>
  <si>
    <t>Colar Prata 925 Quartzo Rosa Medalha Verdadeiro - P. Vecchio</t>
  </si>
  <si>
    <t>MLB6234867454</t>
  </si>
  <si>
    <t>Óleo Essencial Tuia Europa 10ml Aromaterapia Natural E Puro</t>
  </si>
  <si>
    <t>Perfume Masculino Amadeirado Cedro 50ml Essências Do Brasil Natural Spray</t>
  </si>
  <si>
    <t>MLB2166326908</t>
  </si>
  <si>
    <t>Título com mais de 60 caracteres: Título com 73 caracteres (limite ML=60) | Descrição repetida em outros anúncios com título diferente (verificar se é boilerplate ou erro): Mesma descrição usada em 81 anúncios com títulos diferentes | País de origem diferente de "Brasil": País de origem = "(vazio)", deveria ser "Brasil" | Documento de Notificação/Comunicação prévia na Anvisa não preenchido: Número de Notificação/Comunicação prévia na Anvisa não preenchido</t>
  </si>
  <si>
    <t>MLB6825796456</t>
  </si>
  <si>
    <t>Aromatizador De Ambiente Premium Natural Lojas 500ml</t>
  </si>
  <si>
    <t>Óleo Essencial Alcaravia 10ml - Aromaterapia Natural E Puro</t>
  </si>
  <si>
    <t>Campo Marca em branco; Código universal do produto (GTIN) não preenchido (texto de exemplo do ML ainda lá); Descrição menciona horário/prazo fixo de despacho</t>
  </si>
  <si>
    <t>MLB5268230838</t>
  </si>
  <si>
    <t>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</t>
  </si>
  <si>
    <t>Colar Prata 925 Citrino Polido Verdadeiro - Ponte Vecchio</t>
  </si>
  <si>
    <t>MLB3580976409</t>
  </si>
  <si>
    <t>MLB6828110158</t>
  </si>
  <si>
    <t>Óleo Essencial Cajeput + Óleo Vegetal Alecrim 10ml</t>
  </si>
  <si>
    <t>Perfume Dama Da Noite &amp; Alfazema 10ml Feminino Essência Do Brasil</t>
  </si>
  <si>
    <t>MLB2167125116</t>
  </si>
  <si>
    <t>MLB7010890440</t>
  </si>
  <si>
    <t>Óleo Essencial Capim Limão 10ml Puro E Natural</t>
  </si>
  <si>
    <t>Kit 2 Aromatizadores De Ambiente Premium Natural Lojas 250ml</t>
  </si>
  <si>
    <t>MLB5268256464</t>
  </si>
  <si>
    <t>MLB7021320530</t>
  </si>
  <si>
    <t>Colar Prata 925 Citrino Bruto Verdadeiro - Ponte Vecchio</t>
  </si>
  <si>
    <t>MLB3580976583</t>
  </si>
  <si>
    <t>Óleo Essencial Eucalipto Radiata + Óleo Vegetal Alecrim 10ml</t>
  </si>
  <si>
    <t>Perfume Masculino Essência Do Brasil Attraction Spray Portátil 10ml</t>
  </si>
  <si>
    <t>MLB7071223166</t>
  </si>
  <si>
    <t>MLB2185146269</t>
  </si>
  <si>
    <t>Kit 4 Óleos Essenciais Cítricos</t>
  </si>
  <si>
    <t>Aromatizador Premium Para Banheiro Várias Fragrâncias 250ml</t>
  </si>
  <si>
    <t>MLB5268281546</t>
  </si>
  <si>
    <t>Colar Prata 925 Quartzo Rosa Hexagonal Semi-lapidado Natural</t>
  </si>
  <si>
    <t>MLB7294020632</t>
  </si>
  <si>
    <t>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Descrição menciona horário/prazo fixo de despacho: Descrição menciona horário/prazo de despacho fixo - texto operacional que pode ficar desatualizado</t>
  </si>
  <si>
    <t>MLB3580978581</t>
  </si>
  <si>
    <t>Perfume Roll On Essência Do Brasil Masculino De Bergamota Natural 10 Ml</t>
  </si>
  <si>
    <t>MLB2095602133</t>
  </si>
  <si>
    <t>MLB1795638456</t>
  </si>
  <si>
    <t>Óleo Essencial Limão Siciliano 10ml - Puro E Natural -oferta</t>
  </si>
  <si>
    <t>Difusor De Ambiente Com Varetas Aroma Lojas Premium 100ml</t>
  </si>
  <si>
    <t>Documento de Notificação/Comunicação prévia na Anvisa não preenchido</t>
  </si>
  <si>
    <t>Documento de Notificação/Comunicação prévia na Anvisa não preenchido: Número de Notificação/Comunicação prévia na Anvisa não preenchido</t>
  </si>
  <si>
    <t>MLB5268293364</t>
  </si>
  <si>
    <t>Campo Marca em branco; Código universal do produto (GTIN) não preenchido (texto de exemplo do ML ainda lá); Documento de Notificação/Comunicação prévia na Anvisa não preenchido</t>
  </si>
  <si>
    <t>Colar Prata 925 Quartzo Rosa Colmeia Verdadeiro P. Vecchio</t>
  </si>
  <si>
    <t>MLB1795639669</t>
  </si>
  <si>
    <t>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Campo Marca em branco: Marca não preenchida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</t>
  </si>
  <si>
    <t>Óleo Essencial Eucalipto (lima Limão) 10ml- Puro - Promoção</t>
  </si>
  <si>
    <t>MLB3580979009</t>
  </si>
  <si>
    <t>Perfume Essência Do Brasil Feminino Roll On 10ml Natural Palmarosa</t>
  </si>
  <si>
    <t>MLB1795640722</t>
  </si>
  <si>
    <t>Óleo Essencial Laranja Doce (pêra) 5x 10ml - Puro Promoção</t>
  </si>
  <si>
    <t>MLB2096716059</t>
  </si>
  <si>
    <t>MLB5299037604</t>
  </si>
  <si>
    <t>Difusor De Ambiente Luxo Em Vidro 100ml - Escolha O Aroma</t>
  </si>
  <si>
    <t>MLB1795643534</t>
  </si>
  <si>
    <t>Pingente Prata Rosa Do Deserto Verdadeira - Ponte Vecchio Cor Prateado</t>
  </si>
  <si>
    <t>Óleo Essencial Lavandim Grosso 10ml - Puro E Natural -oferta</t>
  </si>
  <si>
    <t>MLB3580979213</t>
  </si>
  <si>
    <t>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</t>
  </si>
  <si>
    <t>MLB1857884586</t>
  </si>
  <si>
    <t>Perfume Feminino Deep Wood 100ml Essência Do Brasil Extrait De Parfum</t>
  </si>
  <si>
    <t>MLB5299052676</t>
  </si>
  <si>
    <t>MLB1857900679</t>
  </si>
  <si>
    <t>MLB2105977357</t>
  </si>
  <si>
    <t>Pingente Prata 925 Quartzo Rosa Hexagonal Semi-lapidado Cor Prateado</t>
  </si>
  <si>
    <t>Óleo Essencial De Cedro Atlas 10ml - Puro E Natural - Oferta</t>
  </si>
  <si>
    <t>Difusor De Ambiente Com Varetas Aroma De Maçã Verde 250ml</t>
  </si>
  <si>
    <t>MLB3580979495</t>
  </si>
  <si>
    <t>MLB1857914084</t>
  </si>
  <si>
    <t>Perfume Ponte Vecchio Gemma Esmeralda 100ml Extrait + Colar Prata 925</t>
  </si>
  <si>
    <t>MLB5299102040</t>
  </si>
  <si>
    <t>Pingente Prata Amazonita Bruta Verdadeira - Ponte Vecchio Cor Prateado</t>
  </si>
  <si>
    <t>MLB1857948137</t>
  </si>
  <si>
    <t>Título com mais de 60 caracteres: Título com 69 caracteres (limite ML=60) | Marca cadastrada incorreta/inconsistente: Marca "Ponte Vecchio Joias"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</si>
  <si>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MLB2105983298</t>
  </si>
  <si>
    <t>Kit 4 Óleos Essenciais 10ml - Puro E Natural</t>
  </si>
  <si>
    <t>Campo Marca em branco; Documento de Notificação/Comunicação prévia na Anvisa não preenchido</t>
  </si>
  <si>
    <t>Campo Marca em branco: Marca não preenchida | Documento de Notificação/Comunicação prévia na Anvisa não preenchido: Número de Notificação/Comunicação prévia na Anvisa não preenchido</t>
  </si>
  <si>
    <t>Difusor De Ambiente Com Varetas Amanhecer Tropical 250ml</t>
  </si>
  <si>
    <t>MLB1857960024</t>
  </si>
  <si>
    <t>Kit 8 Óleos Essenciais 10ml - Puro E Natural</t>
  </si>
  <si>
    <t>MLB3580989875</t>
  </si>
  <si>
    <t>MLB5299104730</t>
  </si>
  <si>
    <t>Perfume Extrait Ponte Vecchio Gemma Turmalina 100ml Amadeirado</t>
  </si>
  <si>
    <t>Pingente Prata 925 Citrino Obelisco Lapidado Verdadeiro Cor Prateado</t>
  </si>
  <si>
    <t>MLB2105989558</t>
  </si>
  <si>
    <t>MLB1872189069</t>
  </si>
  <si>
    <t>Óleo Essencial Alfazema 10ml - Puro Promoção</t>
  </si>
  <si>
    <t>Título com mais de 60 caracteres: Título com 62 caracteres (limite ML=60) | Marca cadastrada incorreta/inconsistente: Marca "Ponte Vecchio Joias"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</si>
  <si>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Difusor De Ambiente Com Varetas Aroma De Alfazema 250ml</t>
  </si>
  <si>
    <t>MLB1872190531</t>
  </si>
  <si>
    <t>Óleo Essencial Cravo 10ml - Puro E Natural  - Promoção</t>
  </si>
  <si>
    <t>MLB3581001037</t>
  </si>
  <si>
    <t>MLB5299141654</t>
  </si>
  <si>
    <t>MLB1872194113</t>
  </si>
  <si>
    <t>Pingente Prata Pirita Oval Verdadeira - Ponte Vecchio Joias Cor Prateado</t>
  </si>
  <si>
    <t>Perfume Feminino Floral Essência Do Brasil Artemísia 10ml Roll On</t>
  </si>
  <si>
    <t>Óleo Essencial Capim Limão 10ml - Puro E Natural - Promoção</t>
  </si>
  <si>
    <t>MLB2105995935</t>
  </si>
  <si>
    <t>Título com mais de 60 caracteres: Título com 65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</si>
  <si>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Difusor De Ambiente Com Varetas Aroma De Lavanda 100ml</t>
  </si>
  <si>
    <t>MLB1872202750</t>
  </si>
  <si>
    <t>Óleo Essencial Canela 10ml - Puro E Natural  - Oferta</t>
  </si>
  <si>
    <t>MLB5299154242</t>
  </si>
  <si>
    <t>MLB3581001661</t>
  </si>
  <si>
    <t>Pingente Prata Esmeralda Prisma Lapidada Verdadeira Natural Cor Prateado</t>
  </si>
  <si>
    <t>MLB1874286748</t>
  </si>
  <si>
    <t>Óleo Essencial Alecrim 10ml - Puro E Natural - Oferta</t>
  </si>
  <si>
    <t>Coffret Perfume Gemma Citrino 100ml Cítrico Ponte Vecchio Joias + Colar Prata 925</t>
  </si>
  <si>
    <t>MLB2105996144</t>
  </si>
  <si>
    <t>Descrição repetida em outros anúncios com título diferente (verificar se é boilerplate ou erro); Documento de Notificação/Comunicação prévia na Anvisa não preenchido; Marca cadastrada incorreta/inconsistente; País de origem diferente de "Brasil"; Título com mais de 60 caracteres</t>
  </si>
  <si>
    <t>Difusor De Ambiente Com Varetas Aroma De Capim Limão 250ml</t>
  </si>
  <si>
    <t>Título com mais de 60 caracteres: Título com 81 caracteres (limite ML=60) | Descrição repetida em outros anúncios com título diferente (verificar se é boilerplate ou erro): Mesma descrição usada em 81 anúncios com títulos diferentes | Marca cadastrada incorreta/inconsistente: Marca "Ponte Vecchio Joias"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</si>
  <si>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MLB1874292351</t>
  </si>
  <si>
    <t>Óleo Essencial Laranja Amarga 10ml - Puro E Natural</t>
  </si>
  <si>
    <t>MLB5300183552</t>
  </si>
  <si>
    <t>Pingente De Água-marinha Lapidado Para Mulheres, Em Prata Prateada Prateado</t>
  </si>
  <si>
    <t>MLB3581003225</t>
  </si>
  <si>
    <t>MLB2106008679</t>
  </si>
  <si>
    <t>MLB1874293557</t>
  </si>
  <si>
    <t>Difusor De Ambiente Com Varetas Aroma De Erva Doce 100ml</t>
  </si>
  <si>
    <t>Eau De Toilette Masculino Essência Do Brasil Cítrico Tangerina 10ml</t>
  </si>
  <si>
    <t>MLB1874304152</t>
  </si>
  <si>
    <t>MLB5300207594</t>
  </si>
  <si>
    <t>MLB2106008964</t>
  </si>
  <si>
    <t>Pingente Prata Sete Chakras Verdadeiros - P. Vecchio Joias Cor Prateado</t>
  </si>
  <si>
    <t>MLB3581003693</t>
  </si>
  <si>
    <t>Difusor De Ambiente Com Varetas Aroma De Chocolate 250ml</t>
  </si>
  <si>
    <t>MLB1897678933</t>
  </si>
  <si>
    <t>Kit De 10 Óleos Essenciais Várias Fragrâncias Hoje Em Oferta</t>
  </si>
  <si>
    <t>Essência Do Brasil Perfume Feminino Erva Doce Natural 10ml Roll On</t>
  </si>
  <si>
    <t>MLB1897768863</t>
  </si>
  <si>
    <t>MLB5339745696</t>
  </si>
  <si>
    <t>Óleo Essencial De Benjoim 10ml - Puro E Natural - Oferta</t>
  </si>
  <si>
    <t>Código universal do produto (GTIN) não preenchido (texto de exemplo do ML ainda lá); Documento de Notificação/Comunicação prévia na Anvisa não preenchido</t>
  </si>
  <si>
    <t>Pingente Prata 925 Citrino Coração Semi-lapidado Verdadeiro Cor Prateado</t>
  </si>
  <si>
    <t>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</si>
  <si>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MLB2106008993</t>
  </si>
  <si>
    <t>Difusor De Ambiente Com Varetas Aroma De Erva Doce 250ml</t>
  </si>
  <si>
    <t>MLB3581003855</t>
  </si>
  <si>
    <t>MLB1897771042</t>
  </si>
  <si>
    <t>Óleo Essencial De Grapefruit 10ml - Puro E Natural - Oferta</t>
  </si>
  <si>
    <t>MLB5365286008</t>
  </si>
  <si>
    <t>Perfume Masculino Essência Do Brasil De Manjericão 10ml Roll On</t>
  </si>
  <si>
    <t>MLB1897777664</t>
  </si>
  <si>
    <t>MLB2106015116</t>
  </si>
  <si>
    <t>Pingente Prata 925 + Ouro 18k Green Gold Natural E Legítima Dourado</t>
  </si>
  <si>
    <t>Óleo Essencial De Cravo Folha 10ml - Puro E Natural - Oferta</t>
  </si>
  <si>
    <t>Difusor De Ambiente Com Varetas Aroma De Capim Limão 100ml</t>
  </si>
  <si>
    <t>MLB1902230376</t>
  </si>
  <si>
    <t>Kit 3 Essências Aromatizador / Difusor Para Ambientes</t>
  </si>
  <si>
    <t>MLB3581205365</t>
  </si>
  <si>
    <t>MLB5372757326</t>
  </si>
  <si>
    <t>MLB1902248081</t>
  </si>
  <si>
    <t>Eau De Toilette Essência Do Brasil Baunilha &amp; Ylang Ylang, Para Presente Feminino</t>
  </si>
  <si>
    <t>Kit 6 Essências Aromatizador / Difusor Para Ambientes</t>
  </si>
  <si>
    <t>Colar Prata 925 Com Banho Em Platina Citrino Gota Natural</t>
  </si>
  <si>
    <t>MLB2106015281</t>
  </si>
  <si>
    <t>Difusor De Ambiente Com Varetas Aroma De Jasmim 100ml</t>
  </si>
  <si>
    <t>MLB1902261204</t>
  </si>
  <si>
    <t>Kit 4 Essências Aromatizador / Difusor Para Ambientes</t>
  </si>
  <si>
    <t>MLB5372808508</t>
  </si>
  <si>
    <t>MLB3581646793</t>
  </si>
  <si>
    <t>MLB1907925586</t>
  </si>
  <si>
    <t>MLB2106026156</t>
  </si>
  <si>
    <t>Colar Prata 925 Com Banho Em Platina Água-marinha Polida</t>
  </si>
  <si>
    <t>Kit 4 Óleos Essenciais Herbais</t>
  </si>
  <si>
    <t>Perfume Masculino Natural Tangerina Cítrica 100ml</t>
  </si>
  <si>
    <t>Difusor De Ambiente Com Varetas Aroma De Jasmim 250ml</t>
  </si>
  <si>
    <t>MLB1907926394</t>
  </si>
  <si>
    <t>MLB2106031860</t>
  </si>
  <si>
    <t>Difusor De Ambiente Com Varetas Aroma De Chocolate 100ml</t>
  </si>
  <si>
    <t>MLB1910724483</t>
  </si>
  <si>
    <t>MLB5372821404</t>
  </si>
  <si>
    <t>MLB3581682709</t>
  </si>
  <si>
    <t>Óleo Essencial Mirra 10ml - Natural Puro Promoção</t>
  </si>
  <si>
    <t>Colar Prata 925 Com Banho Em Platina Quartzo Rosa Polido</t>
  </si>
  <si>
    <t>Perfume Essência Do Brasil Patchouli Masculino 100 Ml E Oceanus 30 Ml</t>
  </si>
  <si>
    <t>MLB1910764509</t>
  </si>
  <si>
    <t>Título com mais de 60 caracteres: Título com 69 caracteres (limite ML=60) | 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</si>
  <si>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MLB2106031976</t>
  </si>
  <si>
    <t>Óleo Essencial Anis Estrelado 10ml - Natural Puro Promoção</t>
  </si>
  <si>
    <t>Difusor De Ambiente Com Varetas Aroma De Maçã Verde 100ml</t>
  </si>
  <si>
    <t>MLB5372860014</t>
  </si>
  <si>
    <t>MLB1910784055</t>
  </si>
  <si>
    <t>MLB3581757741</t>
  </si>
  <si>
    <t>Kit De 8 Óleos Essenciais - 10ml - Natural Puro Promoção</t>
  </si>
  <si>
    <t>Colar Prata 925 Com Banho Platina Ametista Drusa Metalizada</t>
  </si>
  <si>
    <t>Perfume Floral Paris Essência Do Brasil Eau De Toilette Para Mulher 100 Ml</t>
  </si>
  <si>
    <t>MLB2106032301</t>
  </si>
  <si>
    <t>MLB1912480723</t>
  </si>
  <si>
    <t>Difusor De Ambiente Com Varetas Aroma De Lavanda 250ml</t>
  </si>
  <si>
    <t>Óleo Essencial Citronela 10ml - Natural Puro Promoção</t>
  </si>
  <si>
    <t>MLB5372898664</t>
  </si>
  <si>
    <t>MLB1912500023</t>
  </si>
  <si>
    <t>Colar Prata 925 Com Banho Em Platina Quartzo Rosa Metalizado</t>
  </si>
  <si>
    <t>Óleo Essencial Artemísia Marrocos 10ml - Puro Promoção</t>
  </si>
  <si>
    <t>MLB3582726427</t>
  </si>
  <si>
    <t>MLB2106032347</t>
  </si>
  <si>
    <t>MLB1916516857</t>
  </si>
  <si>
    <t>Difusor De Ambiente Com Varetas Aroma De Morango 250ml</t>
  </si>
  <si>
    <t>Kit 6 Essências Herbais Para Aromatizador / Difusor</t>
  </si>
  <si>
    <t>Perfume Seduction Essência Do Brasil 100ml Feminino Spray Feroomônios</t>
  </si>
  <si>
    <t>MLB5372911754</t>
  </si>
  <si>
    <t>MLB1916530150</t>
  </si>
  <si>
    <t>Colar Prata 925 Com Banho Em Platina Amazonita Bruta Natural</t>
  </si>
  <si>
    <t>Kit 6 Essências Florais Para Aromatizador Difusor Ambientes</t>
  </si>
  <si>
    <t>MLB1916535230</t>
  </si>
  <si>
    <t>MLB2106036844</t>
  </si>
  <si>
    <t>MLB3584972567</t>
  </si>
  <si>
    <t>Difusor De Ambiente Com Varetas Aroma De Alfazema 100ml</t>
  </si>
  <si>
    <t>MLB5372924624</t>
  </si>
  <si>
    <t>Perfume Masculino Essência Do Brasil Almíscar Selvagem 100ml Cruelty Free</t>
  </si>
  <si>
    <t>MLB1922697296</t>
  </si>
  <si>
    <t>Colar Prata 925 Com Banho Em Platina Ametista Drusa Natural</t>
  </si>
  <si>
    <t xml:space="preserve">Kit 6 Essências Difusor / Aromatizador Aromas Do Mundo </t>
  </si>
  <si>
    <t>MLB2106037137</t>
  </si>
  <si>
    <t>MLB1926159421</t>
  </si>
  <si>
    <t>Óleo Essencial De Manjerona 10ml - Puro E Natural - Oferta</t>
  </si>
  <si>
    <t>Difusor De Ambiente Com Varetas Aroma De Morango 100ml</t>
  </si>
  <si>
    <t>MLB5372950392</t>
  </si>
  <si>
    <t>MLB3597327339</t>
  </si>
  <si>
    <t>MLB1940404442</t>
  </si>
  <si>
    <t>Colar Prata 925 Com Banho Platina Esmeralda Canudo Natural</t>
  </si>
  <si>
    <t>Óleo Essencial Alecrim 10ml Natural Para Difusor E Massagem</t>
  </si>
  <si>
    <t>Perfume Almíscar Selvagem Roll On 10ml Essência Do Brasil Masculino</t>
  </si>
  <si>
    <t>MLB2111720549</t>
  </si>
  <si>
    <t>MLB1941553789</t>
  </si>
  <si>
    <t>Óleo Essencial Melaleuca 10 Ml Puro - Difusor / Aromaterapia</t>
  </si>
  <si>
    <t>Difusor De Ambiente Com Varetas Aroma De Eucalipto 100ml</t>
  </si>
  <si>
    <t>MLB1959479874</t>
  </si>
  <si>
    <t>MLB3597334335</t>
  </si>
  <si>
    <t>MLB5372976126</t>
  </si>
  <si>
    <t>Kit 2 Óleos Essenciais 10ml - Lavandim + Lavandim</t>
  </si>
  <si>
    <t>Perfume Anis Elixir Extrait De Parfum 100ml Floral Essência Do Brasil</t>
  </si>
  <si>
    <t>Colar Prata 925 Com Banho Em Platina Amazonita Polida</t>
  </si>
  <si>
    <t>Documento de Notificação/Comunicação prévia na Anvisa não preenchido; País de origem diferente de "Brasil"; Tipo de perfume cadastrado diverge do que está no título/nome; Título com mais de 60 caracteres</t>
  </si>
  <si>
    <t>MLB1959755653</t>
  </si>
  <si>
    <t>Título com mais de 60 caracteres: Título com 69 caracteres (limite ML=60) | Tipo de perfume cadastrado diverge do que está no título/nome: Campo "Tipo de perfume" = "Eau de parfum", mas título/nome menciona ['Parfum', 'Extrait de parfum'] | País de origem diferente de "Brasil": País de origem = "(vazio)", deveria ser "Brasil" | Documento de Notificação/Comunicação prévia na Anvisa não preenchido: Número de Notificação/Comunicação prévia na Anvisa não preenchido</t>
  </si>
  <si>
    <t>Kit 2 Óleos Essenciais 10ml - Alecrim + Menta Piperita</t>
  </si>
  <si>
    <t>MLB2111720755</t>
  </si>
  <si>
    <t>Difusor De Ambiente Com Varetas Aroma Anis Estrelado 100ml</t>
  </si>
  <si>
    <t>MLB1959766769</t>
  </si>
  <si>
    <t>MLB5372997294</t>
  </si>
  <si>
    <t>Kit 2 Óleos Essenciais 10ml - Alecrim + Laranja Amarga</t>
  </si>
  <si>
    <t>MLB3597352587</t>
  </si>
  <si>
    <t>Colar Prata 925 Com Banho Em Platina Esmeralda Bruta Natural</t>
  </si>
  <si>
    <t>Essência Do Brasil Com Perfume Madeira Do Oriente 100ml E Terre 30ml Masculino</t>
  </si>
  <si>
    <t>MLB2111721228</t>
  </si>
  <si>
    <t>MLB1959766779</t>
  </si>
  <si>
    <t>Kit 2 Óleos Essenciais 10ml - Melaleuca + Tangerina</t>
  </si>
  <si>
    <t>Difusor De Ambiente Com Varetas Aroma De Canela 250ml</t>
  </si>
  <si>
    <t>Título com mais de 60 caracteres: Título com 78 caracteres (limite ML=60) | 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</si>
  <si>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MLB5372997302</t>
  </si>
  <si>
    <t>MLB1959766823</t>
  </si>
  <si>
    <t>Kit 2 Óleos Essenciais 10ml - Melaleuca + Laranja Amarga</t>
  </si>
  <si>
    <t>Colar Prata 925 Com Banho Em Platina Turmalina Negra Polida</t>
  </si>
  <si>
    <t>MLB3597354177</t>
  </si>
  <si>
    <t>MLB2111721964</t>
  </si>
  <si>
    <t>Difusor De Ambiente Com Varetas Aroma Anis Estrelado 250ml</t>
  </si>
  <si>
    <t>Perfume Eau De Toilette Essência Do Brasil Dama Da Noite E Madame Paris Para Mulheres</t>
  </si>
  <si>
    <t>MLB1960334784</t>
  </si>
  <si>
    <t>Kit 2 Óleos Essenciais 10ml - Alecrim + Cedro Da Virgínia</t>
  </si>
  <si>
    <t>Título com mais de 60 caracteres: Título com 85 caracteres (limite ML=60) | Descrição repetida em outros anúncios com título diferente (verificar se é boilerplate ou erro): Mesma descrição usada em 81 anúncios com títulos diferentes | País de origem diferente de "Brasil": País de origem = "(vazio)", deveria ser "Brasil" | Documento de Notificação/Comunicação prévia na Anvisa não preenchido: Número de Notificação/Comunicação prévia na Anvisa não preenchido</t>
  </si>
  <si>
    <t>MLB5372997316</t>
  </si>
  <si>
    <t>MLB1960337838</t>
  </si>
  <si>
    <t>Kit 2 Óleos Essenciais 10ml - Lavandim + Melaleuca</t>
  </si>
  <si>
    <t>MLB2111733401</t>
  </si>
  <si>
    <t>Colar Prata 925 Com Banho Em Platina Citrino Polido Natural</t>
  </si>
  <si>
    <t>Difusor De Ambiente Com Varetas Aroma De Cravo 100ml</t>
  </si>
  <si>
    <t>MLB3597360853</t>
  </si>
  <si>
    <t>MLB1960340483</t>
  </si>
  <si>
    <t>Perfume Masculino Amadeirado Deep Fire Essência Do Brasil 100ml</t>
  </si>
  <si>
    <t>MLB5375475720</t>
  </si>
  <si>
    <t>MLB1960340498</t>
  </si>
  <si>
    <t>MLB2111746010</t>
  </si>
  <si>
    <t>Colar Prata 925 Com Banho Em Ródio Howlita Gota Natural</t>
  </si>
  <si>
    <t>MLB3597361555</t>
  </si>
  <si>
    <t>MLB1960342039</t>
  </si>
  <si>
    <t>Difusor De Ambiente Com Varetas Aroma De Alecrim 100ml</t>
  </si>
  <si>
    <t>Kit 2 Óleos Essenciais 10ml - Cedro Do Himalaia + Lemongrass</t>
  </si>
  <si>
    <t>Perfume Eau De Toilette Essência Do Brasil Blue Marine 100ml Aquático</t>
  </si>
  <si>
    <t>Ano de lançamento preenchido (deveria ficar em branco); Documento de Notificação/Comunicação prévia na Anvisa não preenchido; País de origem diferente de "Brasil"; Título com mais de 60 caracteres</t>
  </si>
  <si>
    <t>Título com mais de 60 caracteres: Título com 69 caracteres (limite ML=60) | País de origem diferente de "Brasil": País de origem = "Importado", deveria ser "Brasil" | Ano de lançamento preenchido (deveria ficar em branco): Ano de lançamento preenchido ("2022") - regra do negócio é deixar em branco | Documento de Notificação/Comunicação prévia na Anvisa não preenchido: Número de Notificação/Comunicação prévia na Anvisa não preenchido</t>
  </si>
  <si>
    <t>MLB1960342043</t>
  </si>
  <si>
    <t>MLB5375488524</t>
  </si>
  <si>
    <t>Kit 2 Óleos Essenciais 10ml - Lavandim + Anis Estrelado</t>
  </si>
  <si>
    <t>Colar Prata 925 Com Banho Ródio Água-marinha Bruta Natural</t>
  </si>
  <si>
    <t>MLB1960342052</t>
  </si>
  <si>
    <t>MLB3597366023</t>
  </si>
  <si>
    <t>Kit 2 Óleos Essenciais 10ml - Lavandim + Laranja Amarga</t>
  </si>
  <si>
    <t>MLB2111759186</t>
  </si>
  <si>
    <t>Perfume Eau De Toilette Masculino Essência Do Brasil Cravo 10ml Roll On</t>
  </si>
  <si>
    <t>Difusor De Ambiente Com Varetas Aroma De Canela 100ml</t>
  </si>
  <si>
    <t>MLB1960449554</t>
  </si>
  <si>
    <t>MLB5375571510</t>
  </si>
  <si>
    <t>Título com mais de 60 caracteres: Título com 71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</si>
  <si>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Óleo Essencial Limão Siciliano 100ml - Puro E Natural</t>
  </si>
  <si>
    <t>Colar Prata 925 Com Banho Ródio Água-marinha Polida Natural</t>
  </si>
  <si>
    <t>MLB1960455136</t>
  </si>
  <si>
    <t>MLB3597375579</t>
  </si>
  <si>
    <t>Óleo Essencial Hortelã Pimenta 60ml - Puro E Natural</t>
  </si>
  <si>
    <t>Perfume Masculino Essência Do Brasil Lemongrass Absolu Extrait 100ml</t>
  </si>
  <si>
    <t>MLB2111759277</t>
  </si>
  <si>
    <t>Título com mais de 60 caracteres: Título com 68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</si>
  <si>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MLB5375584576</t>
  </si>
  <si>
    <t>MLB1960459038</t>
  </si>
  <si>
    <t>Difusor De Ambiente Com Varetas Aroma De Citronela 100ml</t>
  </si>
  <si>
    <t>Óleo Essencial Lemongrass 100ml - Puro E Natural</t>
  </si>
  <si>
    <t>Colar Prata 925 Com Banho Ródio Esmeralda Canudo Natural</t>
  </si>
  <si>
    <t>MLB3597376759</t>
  </si>
  <si>
    <t>MLB1960459050</t>
  </si>
  <si>
    <t>Perfume Arabian Feromônios Essência Do Brasil Spray 100ml Feminino</t>
  </si>
  <si>
    <t>Título com mais de 60 caracteres: Título com 66 caracteres (limite ML=60) | País de origem diferente de "Brasil": País de origem = "Importado", deveria ser "Brasil" | Documento de Notificação/Comunicação prévia na Anvisa não preenchido: Número de Notificação/Comunicação prévia na Anvisa não preenchido</t>
  </si>
  <si>
    <t>MLB2111760018</t>
  </si>
  <si>
    <t>MLB5375597262</t>
  </si>
  <si>
    <t>MLB1960459051</t>
  </si>
  <si>
    <t>Difusor De Ambiente Com Varetas Aroma De Alecrim 250ml</t>
  </si>
  <si>
    <t>Óleo Essencial Hortelã Pimenta 100ml - Puro E Natural</t>
  </si>
  <si>
    <t>MLB3599283755</t>
  </si>
  <si>
    <t>Colar Prata 925 Com Banho Em Ródio Amazonita Bruta Natural</t>
  </si>
  <si>
    <t>Perfume Feminino Fresh Frutal 100ml Essência Do Brasil Refrescante</t>
  </si>
  <si>
    <t>MLB1960459070</t>
  </si>
  <si>
    <t>Título com mais de 60 caracteres: Título com 66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</si>
  <si>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Óleo Essencial Citronela 60ml - Puro E Natural</t>
  </si>
  <si>
    <t>MLB1960459075</t>
  </si>
  <si>
    <t>MLB3599860653</t>
  </si>
  <si>
    <t>MLB5403308758</t>
  </si>
  <si>
    <t>Óleo Essencial Anis Estrelado 100ml - Puro E Natural</t>
  </si>
  <si>
    <t>Essência Do Brasil Perfume Feminino Flor Angélica Eau De Toilette 50 Ml</t>
  </si>
  <si>
    <t>Pingente Prata Citrino Claro Obelisco Lapidado Verdadeiro Marrom-claro</t>
  </si>
  <si>
    <t>MLB2111765859</t>
  </si>
  <si>
    <t>MLB1963718112</t>
  </si>
  <si>
    <t>Difusor De Ambiente Com Varetas Aroma Hortelã Pimenta 100ml</t>
  </si>
  <si>
    <t>MLB3605019341</t>
  </si>
  <si>
    <t>MLB5403368452</t>
  </si>
  <si>
    <t>MLB1963727821</t>
  </si>
  <si>
    <t>Perfume Feminino Essência Do Brasil Anis Natural 10ml Roll On</t>
  </si>
  <si>
    <t>Colar Ponte Vecchio Joias Feminina Atemporal De 45cm Feito De Prata 925 Prateado</t>
  </si>
  <si>
    <t>MLB2111766512</t>
  </si>
  <si>
    <t>Título com mais de 60 caracteres: Título com 80 caracteres (limite ML=60)</t>
  </si>
  <si>
    <t>MLB1963752254</t>
  </si>
  <si>
    <t>Difusor De Ambiente Com Varetas Aroma De Citronela 250ml</t>
  </si>
  <si>
    <t>MLB3605019395</t>
  </si>
  <si>
    <t>3 Perfumes Spray Essência Do Brasil Feminino Notas Verdes 10ml</t>
  </si>
  <si>
    <t>MLB1965902635</t>
  </si>
  <si>
    <t>MLB5412608402</t>
  </si>
  <si>
    <t>Blend De Óleos Essenciais Para Inspirar - Roll On 10ml</t>
  </si>
  <si>
    <t>MLB2111826201</t>
  </si>
  <si>
    <t>Difusor Óleo Essencial Baunilha E Lavanda 100ml</t>
  </si>
  <si>
    <t>MLB1965911034</t>
  </si>
  <si>
    <t>MLB3609126811</t>
  </si>
  <si>
    <t>Blend De Óleos Essenciais Para Dormir - Roll On 10ml</t>
  </si>
  <si>
    <t>Perfume Masculino Essência Do Brasil Ylang-ylang 10 Ml Roll-on Sem Álcool</t>
  </si>
  <si>
    <t>MLB1965919430</t>
  </si>
  <si>
    <t>MLB5424196678</t>
  </si>
  <si>
    <t>Blend De Óleos Essenciais Para Respirar 30ml</t>
  </si>
  <si>
    <t>MLB2111845621</t>
  </si>
  <si>
    <t>Pingente Prata 925 Quartzo Rosa Obelisco De Prata Verdadeiro Rosa-claro</t>
  </si>
  <si>
    <t>Difusor Óleo Essencial Cravo E Canela 100ml</t>
  </si>
  <si>
    <t>MLB3609149703</t>
  </si>
  <si>
    <t>MLB1965922797</t>
  </si>
  <si>
    <t>Blend De Óleos Essenciais Para Relaxar 30ml</t>
  </si>
  <si>
    <t>Eau De Toilette Masculino Patchouli Allure Essência Do Brasil 100ml</t>
  </si>
  <si>
    <t>Título com mais de 60 caracteres: Título com 67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</si>
  <si>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MLB1965923604</t>
  </si>
  <si>
    <t>Blend De Óleos Essenciais Para Acalmar 30ml</t>
  </si>
  <si>
    <t>MLB5424241882</t>
  </si>
  <si>
    <t>MLB2111846056</t>
  </si>
  <si>
    <t>Difusor Óleo Essencial Limão E Baunilha 250ml</t>
  </si>
  <si>
    <t>Pingente Prata 950 Topázio Imperial Ponte Vecchio Joias Minimalista Prateado</t>
  </si>
  <si>
    <t>MLB3635781123</t>
  </si>
  <si>
    <t>Título com mais de 60 caracteres: Título com 76 caracteres (limite ML=60)</t>
  </si>
  <si>
    <t>Perfume Feminino Eau De Toilette Essência Do Brasil Afrodite 30ml</t>
  </si>
  <si>
    <t>MLB1965925786</t>
  </si>
  <si>
    <t>Blend De Óleos Essenciais Para Dormir 30ml</t>
  </si>
  <si>
    <t>Título com mais de 60 caracteres: Título com 65 caracteres (limite ML=60) | País de origem diferente de "Brasil": País de origem = "Importado", deveria ser "Brasil" | Documento de Notificação/Comunicação prévia na Anvisa não preenchido: Número de Notificação/Comunicação prévia na Anvisa não preenchido</t>
  </si>
  <si>
    <t>MLB2111858737</t>
  </si>
  <si>
    <t>MLB5506919816</t>
  </si>
  <si>
    <t>Difusor Óleo Essencial Limão E Baunilha 100ml</t>
  </si>
  <si>
    <t>MLB1965936354</t>
  </si>
  <si>
    <t>Kit 5 Óleos Essenciais Roll On 10ml (relaxar, Dormir, Focar)</t>
  </si>
  <si>
    <t>Colar Em Prata 925 C/ Pedra Rubi Bruto Natural</t>
  </si>
  <si>
    <t>MLB3635818693</t>
  </si>
  <si>
    <t>Eau De Toilette Masculino Essência Do Brasil Night 100ml Perfume Com Feromônios</t>
  </si>
  <si>
    <t>MLB1971103057</t>
  </si>
  <si>
    <t>Óleo Essencial  Litsea Cubeba (may Chang) 10ml - Puro</t>
  </si>
  <si>
    <t>MLB2184106346</t>
  </si>
  <si>
    <t>Difusor Luxo P/ Banheiro - Óleo Essencial Purificador 100ml</t>
  </si>
  <si>
    <t>MLB5508705486</t>
  </si>
  <si>
    <t>MLB1978231695</t>
  </si>
  <si>
    <t>MLB3635831923</t>
  </si>
  <si>
    <t>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</t>
  </si>
  <si>
    <t>Óleo Essencial Alecrim 10ml Roll On - Puro E Natural Oferta</t>
  </si>
  <si>
    <t>Pingente Prata 950 Topázio Verdadeiro - P. Vecchio Azul</t>
  </si>
  <si>
    <t>Eau De Toilette Masculino Essência Do Brasil Especiado 10ml Roll On</t>
  </si>
  <si>
    <t>MLB1978237882</t>
  </si>
  <si>
    <t>MLB2184203594</t>
  </si>
  <si>
    <t>Óleo Essencial Alfazema 10ml Roll On - Puro E Natural Oferta</t>
  </si>
  <si>
    <t>Aromatizador Premium Vidro P/ Casa 150ml Várias Fragrâncias</t>
  </si>
  <si>
    <t>MLB3635844153</t>
  </si>
  <si>
    <t>MLB1978255998</t>
  </si>
  <si>
    <t>MLB5508722832</t>
  </si>
  <si>
    <t>Eau De Toilette Masculino Essência Do Brasil Amadeirado Feromônios 10ml Roll On</t>
  </si>
  <si>
    <t>Óleo Essencial Anis Estrelado 10ml Roll On - Puro E Natural</t>
  </si>
  <si>
    <t>Pingente Ponte Vecchio Prata 950 Serpentinita Verde Esmeralda Polida Verde Esmeralda E Brilho Característico</t>
  </si>
  <si>
    <t>Título com mais de 60 caracteres: Título com 79 caracteres (limite ML=60) | 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</si>
  <si>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Título com mais de 60 caracteres; Valor incomum em campo que deveria ser curto/categórico (dado errado colado)</t>
  </si>
  <si>
    <t>MLB1978259744</t>
  </si>
  <si>
    <t>Título com mais de 60 caracteres: Título com 108 caracteres (limite ML=60) | Valor incomum em campo que deveria ser curto/categórico (dado errado colado): Valor incomum/muito longo para o campo "COLOR_VARIATION-COLUMN" (padrão da coluna é curto/categórico; parece dado errado colado aqui)</t>
  </si>
  <si>
    <t>MLB3635857347</t>
  </si>
  <si>
    <t>Perfume Essência Do Brasil Cedro &amp; Limão Siciliano Roll On 10ml</t>
  </si>
  <si>
    <t>MLB1978261333</t>
  </si>
  <si>
    <t>MLB5508741434</t>
  </si>
  <si>
    <t>Óleo Essencial Cedro Da Virgínia 10ml Roll On - Puro Natural</t>
  </si>
  <si>
    <t>Pingente Prata 950 Sodalita Semi Lapidada Em Prata Gota Cor Natural</t>
  </si>
  <si>
    <t>MLB1978280577</t>
  </si>
  <si>
    <t>MLB3639264675</t>
  </si>
  <si>
    <t>Perfume Masculino Essência Do Brasil Olíbano Amadeirado 100ml</t>
  </si>
  <si>
    <t>MLB1978297301</t>
  </si>
  <si>
    <t>MLB5508747726</t>
  </si>
  <si>
    <t>Título com mais de 60 caracteres: Título com 61 caracteres (limite ML=60) | País de origem diferente de "Brasil": País de origem = "Importado", deveria ser "Brasil" | Documento de Notificação/Comunicação prévia na Anvisa não preenchido: Número de Notificação/Comunicação prévia na Anvisa não preenchido</t>
  </si>
  <si>
    <t>Colar Prata 925 De Quartzo Vermelho Com Pingente Para Mulheres Ponte Vecchio Joias Laranja</t>
  </si>
  <si>
    <t>MLB1978305108</t>
  </si>
  <si>
    <t>Título com mais de 60 caracteres: Título com 90 caracteres (limite ML=60)</t>
  </si>
  <si>
    <t>Óleo Essencial Laranja Amarga 10ml Roll On - Puro E Natural</t>
  </si>
  <si>
    <t>MLB3639264763</t>
  </si>
  <si>
    <t>Perfume Essência Do Brasil Flor De Lótus Eau De Toilette 100ml Amadeirado</t>
  </si>
  <si>
    <t>MLB1978306099</t>
  </si>
  <si>
    <t>Título com mais de 60 caracteres: Título com 73 caracteres (limite ML=60) | Descrição repetida em outros anúncios com título diferente (verificar se é boilerplate ou erro): Mesma descrição usada em 81 anúncios com títulos diferentes | País de origem diferente de "Brasil": País de origem = "Importado", deveria ser "Brasil" | Documento de Notificação/Comunicação prévia na Anvisa não preenchido: Número de Notificação/Comunicação prévia na Anvisa não preenchido</t>
  </si>
  <si>
    <t>MLB5508780612</t>
  </si>
  <si>
    <t>Óleo Essencial Laranja Doce 10ml Roll On - Puro E Natural</t>
  </si>
  <si>
    <t>Pingente Prata 950 Granada Polida - Legítima Ponte Vecchio Ouro</t>
  </si>
  <si>
    <t>MLB1978312818</t>
  </si>
  <si>
    <t>MLB3639289341</t>
  </si>
  <si>
    <t>Óleo Essencial Lavandim Grosso 10ml Roll On - Puro E Natural</t>
  </si>
  <si>
    <t>Perfume Feromônios Night 10ml Roll On Essência Do Brasil Eau De Toilette</t>
  </si>
  <si>
    <t>MLB1978317331</t>
  </si>
  <si>
    <t>Óleo Essencial Lemongrass 10ml Roll On - Puro E Natural</t>
  </si>
  <si>
    <t>MLB5508938078</t>
  </si>
  <si>
    <t>Colar Corrente Feminino Prata 925 Água-marinha 45cm Ponte Vecchio Prateado</t>
  </si>
  <si>
    <t>MLB1978319521</t>
  </si>
  <si>
    <t>MLB3639315427</t>
  </si>
  <si>
    <t>Óleo Essencial Litsea Cubeba 10ml Roll On - Puro E Natural</t>
  </si>
  <si>
    <t>Eau De Toilette Floral Essência Do Brasil Com Lavanda E Ylang Ylang Para Mulher</t>
  </si>
  <si>
    <t>MLB1978324251</t>
  </si>
  <si>
    <t>Óleo Essencial Limão Siciliano 10ml Roll On - Puro E Natural</t>
  </si>
  <si>
    <t>MLB5510722314</t>
  </si>
  <si>
    <t>Corrente Piastrine Em Prata 925 Maciça Banhada Em Ouro 18k Cor Dourado</t>
  </si>
  <si>
    <t>MLB3639330919</t>
  </si>
  <si>
    <t>MLB1978330168</t>
  </si>
  <si>
    <t>Óleo Essencial Néroli (flor De Laranjeira) 10ml Roll On</t>
  </si>
  <si>
    <t>Eau De Toilette Essência Do Brasil Patchouli + Almíscar 100ml</t>
  </si>
  <si>
    <t>MLB1978333449</t>
  </si>
  <si>
    <t>Óleo Essencial Melaleuca 10ml Roll On - Puro E Natural</t>
  </si>
  <si>
    <t>MLB5534785204</t>
  </si>
  <si>
    <t>MLB3639343617</t>
  </si>
  <si>
    <t>Kit 4 Pingentes: Sodalita Água-marinha Larimar Lápis-lazúli Cor Prateado</t>
  </si>
  <si>
    <t>MLB1978335459</t>
  </si>
  <si>
    <t>Perfume Masculino Patchouli Imperial 50ml Essência Do Brasil Edt</t>
  </si>
  <si>
    <t>Documento de Notificação/Comunicação prévia na Anvisa não preenchido; Tipo de perfume cadastrado diverge do que está no título/nome; Título com mais de 60 caracteres</t>
  </si>
  <si>
    <t>Título com mais de 60 caracteres: Título com 64 caracteres (limite ML=60) | Tipo de perfume cadastrado diverge do que está no título/nome: Campo "Tipo de perfume" = "Eau de Toilette (EDT)", mas título/nome menciona ['Eau de toilette'] | Documento de Notificação/Comunicação prévia na Anvisa não preenchido: Número de Notificação/Comunicação prévia na Anvisa não preenchido</t>
  </si>
  <si>
    <t>MLB1978337506</t>
  </si>
  <si>
    <t>Óleo Essencial Ylang Ylang 10ml Roll On - Puro E Natural</t>
  </si>
  <si>
    <t>MLB3639366035</t>
  </si>
  <si>
    <t>MLB5535183036</t>
  </si>
  <si>
    <t>Perfume Masculino Eau De Toilette Essência Do Brasil Cravo-da-índia 100ml</t>
  </si>
  <si>
    <t>Colar Prata + Ouro Citrino 6 Quilates Legítimo Amarelo Escuro</t>
  </si>
  <si>
    <t>MLB1978344005</t>
  </si>
  <si>
    <t>Título com mais de 60 caracteres: Título com 73 caracteres (limite ML=60) | País de origem diferente de "Brasil": País de origem = "França", deveria ser "Brasil" | Ano de lançamento preenchido (deveria ficar em branco): Ano de lançamento preenchido ("1973") - regra do negócio é deixar em branco | Documento de Notificação/Comunicação prévia na Anvisa não preenchido: Número de Notificação/Comunicação prévia na Anvisa não preenchido</t>
  </si>
  <si>
    <t>MLB3640756633</t>
  </si>
  <si>
    <t>MLB1978376730</t>
  </si>
  <si>
    <t>Kit Top 3 Óleos Essenciais Para Purificar Ambiente 10ml</t>
  </si>
  <si>
    <t>MLB5537171760</t>
  </si>
  <si>
    <t>Essência Do Brasil Perfume Masculino Natural Olíbano 50ml</t>
  </si>
  <si>
    <t>Colar Prata Para Mulher Com Pingente Citrino E Couro Grego 45 Cm Preto</t>
  </si>
  <si>
    <t>MLB1978383703</t>
  </si>
  <si>
    <t>Kit Top 3 Óleos Essenciais Terapêuticos 10ml - Puro Natural</t>
  </si>
  <si>
    <t>MLB3660849456</t>
  </si>
  <si>
    <t>MLB1988111154</t>
  </si>
  <si>
    <t>Blend De Óleos Essenciais Para Acalmar - Difusor 10ml</t>
  </si>
  <si>
    <t>MLB5538540062</t>
  </si>
  <si>
    <t>Kit 4 Pingentes: Ametista, Fluorita, Charoita, Lápis-lazúli Cor Prateado</t>
  </si>
  <si>
    <t>Perfume Ylang Ylang Para Homens Essência Do Brasil De 100 Ml Eau De Toilette</t>
  </si>
  <si>
    <t>MLB1988119658</t>
  </si>
  <si>
    <t>Blend De Óleos Essenciais Para Dormir - Difusor 10ml</t>
  </si>
  <si>
    <t>MLB1988121175</t>
  </si>
  <si>
    <t>MLB3665655987</t>
  </si>
  <si>
    <t>Blend De Óleos Essenciais Para Relaxar - Difusor 10ml</t>
  </si>
  <si>
    <t>MLB5538542018</t>
  </si>
  <si>
    <t>Perfume Masculino Canela Essência Do Brasil 100ml Óleo Essencial Spray</t>
  </si>
  <si>
    <t>Kit 4 Pingentes Prata: Água-marinha Topázio Quartzo Larimar Cor Prateado</t>
  </si>
  <si>
    <t>MLB1988124154</t>
  </si>
  <si>
    <t>MLB3668524625</t>
  </si>
  <si>
    <t>MLB1988124646</t>
  </si>
  <si>
    <t>Perfume Floral (single) White Lilac 100ml - Feminino</t>
  </si>
  <si>
    <t>Blend De Óleos Essenciais Para Inspirar - Difusor 10ml</t>
  </si>
  <si>
    <t>MLB5539017310</t>
  </si>
  <si>
    <t>Kit 4 Pingentes: Turmalina Negra, Quartzo, Pirita, Hematita Cor Prateado</t>
  </si>
  <si>
    <t>MLB3675304923</t>
  </si>
  <si>
    <t>MLB1988125442</t>
  </si>
  <si>
    <t>Perfume Essência Do Brasil Dama Da Noite &amp; Gardênia Floral Feminino 100ml</t>
  </si>
  <si>
    <t>Kit 5 Óleos Essenciais Difusor 10ml (relaxar, Dormir, Focar)</t>
  </si>
  <si>
    <t>MLB5561573962</t>
  </si>
  <si>
    <t>Pingente Cruz Cristo Prata Banhado Ouro 18k - Ponte Vecchio Cinza</t>
  </si>
  <si>
    <t>MLB1988714161</t>
  </si>
  <si>
    <t xml:space="preserve">Kit 2 Óleos Essenciais 10ml - Benjoim + Hortelã Pimenta </t>
  </si>
  <si>
    <t>MLB3678303931</t>
  </si>
  <si>
    <t>MLB1992483836</t>
  </si>
  <si>
    <t>MLB5578752012</t>
  </si>
  <si>
    <t>Blend De Óleos Essenciais Tudo Azul 10ml - Natural</t>
  </si>
  <si>
    <t>MLB1946757247</t>
  </si>
  <si>
    <t>MLB1992497522</t>
  </si>
  <si>
    <t>MLB3678316853</t>
  </si>
  <si>
    <t>Blend De Óleos Essenciais Todo Dia 10ml - Natural</t>
  </si>
  <si>
    <t>Óleo Vegetal De Abacate 30ml - Puro</t>
  </si>
  <si>
    <t>Perfume Baunilha 13 - 60ml Vegano E Cruelty Free Volume Da Unidade 60 Ml</t>
  </si>
  <si>
    <t>MLB1992499719</t>
  </si>
  <si>
    <t>MLB5603575166</t>
  </si>
  <si>
    <t>Blend De Óleos Essenciais Fora Stress 10ml - Natural</t>
  </si>
  <si>
    <t>MLB1992501409</t>
  </si>
  <si>
    <t>MLB1946765475</t>
  </si>
  <si>
    <t>Blend De Óleos Essenciais Gratidão 10ml - Natural</t>
  </si>
  <si>
    <t>Título com mais de 60 caracteres: Título com 98 caracteres (limite ML=60)</t>
  </si>
  <si>
    <t>Óleo Vegetal De Andiroba 30ml - Puro</t>
  </si>
  <si>
    <t>MLB3678368683</t>
  </si>
  <si>
    <t>Perfume Profumo 117 Feminino 65ml Jasmim Almíscar Dama Da Noite Essência Do Brasil</t>
  </si>
  <si>
    <t>MLB1992504732</t>
  </si>
  <si>
    <t>Blend De Óleos Essenciais  Motivação 10ml - Natural</t>
  </si>
  <si>
    <t>MLB5646133702</t>
  </si>
  <si>
    <t>MLB1946783160</t>
  </si>
  <si>
    <t>Pingente Prata 950 Quartzo Rosa Ponte Vecchio Design Minimalista Ouro</t>
  </si>
  <si>
    <t>Óleo Vegetal De Castanha Do Pará 30ml - Puro</t>
  </si>
  <si>
    <t>MLB1992506120</t>
  </si>
  <si>
    <t>Blend De Óleos Essenciais Purificação 10ml - Natural</t>
  </si>
  <si>
    <t>MLB3687643525</t>
  </si>
  <si>
    <t>Perfume Masculino Manjerona 100ml Essência Do Brasil Óleo Essencial</t>
  </si>
  <si>
    <t>MLB5652240820</t>
  </si>
  <si>
    <t>MLB2025402615</t>
  </si>
  <si>
    <t>MLB1946791354</t>
  </si>
  <si>
    <t>Colar Prata 925 + Ouro Citrino Polido - Legítima P. Vecchio Cor Dourado</t>
  </si>
  <si>
    <t>MLB2025414626</t>
  </si>
  <si>
    <t>Óleo Vegetal De Coco 30ml - Puro</t>
  </si>
  <si>
    <t>Óleo Essencial Gengibre 10ml - Puro E Natural</t>
  </si>
  <si>
    <t>MLB3687691851</t>
  </si>
  <si>
    <t>MLB5698188134</t>
  </si>
  <si>
    <t>Perfume Masculino Essência Do Brasil Cedro 100ml Óleo Essencial Eau De Toilette</t>
  </si>
  <si>
    <t>MLB2025427274</t>
  </si>
  <si>
    <t>Colar Turmalina Pedra Natural Prata 925 Ponte Vecchio Prateado</t>
  </si>
  <si>
    <t>Óleo Essencial Cipreste 10ml - Puro E Natural</t>
  </si>
  <si>
    <t>MLB1946814718</t>
  </si>
  <si>
    <t>Óleo Vegetal De Macadâmia 30ml - Puro</t>
  </si>
  <si>
    <t>MLB2025447708</t>
  </si>
  <si>
    <t>Óleo Essencial Petitgrain 10ml - Puro E Natural</t>
  </si>
  <si>
    <t>MLB3715666077</t>
  </si>
  <si>
    <t>MLB5738431824</t>
  </si>
  <si>
    <t>MLB2026028068</t>
  </si>
  <si>
    <t>Perfume Masculino Júpiter 100ml - Coleção Deuses Romanos Volume Da Unidade 100 Ml</t>
  </si>
  <si>
    <t>Pingente Prata 925 Howlita Em Gota Estilo Carrara - Natural Dourado</t>
  </si>
  <si>
    <t>Óleo Essencial Tomilho Branco 10ml - Puro E Natural</t>
  </si>
  <si>
    <t>MLB1946819143</t>
  </si>
  <si>
    <t>Óleo Vegetal De Maracujá 30ml - Puro</t>
  </si>
  <si>
    <t>MLB2026576254</t>
  </si>
  <si>
    <t>Óleo Essencial Artemísia Marrocos 10ml - Puro E Natural</t>
  </si>
  <si>
    <t>MLB5759770372</t>
  </si>
  <si>
    <t>MLB3715681395</t>
  </si>
  <si>
    <t>MLB2034787818</t>
  </si>
  <si>
    <t>Pingente Prata 950 Cornalina Natural Ponte Vecchio Joias Ouro</t>
  </si>
  <si>
    <t>Essência De Algas Para Aromatizador / Difusor</t>
  </si>
  <si>
    <t>Perfume Masculino Madeira E Pimenta 100ml Volume Da Unidade 100 Ml</t>
  </si>
  <si>
    <t>MLB1946830829</t>
  </si>
  <si>
    <t>Descrição menciona horário/prazo fixo de despacho; Documento de Notificação/Comunicação prévia na Anvisa não preenchido</t>
  </si>
  <si>
    <t>Descrição menciona horário/prazo fixo de despacho: Descrição menciona horário/prazo de despacho fixo - texto operacional que pode ficar desatualizado | Documento de Notificação/Comunicação prévia na Anvisa não preenchido: Número de Notificação/Comunicação prévia na Anvisa não preenchido</t>
  </si>
  <si>
    <t>Óleo Vegetal De Pracaxi 30ml - Puro</t>
  </si>
  <si>
    <t>MLB2034795290</t>
  </si>
  <si>
    <t>Essência De Jasmim Para Aromatizador / Difusor</t>
  </si>
  <si>
    <t>MLB5759821920</t>
  </si>
  <si>
    <t>Colar Prata De Ley 925 Drusa Ametista Prateado Ponte Vecchio Joias 45cm</t>
  </si>
  <si>
    <t>MLB3715686919</t>
  </si>
  <si>
    <t>MLB2034799056</t>
  </si>
  <si>
    <t>Essência De Citronela Para Aromatizador / Difusor</t>
  </si>
  <si>
    <t>Perfume Limão 22 Essência Do Brasil 60 Ml Para Verão Cítrico E Vegano</t>
  </si>
  <si>
    <t>MLB1946839257</t>
  </si>
  <si>
    <t>Óleo Vegetal De Semente De Uva  30ml - Puro</t>
  </si>
  <si>
    <t>MLB2034801018</t>
  </si>
  <si>
    <t>MLB5804700336</t>
  </si>
  <si>
    <t>Essência De Herbal Para Aromatizador / Difusor</t>
  </si>
  <si>
    <t>Pingente Prata 925 Esmeralda Gota Natural Verdadeira Joias Verde</t>
  </si>
  <si>
    <t>MLB3715717013</t>
  </si>
  <si>
    <t>MLB2034801552</t>
  </si>
  <si>
    <t>Perfume Feminino Artemísia Do Marrocos 100ml Volume Da Unidade 100 Ml</t>
  </si>
  <si>
    <t>Essência De Maçã Verde Para Aromatizador / Difusor</t>
  </si>
  <si>
    <t>MLB1946858627</t>
  </si>
  <si>
    <t>Óleo Vegetal De Argan 30ml - Puro</t>
  </si>
  <si>
    <t>MLB2034801622</t>
  </si>
  <si>
    <t>Essência De Rosas Para Aromatizador / Difusor</t>
  </si>
  <si>
    <t>MLB5829697804</t>
  </si>
  <si>
    <t>Pingente Prata 950 Esmeralda Bruta Legítima Ponte Vecchio Prateado</t>
  </si>
  <si>
    <t>MLB3715734221</t>
  </si>
  <si>
    <t>MLB2034805431</t>
  </si>
  <si>
    <t>Essência De Morango Para Aromatizador / Difusor</t>
  </si>
  <si>
    <t>Perfume Feminino Erva Doce Da Espanha 100ml Volume Da Unidade 100 Ml</t>
  </si>
  <si>
    <t>MLB1946872825</t>
  </si>
  <si>
    <t>Óleo Vegetal De Copaíba Bálsamo 30ml - Puro</t>
  </si>
  <si>
    <t>MLB2034805677</t>
  </si>
  <si>
    <t>Essência De Flor Do Campo Para Aromatizador / Difusor</t>
  </si>
  <si>
    <t>MLB5830500874</t>
  </si>
  <si>
    <t>Pingente Prata 925 Citrino Bruto Amarelo Ponte Vecchio Joias</t>
  </si>
  <si>
    <t>MLB3715734641</t>
  </si>
  <si>
    <t>MLB2034810255</t>
  </si>
  <si>
    <t>Perfume Eau De Toilette Lírio 23 100ml Vegano Essência Do Brasil</t>
  </si>
  <si>
    <t>Essência De Canela Para Aromatizador / Difusor</t>
  </si>
  <si>
    <t>MLB1946875182</t>
  </si>
  <si>
    <t>Óleo Vegetal De Ojon 30ml - Puro</t>
  </si>
  <si>
    <t>MLB2034810326</t>
  </si>
  <si>
    <t>Essência De Chá Verde Para Aromatizador / Difusor</t>
  </si>
  <si>
    <t>MLB5830603690</t>
  </si>
  <si>
    <t>MLB3715745727</t>
  </si>
  <si>
    <t>Pingente De Prata 925 Com Quartzo Rosa Bruto Ponte Vecchio Joias</t>
  </si>
  <si>
    <t>Perfume Essência Do Brasil Ylang Ylang 30 Floral Chypre 100 Ml</t>
  </si>
  <si>
    <t>MLB2034811211</t>
  </si>
  <si>
    <t>Essência De Capim Limão Para Aromatizador / Difusor</t>
  </si>
  <si>
    <t>Título com mais de 60 caracteres: Título com 62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</si>
  <si>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MLB1946877728</t>
  </si>
  <si>
    <t>Óleo Vegetal De Jojoba 30ml - Puro</t>
  </si>
  <si>
    <t>MLB2034811583</t>
  </si>
  <si>
    <t>Essência De Lavanda Para Aromatizador / Difusor</t>
  </si>
  <si>
    <t>MLB5847084604</t>
  </si>
  <si>
    <t>MLB3715747247</t>
  </si>
  <si>
    <t>Colar 3 Em 1 Em Prata 925 Corrente + 3 Pingentes + Cor Prateado</t>
  </si>
  <si>
    <t>Perfume Feminino Natural Rosa De Marrocos 50ml Volume Da Unidade 50 Ml</t>
  </si>
  <si>
    <t>MLB2034812185</t>
  </si>
  <si>
    <t>Essência De Floral Frutal Para Aromatizador / Difusor</t>
  </si>
  <si>
    <t>MLB2034813240</t>
  </si>
  <si>
    <t>MLB1946888446</t>
  </si>
  <si>
    <t>MLB3715755667</t>
  </si>
  <si>
    <t>Essência De Vanilla Para Aromatizador / Difusor</t>
  </si>
  <si>
    <t>MLB5847418954</t>
  </si>
  <si>
    <t>Perfume Essência Do Brasil Patchouli 24 Vegano Spray 60ml</t>
  </si>
  <si>
    <t>Óleo Vegetal De Rosa Mosqueta 30ml - Puro</t>
  </si>
  <si>
    <t>Pingente Ametista Bruta Pedra Natural Banhado Ouro 18k Ponte Vecchio Púrpura</t>
  </si>
  <si>
    <t>MLB2034817220</t>
  </si>
  <si>
    <t>Essência De Bambu Para Aromatizador / Difusor</t>
  </si>
  <si>
    <t>MLB3715760759</t>
  </si>
  <si>
    <t>MLB2034818771</t>
  </si>
  <si>
    <t>Perfume Almíscar Bleu Essência Do Brasil Spray Masculino 100ml + Mini 10ml</t>
  </si>
  <si>
    <t>MLB2897258356</t>
  </si>
  <si>
    <t>Essência De Frescor Da Primavera Para Aromatizador / Difusor</t>
  </si>
  <si>
    <t>MLB5886353658</t>
  </si>
  <si>
    <t>Documento de Notificação/Comunicação prévia na Anvisa não preenchido; Título com mais de 60 caracteres; Valor incomum em campo que deveria ser curto/categórico (dado errado colado)</t>
  </si>
  <si>
    <t>Óleo Vegetal De Amêndoas Doces - 60ml Puro E Natural</t>
  </si>
  <si>
    <t>Título com mais de 60 caracteres: Título com 74 caracteres (limite ML=60) | Valor incomum em campo que deveria ser curto/categórico (dado errado colado): Valor incomum/muito longo para o campo "PERFUME_TYPE" (padrão da coluna é curto/categórico; parece dado errado colado aqui) | Documento de Notificação/Comunicação prévia na Anvisa não preenchido: Número de Notificação/Comunicação prévia na Anvisa não preenchido</t>
  </si>
  <si>
    <t>Pingente Prata 925 Ametista Coração Lapidada Verdadeira</t>
  </si>
  <si>
    <t>MLB2034819048</t>
  </si>
  <si>
    <t>Essência De Hortelã Para Aromatizador / Difusor</t>
  </si>
  <si>
    <t>MLB3715763905</t>
  </si>
  <si>
    <t>Eau De Parfum Essência Do Brasil Patchouli Com Ylang Ylang Para Homem 100ml</t>
  </si>
  <si>
    <t>MLB2034819494</t>
  </si>
  <si>
    <t>MLB2897276448</t>
  </si>
  <si>
    <t>Essência De Pinho Para Aromatizador / Difusor</t>
  </si>
  <si>
    <t>MLB5886379572</t>
  </si>
  <si>
    <t>Óleo Vegetal De Amêndoas Doces - 10ml Puro E Natural</t>
  </si>
  <si>
    <t>Pingente Prata 925 Água-marinha Gota Lapidada Verdadeira</t>
  </si>
  <si>
    <t>MLB2034822774</t>
  </si>
  <si>
    <t>Essência De Bubaloo Para Aromatizador / Difusor</t>
  </si>
  <si>
    <t>MLB3715773997</t>
  </si>
  <si>
    <t>Perfume Flor De Maçã Elixir 100ml Extrait De Parfum Floral Volume Da Unidade 100 Ml</t>
  </si>
  <si>
    <t>MLB2034823057</t>
  </si>
  <si>
    <t>Descrição repetida em outros anúncios com título diferente (verificar se é boilerplate ou erro); Documento de Notificação/Comunicação prévia na Anvisa não preenchido; Tipo de perfume cadastrado diverge do que está no título/nome; Título com mais de 60 caracteres</t>
  </si>
  <si>
    <t>Essência De Chocolate Para Aromatizador / Difusor</t>
  </si>
  <si>
    <t>Título com mais de 60 caracteres: Título com 83 caracteres (limite ML=60) | Descrição repetida em outros anúncios com título diferente (verificar se é boilerplate ou erro): Mesma descrição usada em 81 anúncios com títulos diferentes | Tipo de perfume cadastrado diverge do que está no título/nome: Campo "Tipo de perfume" = "Elixir", mas título/nome menciona ['Parfum', 'Extrait de parfum'] | Documento de Notificação/Comunicação prévia na Anvisa não preenchido: Número de Notificação/Comunicação prévia na Anvisa não preenchido</t>
  </si>
  <si>
    <t>MLB2897288204</t>
  </si>
  <si>
    <t>MLB5886405482</t>
  </si>
  <si>
    <t>Óleo Vegetal De Sementes De Uva - 60ml Puro E Natural</t>
  </si>
  <si>
    <t>MLB2034823306</t>
  </si>
  <si>
    <t>Pingente Prata 925 Citrino Coração Lapidado Legítimo Natural</t>
  </si>
  <si>
    <t>Essência De Alecrim Para Aromatizador / Difusor</t>
  </si>
  <si>
    <t>MLB3715775041</t>
  </si>
  <si>
    <t>Perfume Essência Do Brasil Petitgrain Do Paraguai Eau De Toilette 100ml</t>
  </si>
  <si>
    <t>MLB2034824475</t>
  </si>
  <si>
    <t>Essência De Eucalipto Para Aromatizador / Difusor</t>
  </si>
  <si>
    <t>MLB2897300736</t>
  </si>
  <si>
    <t>MLB5886444218</t>
  </si>
  <si>
    <t>MLB2034830458</t>
  </si>
  <si>
    <t>Óleo Vegetal De Rosa Mosqueta - 10ml Puro E Natural</t>
  </si>
  <si>
    <t>Essência De Erva Doce Para Aromatizador / Difusor</t>
  </si>
  <si>
    <t>MLB3717330896</t>
  </si>
  <si>
    <t>Pingente Prata 925 Turmalina Negra Gota Lapidada Verdadeira</t>
  </si>
  <si>
    <t>Perfume Aromático Hortelã 10ml Roll On Essência Do Brasil Vegano</t>
  </si>
  <si>
    <t>MLB2034835242</t>
  </si>
  <si>
    <t>Essência De Alfazema Para Aromatizador / Difusor</t>
  </si>
  <si>
    <t>MLB2897306352</t>
  </si>
  <si>
    <t>MLB2034835549</t>
  </si>
  <si>
    <t>MLB5886470224</t>
  </si>
  <si>
    <t>Óleo Vegetal De Sementes De Uva - 10ml Puro E Natural</t>
  </si>
  <si>
    <t>Essência De Amanhecer Tropical Para Aromatizador / Difusor</t>
  </si>
  <si>
    <t>MLB3730746839</t>
  </si>
  <si>
    <t>Pingente Prata 925 Lápis-lazúli Redondo Lapidado Verdadeiro</t>
  </si>
  <si>
    <t>Perfume Masculino Lavanda E Grapefruit Essência Do Brasil Com Mini Perfume De</t>
  </si>
  <si>
    <t>Código universal do produto (GTIN) não preenchido (texto de exemplo do ML ainda lá); Descrição repetida em outros anúncios com título diferente (verificar se é boilerplate ou erro); Documento de Notificação/Comunicação prévia na Anvisa não preenchido; País de origem diferente de "Brasil"; Título com mais de 60 caracteres</t>
  </si>
  <si>
    <t>MLB2034836623</t>
  </si>
  <si>
    <t>Título com mais de 60 caracteres: Título com 77 caracteres (limite ML=60) | Descrição repetida em outros anúncios com título diferente (verificar se é boilerplate ou erro): Mesma descrição usada em 81 anúncios com títulos diferentes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</si>
  <si>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Essência De Camomila Para Aromatizador / Difusor</t>
  </si>
  <si>
    <t>MLB3906396185</t>
  </si>
  <si>
    <t>MLB2034838411</t>
  </si>
  <si>
    <t>MLB5886508912</t>
  </si>
  <si>
    <t>Kit Bem-estar Essência Do Brasil Com Sérum Nano Complex E Óleos Essenciais Normal Dia/noite</t>
  </si>
  <si>
    <t>MLB3730759535</t>
  </si>
  <si>
    <t>Essência De Limão Galego Para Aromatizador / Difusor</t>
  </si>
  <si>
    <t>Pingente Prata 925 Lápis-lazúli Oval Lapidado Verdadeiro</t>
  </si>
  <si>
    <t>Perfume Feminino Natural Lilás 50ml</t>
  </si>
  <si>
    <t>Descrição repetida em outros anúncios com título diferente (verificar se é boilerplate ou erro); Título com mais de 60 caracteres</t>
  </si>
  <si>
    <t>Título com mais de 60 caracteres: Título com 91 caracteres (limite ML=60) | Descrição repetida em outros anúncios com título diferente (verificar se é boilerplate ou erro): Mesma descrição usada em 3 anúncios com títulos diferentes</t>
  </si>
  <si>
    <t>MLB2034844983</t>
  </si>
  <si>
    <t>Essência De Maçã Madura Para Aromatizador / Difusor</t>
  </si>
  <si>
    <t>MLB3907618827</t>
  </si>
  <si>
    <t>MLB2034849563</t>
  </si>
  <si>
    <t>MLB3739006619</t>
  </si>
  <si>
    <t>Essência De Limão Para Aromatizador / Difusor</t>
  </si>
  <si>
    <t>MLB5950271462</t>
  </si>
  <si>
    <t>Sérum Nano Complex + Mol 04 (bouquet Floral Calmante) Momento De Aplicação Dia/noite Tipo De Pele Normal</t>
  </si>
  <si>
    <t>Perfume Masculino Essência Do Brasil Lima-limão E Baunilha 100ml Com Mini Perfume 10ml</t>
  </si>
  <si>
    <t>Colar Em Couro Grego Prata 60cm Selenita Esfera Masculino</t>
  </si>
  <si>
    <t>Título com mais de 60 caracteres: Título com 104 caracteres (limite ML=60) | Descrição repetida em outros anúncios com título diferente (verificar se é boilerplate ou erro): Mesma descrição usada em 16 anúncios com títulos diferentes</t>
  </si>
  <si>
    <t>Título com mais de 60 caracteres: Título com 86 caracteres (limite ML=60) | Documento de Notificação/Comunicação prévia na Anvisa não preenchido: Número de Notificação/Comunicação prévia na Anvisa não preenchido</t>
  </si>
  <si>
    <t>MLB2034849791</t>
  </si>
  <si>
    <t>Essência De Tutti Frutti Para Aromatizador / Difusor</t>
  </si>
  <si>
    <t>MLB3907688657</t>
  </si>
  <si>
    <t>MLB3750066850</t>
  </si>
  <si>
    <t>MLB2037734522</t>
  </si>
  <si>
    <t>Kit Essência Do Brasil Sérum Ouro E Silício + Mol 08 Hidratante Facial Normal Dia/noite</t>
  </si>
  <si>
    <t>Kit 4 Óleos Essen. Laranja, Eucalipto, Citronela, Tangerina</t>
  </si>
  <si>
    <t>MLB5950271470</t>
  </si>
  <si>
    <t>Título com mais de 60 caracteres: Título com 87 caracteres (limite ML=60) | Descrição repetida em outros anúncios com título diferente (verificar se é boilerplate ou erro): Mesma descrição usada em 16 anúncios com títulos diferentes</t>
  </si>
  <si>
    <t>Colar Em Couro Grego Prata 60cm Howlita Bruta Masculino</t>
  </si>
  <si>
    <t>MLB2037740594</t>
  </si>
  <si>
    <t>MLB3755275017</t>
  </si>
  <si>
    <t>MLB4015917277</t>
  </si>
  <si>
    <t>Profumo 954 - Unissex 65ml Aldeídos, Âmbar, Almíscar Volume Da Unidade 65 Ml</t>
  </si>
  <si>
    <t>MLB2037758946</t>
  </si>
  <si>
    <t>Kit Sérum Ouro E Óleo Sândalo Essência Do Brasil Pele Firme E Hidratante</t>
  </si>
  <si>
    <t>Kit 4 Óleos Essenciais Alecrim, Eucalipto, Laranja, Limão</t>
  </si>
  <si>
    <t>MLB5950308344</t>
  </si>
  <si>
    <t>Título com mais de 60 caracteres: Título com 72 caracteres (limite ML=60) | Descrição repetida em outros anúncios com título diferente (verificar se é boilerplate ou erro): Mesma descrição usada em 16 anúncios com títulos diferentes</t>
  </si>
  <si>
    <t>MLB2037780066</t>
  </si>
  <si>
    <t>Colar Em Couro Grego Prata 60cm Hematita Bruta Masculino</t>
  </si>
  <si>
    <t>Kit 5 Óleos Essenciais Naturais E Puros</t>
  </si>
  <si>
    <t>MLB3770575204</t>
  </si>
  <si>
    <t>MLB4130362159</t>
  </si>
  <si>
    <t>Perfume Essência Do Brasil Flor Angélica Eau De Toilette 100ml</t>
  </si>
  <si>
    <t>Essência Do Brasil Kit Sérum Hialurônico + Óleo Jaborandi Pele Dia/noite Normal</t>
  </si>
  <si>
    <t>MLB2037879581</t>
  </si>
  <si>
    <t>Título com mais de 60 caracteres: Título com 79 caracteres (limite ML=60) | Descrição repetida em outros anúncios com título diferente (verificar se é boilerplate ou erro): Mesma descrição usada em 3 anúncios com títulos diferentes</t>
  </si>
  <si>
    <t>MLB5950320976</t>
  </si>
  <si>
    <t>MLB2039029062</t>
  </si>
  <si>
    <t>Colar Couro Grego Prata 60cm Turmalina Negra Bruta Masculino</t>
  </si>
  <si>
    <t>MLB3780782964</t>
  </si>
  <si>
    <t>Kit 03 Óleos Essenciais - Você Escolhe - 100% Puro E Natural</t>
  </si>
  <si>
    <t>MLB5098808716</t>
  </si>
  <si>
    <t>Sérum Facial Nano Vitamina C + Colágeno 30ml - Momento De Aplicação Dia/noite Tipo De Pele Normal</t>
  </si>
  <si>
    <t>MLB2058735206</t>
  </si>
  <si>
    <t>Título com mais de 60 caracteres: Título com 97 caracteres (limite ML=60) | Descrição repetida em outros anúncios com título diferente (verificar se é boilerplate ou erro): Mesma descrição usada em 16 anúncios com títulos diferentes</t>
  </si>
  <si>
    <t>Óleo Essencial Limão Tahiti 10ml - Puro E Natural - Promoção</t>
  </si>
  <si>
    <t>MLB5950320980</t>
  </si>
  <si>
    <t>MLB3781170012</t>
  </si>
  <si>
    <t>MLB2058775358</t>
  </si>
  <si>
    <t>MLB5098820914</t>
  </si>
  <si>
    <t>Colar Em Couro Grego Prata 60cm Amazonita Polida Masculino</t>
  </si>
  <si>
    <t xml:space="preserve">Óleo Essencial Eucalipto Citriodora 10ml - Puro E Natural </t>
  </si>
  <si>
    <t>Essência Do Brasil Perfume Flor De Jasmim &amp; Cedro Eau De Toilette 100ml</t>
  </si>
  <si>
    <t>Sérum Facial Bioequalizador Redutor De Poros Minyporyl 30ml Momento De Aplicação Dia/noite Tipo De Pele Normal</t>
  </si>
  <si>
    <t>MLB2058800691</t>
  </si>
  <si>
    <t>Título com mais de 60 caracteres: Título com 110 caracteres (limite ML=60) | Descrição repetida em outros anúncios com título diferente (verificar se é boilerplate ou erro): Mesma descrição usada em 16 anúncios com títulos diferentes</t>
  </si>
  <si>
    <t>Óleo Essencial Menta Arvensis 10ml - Puro E Natural - Oferta</t>
  </si>
  <si>
    <t>MLB3781708192</t>
  </si>
  <si>
    <t>MLB5950320982</t>
  </si>
  <si>
    <t>MLB2069398867</t>
  </si>
  <si>
    <t>Perfume Essência Do Brasil Portofino 100ml Masculino Eau De Toilette</t>
  </si>
  <si>
    <t>Óleo Essencial Pinho Sibéria 10ml - Puro E Natural Promoção</t>
  </si>
  <si>
    <t>Colar Em Couro Grego Prata 60cm Sodalita Polida Masculino</t>
  </si>
  <si>
    <t>MLB5098833282</t>
  </si>
  <si>
    <t>Sérum Facial Essência Do Brasil Ácido Hialurônico E Tucumã 30g Hidratante Normal Dia/noite</t>
  </si>
  <si>
    <t>MLB2089314727</t>
  </si>
  <si>
    <t>Título com mais de 60 caracteres: Título com 90 caracteres (limite ML=60) | Descrição repetida em outros anúncios com título diferente (verificar se é boilerplate ou erro): Mesma descrição usada em 16 anúncios com títulos diferentes</t>
  </si>
  <si>
    <t>MLB3797768511</t>
  </si>
  <si>
    <t>MLB5950320984</t>
  </si>
  <si>
    <t>Perfume Masculino Mol 07 Essência Do Brasil Extrait De Parfum 100ml Spray</t>
  </si>
  <si>
    <t>MLB2089351591</t>
  </si>
  <si>
    <t>MLB5175382512</t>
  </si>
  <si>
    <t>Óleo Essencial Pimenta Rosa 10ml - Puro E Natural</t>
  </si>
  <si>
    <t>Colar Couro Prata 60cm Ametista Semi-lapidada Gota Masculino</t>
  </si>
  <si>
    <t>Título com mais de 60 caracteres: Título com 73 caracteres (limite ML=60) | Tipo de perfume cadastrado diverge do que está no título/nome: Campo "Tipo de perfume" = "Eau de parfum", mas título/nome menciona ['Parfum', 'Extrait de parfum'] | Documento de Notificação/Comunicação prévia na Anvisa não preenchido: Número de Notificação/Comunicação prévia na Anvisa não preenchido</t>
  </si>
  <si>
    <t>Kit Sérum Amazônico Com Ácido Hialurônico E Extrait De Parfum Mol 06 Especiado Gourmand Para Pele Normal Dia/noite</t>
  </si>
  <si>
    <t>Título com mais de 60 caracteres: Título com 114 caracteres (limite ML=60) | Descrição repetida em outros anúncios com título diferente (verificar se é boilerplate ou erro): Mesma descrição usada em 16 anúncios com títulos diferentes</t>
  </si>
  <si>
    <t>MLB2114859005</t>
  </si>
  <si>
    <t>MLB3797848997</t>
  </si>
  <si>
    <t>Óleo Essencial Funcho Doce (erva Doce) 10ml - Puro E Natural</t>
  </si>
  <si>
    <t>Perfume Mol 03 - Masculino - Extrait De Parfum 100ml Volume Da Unidade 100 Ml</t>
  </si>
  <si>
    <t>MLB5950371132</t>
  </si>
  <si>
    <t>MLB5176904972</t>
  </si>
  <si>
    <t>MLB2184230073</t>
  </si>
  <si>
    <t>Título com mais de 60 caracteres: Título com 77 caracteres (limite ML=60) | Tipo de perfume cadastrado diverge do que está no título/nome: Campo "Tipo de perfume" = "Eau de parfum", mas título/nome menciona ['Parfum', 'Extrait de parfum'] | Documento de Notificação/Comunicação prévia na Anvisa não preenchido: Número de Notificação/Comunicação prévia na Anvisa não preenchido</t>
  </si>
  <si>
    <t>Kit 6 Essências Verão Para Difusores De Ambiente 10ml</t>
  </si>
  <si>
    <t>Kit Essência Do Brasil Gold Sérum Ouro Silício Hidratante Rosto + Perfume Mol 02 Normal Dia/noite</t>
  </si>
  <si>
    <t>Colar Em Couro Grego Prata 60cm Fluorita Bruta Masculino</t>
  </si>
  <si>
    <t>MLB2212339181</t>
  </si>
  <si>
    <t>Óleo Essencial Alecrim 30ml - Puro E Natural - Oferta</t>
  </si>
  <si>
    <t>MLB3804982687</t>
  </si>
  <si>
    <t>MLB5177166378</t>
  </si>
  <si>
    <t>De 2 Perfumes 100ml - Eros + Thor Volume Da Unidade 100 Ml</t>
  </si>
  <si>
    <t>MLB5950371136</t>
  </si>
  <si>
    <t>Kit Pele Ouro Essência Do Brasil Sérum Ouro Rosa Mosqueta Gerânio Hidratação Rosto Normal Dia/noite</t>
  </si>
  <si>
    <t>MLB2212343254</t>
  </si>
  <si>
    <t>Colar Em Couro Grego Prata 60cm Esmeralda Polida Masculino</t>
  </si>
  <si>
    <t>Título com mais de 60 caracteres: Título com 99 caracteres (limite ML=60) | Descrição repetida em outros anúncios com título diferente (verificar se é boilerplate ou erro): Mesma descrição usada em 16 anúncios com títulos diferentes</t>
  </si>
  <si>
    <t>Óleo Essencial Capim Limão 30ml - Puro E Natural - Promoção</t>
  </si>
  <si>
    <t>MLB3808160815</t>
  </si>
  <si>
    <t>MLB5218865132</t>
  </si>
  <si>
    <t>Eau De Toilette Essência Do Brasil Com Patchouli Clássico E Dark</t>
  </si>
  <si>
    <t>Essência Do Brasil Sérum Hidratante Gold Avançado Ouro Silício Hialurônico 30ml Normal Dia/noite</t>
  </si>
  <si>
    <t>MLB2212360083</t>
  </si>
  <si>
    <t>MLB5950445152</t>
  </si>
  <si>
    <t>Título com mais de 60 caracteres: Título com 96 caracteres (limite ML=60) | Descrição repetida em outros anúncios com título diferente (verificar se é boilerplate ou erro): Mesma descrição usada em 16 anúncios com títulos diferentes</t>
  </si>
  <si>
    <t>Colar Em Couro Grego Prata 60cm Citrino Bruto Masculino</t>
  </si>
  <si>
    <t>MLB2212361569</t>
  </si>
  <si>
    <t>MLB5300236110</t>
  </si>
  <si>
    <t>MLB3808173433</t>
  </si>
  <si>
    <t>Perfume - Patchouli Pimenta + Almíscar Selvagem 100ml</t>
  </si>
  <si>
    <t>Kit Hidratante Essência Do Brasil Revital Com Sérum E Óleos De Grapefruit E Maracujá Normal Dia/noite</t>
  </si>
  <si>
    <t>Título com mais de 60 caracteres: Título com 101 caracteres (limite ML=60) | Descrição repetida em outros anúncios com título diferente (verificar se é boilerplate ou erro): Mesma descrição usada em 3 anúncios com títulos diferentes</t>
  </si>
  <si>
    <t>MLB2212365587</t>
  </si>
  <si>
    <t>MLB5950470484</t>
  </si>
  <si>
    <t>Óleo Essencial Canela 30ml - Puro E Natural - Oferta</t>
  </si>
  <si>
    <t>Colar Em Couro Grego Prata 60cm Angelita Bruta Masculino</t>
  </si>
  <si>
    <t>MLB3808436377</t>
  </si>
  <si>
    <t>MLB2212383685</t>
  </si>
  <si>
    <t>MLB5414884308</t>
  </si>
  <si>
    <t>Óleo Essencial Basilicão (manjericão) 30ml - Puro E Natural</t>
  </si>
  <si>
    <t>Duo Perfumes Masculinos Almíscar Selvagem E Patchouli Essência Do Brasil 100ml</t>
  </si>
  <si>
    <t>Kit Regeneração Intensiva: Sérum Nano Complex + Óleo Limão Momento De Aplicação Dia/noite Tipo De Pele Normal</t>
  </si>
  <si>
    <t>MLB2212386234</t>
  </si>
  <si>
    <t>Título com mais de 60 caracteres: Título com 109 caracteres (limite ML=60) | Descrição repetida em outros anúncios com título diferente (verificar se é boilerplate ou erro): Mesma descrição usada em 16 anúncios com títulos diferentes</t>
  </si>
  <si>
    <t>MLB5950470498</t>
  </si>
  <si>
    <t>Colar Em Couro Grego Prata 60cm Lápis-lazúli Bruto Masculino</t>
  </si>
  <si>
    <t>MLB3808453651</t>
  </si>
  <si>
    <t>MLB5415198990</t>
  </si>
  <si>
    <t>Perfume Almíscar Selvagem 100ml + Marcopolo 30ml Essência Do Brasil</t>
  </si>
  <si>
    <t>Kit Energia Vitamina C Essência Do Brasil Sérum Vit C + Óleo Hortelã Pimenta Normal Dia/noite</t>
  </si>
  <si>
    <t>MLB2212421035</t>
  </si>
  <si>
    <t>Óleo Essencial Eucalipto (lima Limão) 30ml- Puro - Promoção</t>
  </si>
  <si>
    <t>Título com mais de 60 caracteres: Título com 93 caracteres (limite ML=60) | Descrição repetida em outros anúncios com título diferente (verificar se é boilerplate ou erro): Mesma descrição usada em 3 anúncios com títulos diferentes</t>
  </si>
  <si>
    <t>MLB5950482570</t>
  </si>
  <si>
    <t>MLB3808468423</t>
  </si>
  <si>
    <t>MLB2212427041</t>
  </si>
  <si>
    <t>Colar Em Couro Grego Prata 60cm Pirita Polida Masculino</t>
  </si>
  <si>
    <t>MLB5415211426</t>
  </si>
  <si>
    <t>3 Perfumes Roll On 10ml Essência Do Brasil Notas Verdes Charmosas</t>
  </si>
  <si>
    <t>Kit Oleosidade: Sérum Miniporyl + Óleo Melaleuca Momento De Aplicação Dia/noite Tipo De Pele Normal</t>
  </si>
  <si>
    <t>Título com mais de 60 caracteres: Título com 65 caracteres (limite ML=60) | Anúncio sem descrição: Descrição vazia | Documento de Notificação/Comunicação prévia na Anvisa não preenchido: Número de Notificação/Comunicação prévia na Anvisa não preenchido</t>
  </si>
  <si>
    <t>MLB2212427148</t>
  </si>
  <si>
    <t>Óleo Essencial De Patchouli Dark 30ml - Puro E Natural</t>
  </si>
  <si>
    <t>Título com mais de 60 caracteres: Título com 99 caracteres (limite ML=60) | Descrição repetida em outros anúncios com título diferente (verificar se é boilerplate ou erro): Mesma descrição usada em 3 anúncios com títulos diferentes</t>
  </si>
  <si>
    <t>MLB3808519925</t>
  </si>
  <si>
    <t>MLB5950482572</t>
  </si>
  <si>
    <t>MLB2212432848</t>
  </si>
  <si>
    <t>Kit Perfumes Essência Do Brasil Patchouli: Sport E Forest Masculinos 100 Ml</t>
  </si>
  <si>
    <t>Óleo Essencial Manjerona 30ml - Puro E Natural</t>
  </si>
  <si>
    <t>MLB5469041828</t>
  </si>
  <si>
    <t>Colar Em Couro Prata 60cm Turmalina Negra Polida Masculino</t>
  </si>
  <si>
    <t>Sérum Miniporyl Bioequalizador Redutor De Poros + Mol 10 Momento De Aplicação Dia/noite Tipo De Pele Normal</t>
  </si>
  <si>
    <t>MLB2212432885</t>
  </si>
  <si>
    <t>Óleo Essencial Limão Tahiti 30ml - Puro E Natural</t>
  </si>
  <si>
    <t>Título com mais de 60 caracteres: Título com 107 caracteres (limite ML=60) | Descrição repetida em outros anúncios com título diferente (verificar se é boilerplate ou erro): Mesma descrição usada em 16 anúncios com títulos diferentes</t>
  </si>
  <si>
    <t>MLB3827352355</t>
  </si>
  <si>
    <t>Perfume Masculino Essência Do Brasil Patchouli Clássico + Attar 100ml</t>
  </si>
  <si>
    <t>MLB2212432894</t>
  </si>
  <si>
    <t>MLB5950495402</t>
  </si>
  <si>
    <t>Óleo Essencial Funcho Doce (erva Doce) - 60ml - Puro</t>
  </si>
  <si>
    <t>MLB5469500316</t>
  </si>
  <si>
    <t>Colar Couro Grego Prata 60cm Olho De Tigre Bruto Masculino</t>
  </si>
  <si>
    <t>Kit Revitalização: Sérum Miniporyl + Óleo Sems. Uva + Limão Momento De Aplicação Dia/noite Tipo De Pele Normal</t>
  </si>
  <si>
    <t>MLB2212439475</t>
  </si>
  <si>
    <t>MLB3829616584</t>
  </si>
  <si>
    <t>Perfume Masculino Essência Do Brasil Manjerona Natural Roll On 10ml</t>
  </si>
  <si>
    <t>MLB5508673328</t>
  </si>
  <si>
    <t>MLB2212439507</t>
  </si>
  <si>
    <t>MLB5950495414</t>
  </si>
  <si>
    <t>Óleo Essencial Cravo 30ml - Puro E Natural - Promoção</t>
  </si>
  <si>
    <t>Kit Sérum Nano Complex E Óleo Grapefruit Para O Rosto Dia E Noite Normal Dia/noite</t>
  </si>
  <si>
    <t>MLB3832502799</t>
  </si>
  <si>
    <t>MLB2212439545</t>
  </si>
  <si>
    <t>Colar Em Couro Grego Prata 60cm Esmeralda Bruta Masculino</t>
  </si>
  <si>
    <t>Óleo Essencial Capim Limão 60ml - Puro E Natural - Promoção</t>
  </si>
  <si>
    <t>Título com mais de 60 caracteres: Título com 82 caracteres (limite ML=60) | Descrição repetida em outros anúncios com título diferente (verificar se é boilerplate ou erro): Mesma descrição usada em 16 anúncios com títulos diferentes</t>
  </si>
  <si>
    <t>Perfume Mol 06 - Feminino - Extrait De Parfum 100ml Volume Da Unidade 100 Ml</t>
  </si>
  <si>
    <t>Anúncio sem descrição; Documento de Notificação/Comunicação prévia na Anvisa não preenchido; Tipo de perfume cadastrado diverge do que está no título/nome; Título com mais de 60 caracteres</t>
  </si>
  <si>
    <t>Título com mais de 60 caracteres: Título com 76 caracteres (limite ML=60) | Anúncio sem descrição: Descrição vazia | Tipo de perfume cadastrado diverge do que está no título/nome: Campo "Tipo de perfume" = "Eau de parfum", mas título/nome menciona ['Parfum', 'Extrait de parfum'] | Documento de Notificação/Comunicação prévia na Anvisa não preenchido: Número de Notificação/Comunicação prévia na Anvisa não preenchido</t>
  </si>
  <si>
    <t>MLB2212445561</t>
  </si>
  <si>
    <t>Óleo Essencial De Cravo Folha 60ml - Puro E Natural - Oferta</t>
  </si>
  <si>
    <t>MLB5510398758</t>
  </si>
  <si>
    <t>Kit Essência Do Brasil Pele Pura: Sérum Miniporyl E Óleo De Eucalipto Para Pele Oleosa Normal Dia/noite</t>
  </si>
  <si>
    <t>MLB3832521221</t>
  </si>
  <si>
    <t>MLB5952538398</t>
  </si>
  <si>
    <t>Perfume Masculino Limão Siciliano 100ml - Com Óleo Essencial</t>
  </si>
  <si>
    <t>MLB2212445628</t>
  </si>
  <si>
    <t>Pingente Prata 925 Água-marinha Gota Lapidada Verdadeira - Prateado</t>
  </si>
  <si>
    <t>Título com mais de 60 caracteres: Título com 103 caracteres (limite ML=60) | Descrição repetida em outros anúncios com título diferente (verificar se é boilerplate ou erro): Mesma descrição usada em 16 anúncios com títulos diferentes</t>
  </si>
  <si>
    <t>Óleo Essencial De Cravo Folha 30ml - Puro E Natural - Oferta</t>
  </si>
  <si>
    <t>MLB2212445632</t>
  </si>
  <si>
    <t>MLB5510521122</t>
  </si>
  <si>
    <t>MLB3833137065</t>
  </si>
  <si>
    <t>Kit Relaxamento Noturno Essência Do Brasil Sérum Hialurônico + Óleo Lavanda Normal Dia/noite</t>
  </si>
  <si>
    <t>Perfume Alfazema Masculino 100ml</t>
  </si>
  <si>
    <t>MLB6100436698</t>
  </si>
  <si>
    <t>Título com mais de 60 caracteres: Título com 92 caracteres (limite ML=60) | Descrição repetida em outros anúncios com título diferente (verificar se é boilerplate ou erro): Mesma descrição usada em 3 anúncios com títulos diferentes</t>
  </si>
  <si>
    <t>Pingente Prata 925 Turmalina Negra Gota Lapidada Verdadeira Prateado</t>
  </si>
  <si>
    <t>MLB2212445746</t>
  </si>
  <si>
    <t>Óleo Essencial Laranja Doce (pêra) 30ml - Puro Promoção</t>
  </si>
  <si>
    <t>MLB5511509120</t>
  </si>
  <si>
    <t>MLB3837207370</t>
  </si>
  <si>
    <t>MLB2212445747</t>
  </si>
  <si>
    <t>Kit Essência Do Brasil Com Sérum E Óleo De Lavanda Para Pele Oleosa E Mista Normal Dia/noite</t>
  </si>
  <si>
    <t>Óleo Essencial Pinho Da Sibéria 30ml - Puro E Natural</t>
  </si>
  <si>
    <t>Título com mais de 60 caracteres: Título com 92 caracteres (limite ML=60) | Descrição repetida em outros anúncios com título diferente (verificar se é boilerplate ou erro): Mesma descrição usada em 16 anúncios com títulos diferentes</t>
  </si>
  <si>
    <t>MLB2212451994</t>
  </si>
  <si>
    <t>MLB6155138970</t>
  </si>
  <si>
    <t>Óleo Essencial De Lemongrass 30ml - Puro E Natural - Oferta</t>
  </si>
  <si>
    <t>Colar Prata + Ouro 18k Gota De Cristal Natural Colar Dourado E Pedra Transparente</t>
  </si>
  <si>
    <t>MLB3837207372</t>
  </si>
  <si>
    <t>MLB2897294410</t>
  </si>
  <si>
    <t>Perfume Feminino Essência Do Brasil Dama Da Noite 100ml E Opium De Chine 30ml</t>
  </si>
  <si>
    <t>Título com mais de 60 caracteres: Título com 81 caracteres (limite ML=60)</t>
  </si>
  <si>
    <t>Óleo Vegetal De Rosa Mosqueta - 60ml Puro E Natural</t>
  </si>
  <si>
    <t>Título com mais de 60 caracteres: Título com 77 caracteres (limite ML=60) | Descrição repetida em outros anúncios com título diferente (verificar se é boilerplate ou erro): Mesma descrição usada em 81 anúncios com títulos diferentes | País de origem diferente de "Brasil": País de origem = "(vazio)", deveria ser "Brasil" | Documento de Notificação/Comunicação prévia na Anvisa não preenchido: Número de Notificação/Comunicação prévia na Anvisa não preenchido</t>
  </si>
  <si>
    <t>MLB2212452025</t>
  </si>
  <si>
    <t>Óleo Essencial Menta Arvensis 30ml - Puro E Natural</t>
  </si>
  <si>
    <t>MLB6490187172</t>
  </si>
  <si>
    <t>MLB3837207530</t>
  </si>
  <si>
    <t>Pingente Prata 925 Larimar Redondo Lapidado Legítimo Natural Prateado Azul</t>
  </si>
  <si>
    <t>MLB2212452026</t>
  </si>
  <si>
    <t>MLB2897300741</t>
  </si>
  <si>
    <t>Perfume Flor De Laranjeira Elixir 100ml Extrait De Parfum</t>
  </si>
  <si>
    <t>Óleo Essencial Lavandim Grosso 30ml - Puro E Natural -oferta</t>
  </si>
  <si>
    <t>Descrição repetida em outros anúncios com título diferente (verificar se é boilerplate ou erro); Documento de Notificação/Comunicação prévia na Anvisa não preenchido; Tipo de perfume cadastrado diverge do que está no título/nome</t>
  </si>
  <si>
    <t>Óleo Vegetal De Rosa Mosqueta - 100ml Puro E Natural</t>
  </si>
  <si>
    <t>Descrição repetida em outros anúncios com título diferente (verificar se é boilerplate ou erro): Mesma descrição usada em 81 anúncios com títulos diferentes | Tipo de perfume cadastrado diverge do que está no título/nome: Campo "Tipo de perfume" = "Eau de parfum", mas título/nome menciona ['Parfum', 'Extrait de parfum'] | Documento de Notificação/Comunicação prévia na Anvisa não preenchido: Número de Notificação/Comunicação prévia na Anvisa não preenchido</t>
  </si>
  <si>
    <t>MLB2212457742</t>
  </si>
  <si>
    <t>Óleo Essencial Pimenta Rosa 30ml - Puro E Natural</t>
  </si>
  <si>
    <t>MLB3837444434</t>
  </si>
  <si>
    <t>MLB6604409718</t>
  </si>
  <si>
    <t>Perfume Athena Feminino Essência Do Brasil Com Rosas E Jasmim, 100ml</t>
  </si>
  <si>
    <t>Pingente Prata Cristal Craquelado Roxo Polido Verdadeiro Prateado Violeta</t>
  </si>
  <si>
    <t>MLB2212457783</t>
  </si>
  <si>
    <t>MLB3853154927</t>
  </si>
  <si>
    <t>Hidratante Chantilly 250gr Para Celulite, Pele Firme E Macia Fragrância Neutra</t>
  </si>
  <si>
    <t>MLB2212457895</t>
  </si>
  <si>
    <t>Óleo Essencial Funcho Doce (erva Doce)</t>
  </si>
  <si>
    <t>MLB3879244319</t>
  </si>
  <si>
    <t>MLB6604409870</t>
  </si>
  <si>
    <t>Perfume Essência Do Brasil Lavanda Inglesa Natural 100ml Spray</t>
  </si>
  <si>
    <t>Pingente Prata Cristal Craquelado Azul Polido Verdadeiro Prateado</t>
  </si>
  <si>
    <t>MLB2212462603</t>
  </si>
  <si>
    <t>Óleo Essencial De Tangerina 30ml - Puro E Natural - Oferta</t>
  </si>
  <si>
    <t>MLB4412405277</t>
  </si>
  <si>
    <t>MLB3881345959</t>
  </si>
  <si>
    <t>MLB2212462633</t>
  </si>
  <si>
    <t>Óleo Essencial Menta Spicata 30ml - Puro E Natural</t>
  </si>
  <si>
    <t>MLB6785742034</t>
  </si>
  <si>
    <t>Perfume May Chang Da China Feminino 100ml Natural E Vegano</t>
  </si>
  <si>
    <t>Pingente Prata 925 Citrino Coração Lapidado Legítimo Natural Prateado Amarelo</t>
  </si>
  <si>
    <t>MLB2212462646</t>
  </si>
  <si>
    <t>Óleo Essencial Cravo 60ml - Puro E Natural - Promoção</t>
  </si>
  <si>
    <t>MLB4599844851</t>
  </si>
  <si>
    <t>MLB3881345967</t>
  </si>
  <si>
    <t>MLB2212468145</t>
  </si>
  <si>
    <t>Óleo Essencial Zimbro (junípero) 30ml - Puro E Natural</t>
  </si>
  <si>
    <t>Perfume Limão Siciliano Radiante Masculino 100ml - Natural</t>
  </si>
  <si>
    <t>MLB7092572520</t>
  </si>
  <si>
    <t>Pingente De Prata Com Cianita Azul Natural - Ponte Vecchio Joias</t>
  </si>
  <si>
    <t>MLB2212468171</t>
  </si>
  <si>
    <t>MLB2838767984</t>
  </si>
  <si>
    <t>Óleo Essencial De Benjoim 30ml - Puro E Natural - Oferta</t>
  </si>
  <si>
    <t>Perfume Com Feromônios Thor - 10ml - Roll On</t>
  </si>
  <si>
    <t>MLB3881396951</t>
  </si>
  <si>
    <t>MLB2212474478</t>
  </si>
  <si>
    <t>Perfume Gerânio Elegante Feminino 100ml - Natural E Vegano</t>
  </si>
  <si>
    <t>Óleo Essencial Eucalipto Citriodora 30ml - Puro E Natural</t>
  </si>
  <si>
    <t>MLB7193069200</t>
  </si>
  <si>
    <t>Pingente Ouro Ponte Vecchio Joias Prata 950 Minimalista Charoíta</t>
  </si>
  <si>
    <t>MLB4383802896</t>
  </si>
  <si>
    <t>MLB2212474537</t>
  </si>
  <si>
    <t>Óleo Essencial Limão Siciliano 30ml - Puro E Natural -oferta</t>
  </si>
  <si>
    <t>Perfume Thor Masculino Roll-on 10ml Com Feromônios</t>
  </si>
  <si>
    <t>MLB3881409889</t>
  </si>
  <si>
    <t>Perfume Artemísia Marroquina Feminino 100ml Natural E Vegano</t>
  </si>
  <si>
    <t>MLB2212474698</t>
  </si>
  <si>
    <t>Óleo Essencial Noz Moscada 30ml - Puro E Natural</t>
  </si>
  <si>
    <t>MLB7193069214</t>
  </si>
  <si>
    <t>MLB2897270112</t>
  </si>
  <si>
    <t>Pingente Prata 925 Quartzo Fumê Natural Legítimo P. Vecchio Dourado</t>
  </si>
  <si>
    <t>MLB2212520578</t>
  </si>
  <si>
    <t>Kit 4 Óleos Vegetais 10ml - Puro E Natural</t>
  </si>
  <si>
    <t>MLB3881409893</t>
  </si>
  <si>
    <t>Essência Para Aromatizador / Difusor Pura Vários Aromas 30ml</t>
  </si>
  <si>
    <t>Campo Marca em branco; Código universal do produto (GTIN) não preenchido (texto de exemplo do ML ainda lá); Descrição menciona horário/prazo fixo de despacho; Documento de Notificação/Comunicação prévia na Anvisa não preenchido</t>
  </si>
  <si>
    <t>Perfume Limão Tahiti Masculino 100ml - Natural E Vegano</t>
  </si>
  <si>
    <t xml:space="preserve">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</t>
  </si>
  <si>
    <t>MLB2222333022</t>
  </si>
  <si>
    <t>MLB2897270137</t>
  </si>
  <si>
    <t>Óleo Essencial Artemísia 10ml Roll On - Puro E Natural</t>
  </si>
  <si>
    <t>Kit 3 Óleos Vegetais 10ml - Puro E Natural</t>
  </si>
  <si>
    <t>MLB7193069272</t>
  </si>
  <si>
    <t>MLB3881409895</t>
  </si>
  <si>
    <t>Pingente Prata 925 E Ouro 18k Com Ametista E Citrino Legítimos Amarelo</t>
  </si>
  <si>
    <t>MLB2222339549</t>
  </si>
  <si>
    <t>Perfume Ho Wood Elegante Feminino 100ml - Natural E Vegano</t>
  </si>
  <si>
    <t>MLB2897282023</t>
  </si>
  <si>
    <t>MLB2222339550</t>
  </si>
  <si>
    <t>Óleo Essencial Pimenta Rosa 10ml Roll On - Puro E Natural</t>
  </si>
  <si>
    <t>Óleo Vegetal De Castanha Do Pará - 10ml Puro E Natural</t>
  </si>
  <si>
    <t>MLB7294020674</t>
  </si>
  <si>
    <t>MLB3881422507</t>
  </si>
  <si>
    <t>Perfume Mandarina Verde Feminino 100ml - Natural E Vegano</t>
  </si>
  <si>
    <t>Pingente Prata Quartzo Rosa Colmeia Verdadeiro P. Vecchio Rosa-claro</t>
  </si>
  <si>
    <t>MLB2222351373</t>
  </si>
  <si>
    <t>MLB4217608334</t>
  </si>
  <si>
    <t>MLB2222357037</t>
  </si>
  <si>
    <t>MLB3881422513</t>
  </si>
  <si>
    <t>MLB7294395368</t>
  </si>
  <si>
    <t>Perfume Cedro Majestoso Masculino 100ml - Natural E Vegano</t>
  </si>
  <si>
    <t>Pingente Prata 925 Serpentinita Laranja - Natural E Legítima Dourado</t>
  </si>
  <si>
    <t>MLB2222357038</t>
  </si>
  <si>
    <t>Óleo Essencial Funcho Doce 10ml Roll On - Puro E Natural</t>
  </si>
  <si>
    <t>MLB2222381879</t>
  </si>
  <si>
    <t>MLB2754735965</t>
  </si>
  <si>
    <t>Manteiga De Karité 60gr - Hidratante Natural Para Pele</t>
  </si>
  <si>
    <t>MLB3881435381</t>
  </si>
  <si>
    <t>MLB2222387631</t>
  </si>
  <si>
    <t>Perfume Manjerona Herbal Masculino 100ml - Natural E Vegano</t>
  </si>
  <si>
    <t>Óleo Essencial Cipreste 10ml Roll On - Puro E Natural</t>
  </si>
  <si>
    <t>MLB2754755361</t>
  </si>
  <si>
    <t>Manteiga De Karité 30gr - Hidratante Natural Para Pele</t>
  </si>
  <si>
    <t>MLB2222393980</t>
  </si>
  <si>
    <t>MLB3881441029</t>
  </si>
  <si>
    <t>Perfume Laranja Doce Brilhante Homem 100ml Natural Vegano</t>
  </si>
  <si>
    <t>MLB2222412957</t>
  </si>
  <si>
    <t>MLB5828867578</t>
  </si>
  <si>
    <t>MLB2222431558</t>
  </si>
  <si>
    <t>MLB3881441037</t>
  </si>
  <si>
    <t>Perfume Laranja Amarga Solar Feminino 100ml Natural E Vegano</t>
  </si>
  <si>
    <t>MLB5829561114</t>
  </si>
  <si>
    <t>MLB2222431561</t>
  </si>
  <si>
    <t>Óleo Essencial Benjoim 10ml Roll On - Puro E Natural</t>
  </si>
  <si>
    <t>MLB3881453899</t>
  </si>
  <si>
    <t>MLB2223593381</t>
  </si>
  <si>
    <t>Perfume Olíbano Sagrado Feminino 100ml - Natural E Vegano</t>
  </si>
  <si>
    <t>Kit 4 Óleos Essenciais Super Refrescantes Roll On 10ml</t>
  </si>
  <si>
    <t>MLB2223599281</t>
  </si>
  <si>
    <t>Kit 4 Óleos Essenciais Bem Estar Roll On 10ml</t>
  </si>
  <si>
    <t>MLB3881453903</t>
  </si>
  <si>
    <t>Perfume Mandarina Verde Masculino 100ml - Natural E Vegano</t>
  </si>
  <si>
    <t>MLB2223599296</t>
  </si>
  <si>
    <t>Kit 3 Óleos Essênciais De Menta Arvensis, Spicata, Piperita</t>
  </si>
  <si>
    <t>MLB2223647804</t>
  </si>
  <si>
    <t>Kit 4 Óleos Essenciais Super Refrescantes 10ml</t>
  </si>
  <si>
    <t>MLB3885084087</t>
  </si>
  <si>
    <t>Perfume Cedro &amp; Canela 10ml - Roll On Feminino</t>
  </si>
  <si>
    <t>Anúncio sem descrição; Documento de Notificação/Comunicação prévia na Anvisa não preenchido; País de origem diferente de "Brasil"</t>
  </si>
  <si>
    <t>MLB2605616811</t>
  </si>
  <si>
    <t>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</si>
  <si>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Essência Para Aromatizador / Difusor Pura Vários Aromas 60ml</t>
  </si>
  <si>
    <t>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</t>
  </si>
  <si>
    <t>MLB3893055935</t>
  </si>
  <si>
    <t>MLB2605657871</t>
  </si>
  <si>
    <t>Perfume Menta Refrescante Masculino 100ml - Natural E Vegano Volume Da Unidade 100 Ml</t>
  </si>
  <si>
    <t>Essência Para Aromatizador /difusor Pura Vários Aromas 100ml</t>
  </si>
  <si>
    <t>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Código universal do produto (GTIN) não preenchido (texto de exemplo do ML ainda lá): Texto de exemplo do template não foi substituído pelo código real | Campo Marca em branco: Marca não preenchida | Código universal do produto (GTIN) não preenchido (texto de exemplo do ML ainda lá): Texto de exemplo do template não foi substituído pelo código real | Campo Marca em branco: Marca não preenchida | Campo Marca em branco: Marca não preenchida | Descrição menciona horário/prazo fixo de despacho: Descrição menciona horário/prazo de despacho fixo - texto operacional que pode ficar desatualizado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</t>
  </si>
  <si>
    <t>Título com mais de 60 caracteres: Título com 85 caracteres (limite ML=60) | Anúncio sem descrição: Descrição vazia | Documento de Notificação/Comunicação prévia na Anvisa não preenchido: Número de Notificação/Comunicação prévia na Anvisa não preenchido</t>
  </si>
  <si>
    <t>MLB2623556292</t>
  </si>
  <si>
    <t>Óleo Essencial Menta Piperita 10 Ml - Puro E Natural</t>
  </si>
  <si>
    <t>MLB3893097473</t>
  </si>
  <si>
    <t>Perfume Laranja Amarga Solar Masculino 100ml Natural Vegano Volume Da Unidade 100 Ml</t>
  </si>
  <si>
    <t>MLB2624974584</t>
  </si>
  <si>
    <t>Título com mais de 60 caracteres: Título com 84 caracteres (limite ML=60) | Anúncio sem descrição: Descrição vazia | Documento de Notificação/Comunicação prévia na Anvisa não preenchido: Número de Notificação/Comunicação prévia na Anvisa não preenchido</t>
  </si>
  <si>
    <t>MLB3893108259</t>
  </si>
  <si>
    <t>MLB2643155245</t>
  </si>
  <si>
    <t>Essência De Café Para Aromatizador / Difusor</t>
  </si>
  <si>
    <t>Perfume Eau De Parfum Gerânio Elegante Masculino De Essência Do Brasil 100 Ml</t>
  </si>
  <si>
    <t>MLB2643209318</t>
  </si>
  <si>
    <t>Essência De Mirra Indiana Para Aromatizador / Difusor</t>
  </si>
  <si>
    <t>MLB3893109745</t>
  </si>
  <si>
    <t>Perfume Olíbano Sagrado Masculino 100ml - Natural E Vegano Volume Da Unidade 100 Ml</t>
  </si>
  <si>
    <t>MLB2649720629</t>
  </si>
  <si>
    <t>Óleo Essencial De Poejo (pennyroyal) 10ml - Puro E Natural</t>
  </si>
  <si>
    <t>Título com mais de 60 caracteres: Título com 83 caracteres (limite ML=60) | Anúncio sem descrição: Descrição vazia | Documento de Notificação/Comunicação prévia na Anvisa não preenchido: Número de Notificação/Comunicação prévia na Anvisa não preenchido</t>
  </si>
  <si>
    <t>Excluído?</t>
  </si>
  <si>
    <t>MLB2649740012</t>
  </si>
  <si>
    <t>MLB3893112787</t>
  </si>
  <si>
    <t>Perfume Alecrim Imperial Masculino 100ml - Natural E Vegano Volume Da Unidade 100 Ml</t>
  </si>
  <si>
    <t>MLB2698153216</t>
  </si>
  <si>
    <t>Motivo</t>
  </si>
  <si>
    <t>Kit 8 Óleos Essenciais 10ml - Puros - Com Óleos Raros - Novo</t>
  </si>
  <si>
    <t>MLB3893120495</t>
  </si>
  <si>
    <t>MLB2705490043</t>
  </si>
  <si>
    <t>Perfume Patchouli Dark Misterioso Feminino 100ml - Natural Volume Da Unidade 100 Ml</t>
  </si>
  <si>
    <t>Não</t>
  </si>
  <si>
    <t>Óleo Essencial De Pimenta Preta 10ml - Puro E Natural Oferta</t>
  </si>
  <si>
    <t>MLB2660279120</t>
  </si>
  <si>
    <t>MLB2705804140</t>
  </si>
  <si>
    <t>Óleo Essencial De Eucalipto Globulus 10ml - Puro E Natural</t>
  </si>
  <si>
    <t>Bolsa De Lado Casual Em Couro Para Mulheres Elegantes</t>
  </si>
  <si>
    <t>Bolsas</t>
  </si>
  <si>
    <t>MLB3893121593</t>
  </si>
  <si>
    <t>MLB2720867067</t>
  </si>
  <si>
    <t>Categoria fora do negócio (roupas/acessórios que a Essência do Brasil / Ponte Vecchio Joias não vendem)</t>
  </si>
  <si>
    <t>Kit 4 Essências Aromatizador / Difusor Ambientes</t>
  </si>
  <si>
    <t>Perfume Bergamota Da Itália Masculino 100ml Natural E Vegano Volume Da Unidade 100 Ml</t>
  </si>
  <si>
    <t>MLB1944029503</t>
  </si>
  <si>
    <t>MLB2720877583</t>
  </si>
  <si>
    <t>Kit 6 Essências De Frutas Aromatizador Difusor Ambientes</t>
  </si>
  <si>
    <t>Calça Masculina Jogger - Estilo Militar</t>
  </si>
  <si>
    <t>Calças</t>
  </si>
  <si>
    <t>MLB3893127611</t>
  </si>
  <si>
    <t>MLB2720877584</t>
  </si>
  <si>
    <t>Novo Kit 6 Essências Aromatizador / Difusor Ambientes</t>
  </si>
  <si>
    <t>Perfume Orégano Gourmand Masculino 100ml - Natural E Vegano Volume Da Unidade 100 Ml</t>
  </si>
  <si>
    <t>MLB1771877485</t>
  </si>
  <si>
    <t>Kit 6 Camisas Xadrez Revenda Atacado - Todos Os Tamanhos</t>
  </si>
  <si>
    <t>MLB2720877586</t>
  </si>
  <si>
    <t>Camisas</t>
  </si>
  <si>
    <t>MLB2720903142</t>
  </si>
  <si>
    <t>MLB3893133587</t>
  </si>
  <si>
    <t>MLB1771914056</t>
  </si>
  <si>
    <t>Novo Kit 8 Essências Aromatizador / Difusor Ambientes</t>
  </si>
  <si>
    <t>Eau De Parfum Laranja Doce Brilhante Feminino, Da Essência Do Brasil, 100 Ml</t>
  </si>
  <si>
    <t>Kit 18 Camisas Sociais Xadrez + Listradas - Revenda Atacado</t>
  </si>
  <si>
    <t>MLB2720915829</t>
  </si>
  <si>
    <t>Novo Kit 10 Essências Aromatizador / Difusor Ambientes</t>
  </si>
  <si>
    <t>MLB1935369443</t>
  </si>
  <si>
    <t>MLB2751308882</t>
  </si>
  <si>
    <t>Kit 4 Camisetas Gola V Slim Fit Academia - 4 Cores</t>
  </si>
  <si>
    <t>Óleo Essencial Erva Doce 100ml - Puro E Natural Oferta</t>
  </si>
  <si>
    <t>MLB3893146841</t>
  </si>
  <si>
    <t>Camisetas</t>
  </si>
  <si>
    <t>Perfume Basilicão Masculino Essência Do Brasil, 100 Ml</t>
  </si>
  <si>
    <t>MLB2751333195</t>
  </si>
  <si>
    <t>MLB1935373431</t>
  </si>
  <si>
    <t>Óleo Essencial Cravo Botão 100ml - Puro E Natural</t>
  </si>
  <si>
    <t>Kit 4 Camisetas Modernas Casuais Gola Redonda - Estilo Urban</t>
  </si>
  <si>
    <t>MLB3893162293</t>
  </si>
  <si>
    <t>MLB2751339272</t>
  </si>
  <si>
    <t>Perfume Patchouli Dark Misterioso Masculino 100ml - Natural Volume Da Unidade 100 Ml</t>
  </si>
  <si>
    <t>Óleo Essencial Eucalipto Citriodora 100ml - Puro E Natural</t>
  </si>
  <si>
    <t>É nosso?</t>
  </si>
  <si>
    <t>Nome/Termo Encontrado</t>
  </si>
  <si>
    <t>MLB1935384069</t>
  </si>
  <si>
    <t>Onde apareceu</t>
  </si>
  <si>
    <t>MLB2751344698</t>
  </si>
  <si>
    <t>Kit 3 Camisetas Gola V Slim Fit Academia - 3 Cores</t>
  </si>
  <si>
    <t>Título/Campo (exemplo)</t>
  </si>
  <si>
    <t>Observação</t>
  </si>
  <si>
    <t>MLB3894225543</t>
  </si>
  <si>
    <t>Eau De Parfum Masculino Gerânio E Petitgrain Com Mini Perfume</t>
  </si>
  <si>
    <t>MLB2751381350</t>
  </si>
  <si>
    <t>Patricia Abravanel</t>
  </si>
  <si>
    <t>Campo técnico "Nome do perfume"</t>
  </si>
  <si>
    <t>MLB7147434132</t>
  </si>
  <si>
    <t>Título com mais de 60 caracteres: Título com 61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</si>
  <si>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MLB1944024982</t>
  </si>
  <si>
    <t>Perfume Essência do Brasil Almíscar Oriental &amp; Mirra 100ml + Mini 10ml</t>
  </si>
  <si>
    <t>Nome de celebridade real - não deveria estar em nenhum campo, mesmo técnico/interno</t>
  </si>
  <si>
    <t>Carteira Masculina Clássica Elegante - Café</t>
  </si>
  <si>
    <t>MLB2753361343</t>
  </si>
  <si>
    <t>Carteiras e porta-moedas</t>
  </si>
  <si>
    <t>Natura</t>
  </si>
  <si>
    <t>Campo Marca (ficha técnica)</t>
  </si>
  <si>
    <t>MLB3894251869</t>
  </si>
  <si>
    <t>Super Kit Revenda Com 50 Essências 10ml Para Aromatizador</t>
  </si>
  <si>
    <t>Perfume Masculino Essência Do Brasil Flor De Maçã Lima-limão 100ml</t>
  </si>
  <si>
    <t>Marca concorrente usada como Marca do produto e no título</t>
  </si>
  <si>
    <t>Obs: varredura automática rodou em todos os títulos e nomes técnicos das 24 categorias; nada além do acima pareceu nome de pessoa real (o resto era vocabulário de pedras, ingredientes e termos de marketing). Marque "Sim" se for produto/nome próprio, "Não" se precisar corrigir.</t>
  </si>
  <si>
    <t>Título com mais de 60 caracteres: Título com 66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</si>
  <si>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MLB2756028402</t>
  </si>
  <si>
    <t>MLB1944027679</t>
  </si>
  <si>
    <t>Carteira Masculina Em Couro Com Porta Cartão Extra</t>
  </si>
  <si>
    <t>MLB3894265785</t>
  </si>
  <si>
    <t>MLB2756041045</t>
  </si>
  <si>
    <t>Perfume Masculino Essência Do Brasil Bergamota Cipreste 100ml + Mini 10ml</t>
  </si>
  <si>
    <t>MLB1944031958</t>
  </si>
  <si>
    <t>MLB2756041047</t>
  </si>
  <si>
    <t>Carteira Masculina 100% Couro Brilhoda - Várias Divisórias</t>
  </si>
  <si>
    <t>MLB3894266655</t>
  </si>
  <si>
    <t>Kit Perfume Feminino Erva Doce E Laranja Doce 100ml Com Mini Perfume De 10ml</t>
  </si>
  <si>
    <t>MLB2756041049</t>
  </si>
  <si>
    <t>Anúncio sem descrição; Código universal do produto (GTIN) não preenchido (texto de exemplo do ML ainda lá); Documento de Notificação/Comunicação prévia na Anvisa não preenchido; Título com mais de 60 caracteres</t>
  </si>
  <si>
    <t>Título com mais de 60 caracteres: Título com 76 caracteres (limite ML=60) | Anúncio sem descrição: Descrição vazia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</si>
  <si>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MLB1934941557</t>
  </si>
  <si>
    <t>MLB2756047375</t>
  </si>
  <si>
    <t>Óculos Clássico Moderno Slim Com Armação Retângular - Prata</t>
  </si>
  <si>
    <t>Óculos de sol</t>
  </si>
  <si>
    <t>MLB3894276635</t>
  </si>
  <si>
    <t>Perfume Essência Do Brasil Rosa 27 60ml Vegano E Cruelty Free Floral</t>
  </si>
  <si>
    <t>MLB2756060420</t>
  </si>
  <si>
    <t>MLB1934949614</t>
  </si>
  <si>
    <t>Óculos De Sol Masculino Top Estiloso - Ideal Para Dirigir</t>
  </si>
  <si>
    <t>MLB2756060421</t>
  </si>
  <si>
    <t>Óleo Essencial Canela 10ml Roll On - Puro E Natural</t>
  </si>
  <si>
    <t>MLB3894276889</t>
  </si>
  <si>
    <t>Perfume Masculino De Laranja Doce E Hortelã Para Homens Com Mini Spray</t>
  </si>
  <si>
    <t>MLB2756060426</t>
  </si>
  <si>
    <t>Óleo Essencial Gengibre 10ml Roll On - Puro E Natural</t>
  </si>
  <si>
    <t>MLB2756060428</t>
  </si>
  <si>
    <t>MLB3894278527</t>
  </si>
  <si>
    <t>Óleo Essencial Grapefruit 10ml Roll On - Puro E Natural</t>
  </si>
  <si>
    <t>Perfume Masculino Palmarosa E Ylang Ylang Essência Do Brasil Com Mini Perfume De 10ml</t>
  </si>
  <si>
    <t>Título com mais de 60 caracteres: Título com 85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</si>
  <si>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MLB2756066741</t>
  </si>
  <si>
    <t>MLB3894279397</t>
  </si>
  <si>
    <t>MLB2756066746</t>
  </si>
  <si>
    <t>Perfume Essência Do Brasil Dama Da Noite &amp; Olíbano 100ml Amadeirado</t>
  </si>
  <si>
    <t>Título com mais de 60 caracteres: Título com 67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</si>
  <si>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MLB2756131603</t>
  </si>
  <si>
    <t>MLB3894279741</t>
  </si>
  <si>
    <t>Perfume Feminino Essência Do Brasil Laranja Doce E Mirra 100ml + Mini Perfume 10ml</t>
  </si>
  <si>
    <t>MLB2756138053</t>
  </si>
  <si>
    <t>Título com mais de 60 caracteres: Título com 82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</si>
  <si>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MLB2756210937</t>
  </si>
  <si>
    <t>Óleo Essencial Palmarosa 10ml Roll On - Puro E Natural</t>
  </si>
  <si>
    <t>MLB3894291315</t>
  </si>
  <si>
    <t>MLB2756217074</t>
  </si>
  <si>
    <t>Essência Do Brasil Perfume Masculino Deo Cologne Verbena &amp; Capim Limão 100ml C/ Mini 10ml</t>
  </si>
  <si>
    <t>Título com mais de 60 caracteres: Título com 89 caracteres (limite ML=60) | Tipo de perfume cadastrado diverge do que está no título/nome: Campo "Tipo de perfume" = "Deo cologne", mas título/nome menciona ['Água de colônia'] | País de origem diferente de "Brasil": País de origem = "(vazio)", deveria ser "Brasil" | Documento de Notificação/Comunicação prévia na Anvisa não preenchido: Número de Notificação/Comunicação prévia na Anvisa não preenchido</t>
  </si>
  <si>
    <t>MLB2756217092</t>
  </si>
  <si>
    <t>Óleo Essencial Sávia Sclarea 10ml Roll On - Puro E Natural</t>
  </si>
  <si>
    <t>MLB3894303291</t>
  </si>
  <si>
    <t>Perfume Masculino Lavanda E Cravo-da-índia Essência Do Brasil 100ml Com Mini</t>
  </si>
  <si>
    <t>MLB2791278516</t>
  </si>
  <si>
    <t>Título com mais de 60 caracteres: Título com 76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</si>
  <si>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MLB2791278520</t>
  </si>
  <si>
    <t>MLB3906450765</t>
  </si>
  <si>
    <t>Perfume Essência Do Brasil Flor De Jasmim &amp; Mirra 100ml + Mini 10ml</t>
  </si>
  <si>
    <t>MLB2791310809</t>
  </si>
  <si>
    <t>Kit 4 Essências Aromatizador / Difusor 10ml - 4 Chás</t>
  </si>
  <si>
    <t>MLB2791310810</t>
  </si>
  <si>
    <t>MLB3906452577</t>
  </si>
  <si>
    <t>Kit 3 Óleos Essenciais Roll On Eucaliptos 10ml</t>
  </si>
  <si>
    <t>Perfume Masculino Cedro &amp; Limão Siciliano Com Mini De 10ml - Essência Do Brasil</t>
  </si>
  <si>
    <t>Título com mais de 60 caracteres: Título com 79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</si>
  <si>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MLB2791323625</t>
  </si>
  <si>
    <t>Kit 4 Essências Aromatizador / Difusor 10ml - Gourmand</t>
  </si>
  <si>
    <t>MLB3906469329</t>
  </si>
  <si>
    <t>MLB2791323633</t>
  </si>
  <si>
    <t>Eau De Parfum Feminino Essência Do Brasil Gerânio E Laranja Doce C/ Spray 100ml E Mini 10ml</t>
  </si>
  <si>
    <t>Kit 4 Essências Aromatizador / Difusor 10ml Frutas Vermelhas</t>
  </si>
  <si>
    <t>Título com mais de 60 caracteres: Título com 91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</si>
  <si>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MLB2838674770</t>
  </si>
  <si>
    <t>MLB3906476677</t>
  </si>
  <si>
    <t>Perfume Gerânio Elegante Feminino 100ml - Natural E Vegano Volume Da Unidade 100 Ml</t>
  </si>
  <si>
    <t>MLB2838681242</t>
  </si>
  <si>
    <t>Título com mais de 60 caracteres: Título com 83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</si>
  <si>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MLB2897253409</t>
  </si>
  <si>
    <t>Kit 2 Óleos Essenciais Eucalipto E Alecrim Roll On 10ml Puro</t>
  </si>
  <si>
    <t>MLB3906489689</t>
  </si>
  <si>
    <t>MLB2897253465</t>
  </si>
  <si>
    <t>Eau De Parfum Ho Wood Elegante Essência Do Brasil, 100 Ml</t>
  </si>
  <si>
    <t>Kit Óleo Essencial Hortelã + Óleo Vegetal Rosa Mosqueta 10ml</t>
  </si>
  <si>
    <t>Revisado?</t>
  </si>
  <si>
    <t>Categoria (Mercado Livre)</t>
  </si>
  <si>
    <t>MLB2897253466</t>
  </si>
  <si>
    <t>Marca Própria Esperada</t>
  </si>
  <si>
    <t>Título (repetido)</t>
  </si>
  <si>
    <t>Kit 2 Óleos Essenciais Laranja Amarga Roll On 10ml - Puro</t>
  </si>
  <si>
    <t>Ativos</t>
  </si>
  <si>
    <t>MLB3906528765</t>
  </si>
  <si>
    <t>Inativos</t>
  </si>
  <si>
    <t>Eau De Parfum Wintergreen Essência Do Brasil Para Mulher 100 Ml</t>
  </si>
  <si>
    <t>MLB2897258361</t>
  </si>
  <si>
    <t>% do Catálogo</t>
  </si>
  <si>
    <t>Perfumes</t>
  </si>
  <si>
    <t>Ação Decidida</t>
  </si>
  <si>
    <t>MLB2897258363</t>
  </si>
  <si>
    <t>Essência do Brasil</t>
  </si>
  <si>
    <t>MLB3907568395</t>
  </si>
  <si>
    <t>Kit Óleo Essencial Alecrim + Óleo Vegetal Rosa Mosqueta 10ml</t>
  </si>
  <si>
    <t>Perfume Mandarina Verde Masculino 100ml - Natural E Vegano Volume Da Unidade 100 Ml</t>
  </si>
  <si>
    <t>MLB2897258367</t>
  </si>
  <si>
    <t>Kit Óleo Essencial Laranja + Óleo Vegetal Rosa Mosqueta 10ml</t>
  </si>
  <si>
    <t>MLB3907600899</t>
  </si>
  <si>
    <t>MLB2897264536</t>
  </si>
  <si>
    <t>Kit 2 Óleos Essenciais Melaleuca E Alecrim Roll On 10ml</t>
  </si>
  <si>
    <t>Eau De Parfum Laranja Amarga Solar Essência Do Brasil Feminino 100 Ml</t>
  </si>
  <si>
    <t>Título com mais de 60 caracteres: Título com 69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</si>
  <si>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Óleos essenciais</t>
  </si>
  <si>
    <t>MLB2897264541</t>
  </si>
  <si>
    <t>Kit Óleo Essencial Lavandim + Óleo Vegetal R. Mosqueta 10ml</t>
  </si>
  <si>
    <t>MLB3907738555</t>
  </si>
  <si>
    <t>Perfume May Chang Da China 100ml Essência Do Brasil Natural E Vegano</t>
  </si>
  <si>
    <t>MLB2897264546</t>
  </si>
  <si>
    <t>Kit Óleo Essencial Pimenta Rosa + Roll On 10ml - Puro</t>
  </si>
  <si>
    <t>Título com mais de 60 caracteres: Título com 68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</si>
  <si>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Pingentes</t>
  </si>
  <si>
    <t>Ponte Vecchio Joias</t>
  </si>
  <si>
    <t>MLB2897264550</t>
  </si>
  <si>
    <t>Kit Óleo Essencial Limão + Óleo Vegetal Rosa Mosqueta 10ml</t>
  </si>
  <si>
    <t>MLB3911295223</t>
  </si>
  <si>
    <t>Colares</t>
  </si>
  <si>
    <t>MLB2897270029</t>
  </si>
  <si>
    <t>Perfume Anis Estrelado Feminino 100ml - Natural E Vegano Volume Da Unidade 100 Ml</t>
  </si>
  <si>
    <t>Kit Óleo Essencial Menta Spicata + Roll On 10ml - Puro</t>
  </si>
  <si>
    <t>MLB2897270033</t>
  </si>
  <si>
    <t>Produtos de cuidado facial</t>
  </si>
  <si>
    <t>Kit Óleo Essencial Menta Piperita + Roll On 10ml - Puro</t>
  </si>
  <si>
    <t>MLB3917233979</t>
  </si>
  <si>
    <t>Perfume Ibiza 60ml Masculino Frutal Refrescante Essência Do Brasil</t>
  </si>
  <si>
    <t>MLB2897270166</t>
  </si>
  <si>
    <t>Kit 2 Óleos Essenciais Eucalipto Roll On 10ml Puro E Natural</t>
  </si>
  <si>
    <t>Brincos</t>
  </si>
  <si>
    <t>MLB2897276438</t>
  </si>
  <si>
    <t>MLB3917244921</t>
  </si>
  <si>
    <t>Difusores de varetas</t>
  </si>
  <si>
    <t>MLB2897276440</t>
  </si>
  <si>
    <t>Kit 3 Óleos Essenciais 10ml - Alecrim, Hortelã, Melaleuca</t>
  </si>
  <si>
    <t>Perfume Masculino Essência Do Brasil Cravo Da Índia Natural Eau De Toilette 100ml</t>
  </si>
  <si>
    <t>MLB2897281918</t>
  </si>
  <si>
    <t>Kits de cuidados com a pele</t>
  </si>
  <si>
    <t>Kit Óleo Essencial Cravo Folha + Roll On 10ml - Puro Natural</t>
  </si>
  <si>
    <t>MLB3917247267</t>
  </si>
  <si>
    <t>MLB2897281924</t>
  </si>
  <si>
    <t>Kit Óleo Essen. Eucalipto + Óleo Vegetal Rosa Mosqueta 10ml</t>
  </si>
  <si>
    <t>MLB7294020546</t>
  </si>
  <si>
    <t>Perfume Essência Do Brasil Cravo Da Índia &amp; Canela Eau De Toilette 100ml</t>
  </si>
  <si>
    <t>Artigos para o cuidado com a pele</t>
  </si>
  <si>
    <t>MLB2897288205</t>
  </si>
  <si>
    <t>Perfume Almíscar Clássico 100ml</t>
  </si>
  <si>
    <t>MLB2897288208</t>
  </si>
  <si>
    <t>Pulseiras e tornozeleiras</t>
  </si>
  <si>
    <t>MLB1490223444</t>
  </si>
  <si>
    <t>Kit Óleo Essencial Laranja Amarga + Roll On 10ml - Puro</t>
  </si>
  <si>
    <t>MLB3917250805</t>
  </si>
  <si>
    <t>Eau De Toilette Essência Do Brasil Benjoim &amp; Sândalo Feminino 100 Ml</t>
  </si>
  <si>
    <t>MLB2897288211</t>
  </si>
  <si>
    <t>Anúncio sem descrição; Documento de Notificação/Comunicação prévia na Anvisa não preenchido; País de origem diferente de "Brasil"; Título com mais de 60 caracteres</t>
  </si>
  <si>
    <t>Kit 2 Óleos Essenciais Menta Piperita E Laranja Roll On 10ml</t>
  </si>
  <si>
    <t>Jóias</t>
  </si>
  <si>
    <t>Título com mais de 60 caracteres: Título com 68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</si>
  <si>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MLB5194670414</t>
  </si>
  <si>
    <t>MLB2897288307</t>
  </si>
  <si>
    <t>Kit 2 Óleos Essenciais Menta Piperita E Lavandin Rollon 10ml</t>
  </si>
  <si>
    <t>MLB3917256401</t>
  </si>
  <si>
    <t>Anéis</t>
  </si>
  <si>
    <t>Perfume Feminino Essência Do Brasil Eau De Toilette Baunilha Limão Siciliano 100ml</t>
  </si>
  <si>
    <t>MLB2897294404</t>
  </si>
  <si>
    <t>Kit Óleo Essencial Lemongrass + Roll On 10ml Puro E Natural</t>
  </si>
  <si>
    <t>MLB1490263037</t>
  </si>
  <si>
    <t>Título com mais de 60 caracteres: Título com 82 caracteres (limite ML=60) | Anúncio sem descrição: Descrição vazia | Documento de Notificação/Comunicação prévia na Anvisa não preenchido: Número de Notificação/Comunicação prévia na Anvisa não preenchido</t>
  </si>
  <si>
    <t>Difusores de aromas elétricos, umidificadores e vaporizadores</t>
  </si>
  <si>
    <t>MLB2897294466</t>
  </si>
  <si>
    <t>MLB3917263539</t>
  </si>
  <si>
    <t>Kit Óleo Essen. Melaleuca + Óleo Vegetal Rosa Mosqueta 10ml</t>
  </si>
  <si>
    <t>Eau De Toilette Essência Do Brasil Profumo 921 Unissex 65ml Bergamota</t>
  </si>
  <si>
    <t>Produtos para o cuidado corporal</t>
  </si>
  <si>
    <t>MLB3988622378</t>
  </si>
  <si>
    <t>MLB2897300742</t>
  </si>
  <si>
    <t>Kit Óleo Essencial Hortelã Pimenta + Roll On 10ml - Puro</t>
  </si>
  <si>
    <t>Pedras preciosas e semipreciosas</t>
  </si>
  <si>
    <t>MLB2897300907</t>
  </si>
  <si>
    <t>MLB3917277623</t>
  </si>
  <si>
    <t>Kit 2 Óleos Essenciais Alecrim E Lavandin Roll On 10ml Puro</t>
  </si>
  <si>
    <t>Perfume Essência Do Brasil Feromônio Eros + Afrodite 65ml Amadeirado Floral</t>
  </si>
  <si>
    <t>MLB2897306359</t>
  </si>
  <si>
    <t>Kit 2 Óleos Essenciais Alecrim Roll On 10ml - Puro E Natural</t>
  </si>
  <si>
    <t>Tratamentos para cabelo</t>
  </si>
  <si>
    <t>MLB7294020554</t>
  </si>
  <si>
    <t>MLB2897306365</t>
  </si>
  <si>
    <t>MLB3917284459</t>
  </si>
  <si>
    <t>Kit Óleo Essencial Melaleuca + Roll On 10ml - Puro E Natural</t>
  </si>
  <si>
    <t>Perfume Saudável Feminino Notas De Alecrim 100ml - Natural</t>
  </si>
  <si>
    <t>MLB1499760488</t>
  </si>
  <si>
    <t>Eau De Toilette Essência Do Brasil Artemísia E Flor Angélica Feminino Com Mini Perfume</t>
  </si>
  <si>
    <t>MLB2932763483</t>
  </si>
  <si>
    <t>Óleo Menta Piperita Com Rosa Mosqueta 60ml - Pronto Para Uso</t>
  </si>
  <si>
    <t>Título com mais de 60 caracteres: Título com 86 caracteres (limite ML=60) | Anúncio sem descrição: Descrição vazia | Documento de Notificação/Comunicação prévia na Anvisa não preenchido: Número de Notificação/Comunicação prévia na Anvisa não preenchido</t>
  </si>
  <si>
    <t>⚠️ Fora do negócio</t>
  </si>
  <si>
    <t>MLB3742663366</t>
  </si>
  <si>
    <t>MLB2932788120</t>
  </si>
  <si>
    <t>Óleo De Melaleuca Com Rosa Mosqueta 60ml - Pronto Para Uso</t>
  </si>
  <si>
    <t>MLB3917286889</t>
  </si>
  <si>
    <t>Eau De Toilette Masculino 60ml Essência Do Brasil Aquático Refrescante</t>
  </si>
  <si>
    <t>MLB2932830015</t>
  </si>
  <si>
    <t>Óleo De Alecrim Com Rosa Mosqueta 60ml - Pronto Para Uso</t>
  </si>
  <si>
    <t>MLB7294020562</t>
  </si>
  <si>
    <t>MLB2932830022</t>
  </si>
  <si>
    <t>Óleo Menta Piperita Com Rosa Mosqueta 30ml - Pronto Para Uso</t>
  </si>
  <si>
    <t>Perfume Almíscar Bleu 100ml + Mini Perfume 10ml</t>
  </si>
  <si>
    <t>MLB3917314647</t>
  </si>
  <si>
    <t>MLB2028020142</t>
  </si>
  <si>
    <t>Eau De Toilette Feminino Essência Do Brasil Cedro Patchouli 100ml Spray</t>
  </si>
  <si>
    <t>MLB2932836271</t>
  </si>
  <si>
    <t>Óleo De Cravo Com Rosa Mosqueta 30ml - Pronto Para Uso</t>
  </si>
  <si>
    <t>Concentrados de feromônios</t>
  </si>
  <si>
    <t>MLB2932848311</t>
  </si>
  <si>
    <t>MLB2026573213</t>
  </si>
  <si>
    <t>Óleo De Lavandim Com Rosa Mosqueta 60ml - Pronto Para Uso</t>
  </si>
  <si>
    <t>MLB3917334291</t>
  </si>
  <si>
    <t>MLB2932848313</t>
  </si>
  <si>
    <t>Perfume Masculino Shukran Eau De Toilette 100ml Por Essência Do Brasil</t>
  </si>
  <si>
    <t>MLB4674215068</t>
  </si>
  <si>
    <t>MLB2932854573</t>
  </si>
  <si>
    <t>Óleo De Lavandim Com Rosa Mosqueta 30ml - Pronto Para Uso</t>
  </si>
  <si>
    <t>MLB3037062910</t>
  </si>
  <si>
    <t>MLB3917486053</t>
  </si>
  <si>
    <t>Óleo Essencial Lavanda Francesa 10ml - Puro E Natural</t>
  </si>
  <si>
    <t>Perfume Feminino Essência Do Brasil Palmarosa E Benjoim Com Miniatura</t>
  </si>
  <si>
    <t>Título com mais de 60 caracteres: Título com 69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</si>
  <si>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MLB3037088638</t>
  </si>
  <si>
    <t>MLB2026040298</t>
  </si>
  <si>
    <t>MLB3151356542</t>
  </si>
  <si>
    <t>MLB3917486793</t>
  </si>
  <si>
    <t>Óleo Essencial Hortelã Pimenta 20ml - Puro E Natural</t>
  </si>
  <si>
    <t>Perfume Cedro &amp; Madeira Nobre Essência Do Brasil 100ml + Mini 10ml Spray</t>
  </si>
  <si>
    <t>TOTAL</t>
  </si>
  <si>
    <t>Título com mais de 60 caracteres: Título com 72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</si>
  <si>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MLB3151356551</t>
  </si>
  <si>
    <t>Óleo Essencial Canela  20ml - Puro E Natural</t>
  </si>
  <si>
    <t>MLB3151356578</t>
  </si>
  <si>
    <t>MLB3917489431</t>
  </si>
  <si>
    <t>23 categorias diferentes cadastradas no Mercado Livre para 6549 anúncios - várias têm poucos itens (cauda longa). Linhas em laranja = categorias fora do negócio (candidatas a exclusão, ver aba Descontinuar).</t>
  </si>
  <si>
    <t>Perfume Feminino Essência Do Brasil Com Baunilha E Eucalipto 100 Ml</t>
  </si>
  <si>
    <t>MLB3151356579</t>
  </si>
  <si>
    <t>Óleo Essencial Mandarina 20ml - Puro E Natural</t>
  </si>
  <si>
    <t>MLB3917500603</t>
  </si>
  <si>
    <t>MLB3151362992</t>
  </si>
  <si>
    <t>Óleo Essencial Laranja Doce 20ml - Puro E Natural</t>
  </si>
  <si>
    <t>Perfume Feminino Essência Do Brasil Gerânio E Palmarosa De 100 Ml Com Miniatura De 10 Ml</t>
  </si>
  <si>
    <t>MLB2217254546</t>
  </si>
  <si>
    <t>MLB3151362996</t>
  </si>
  <si>
    <t>Título com mais de 60 caracteres: Título com 88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</si>
  <si>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Óleo Essencial Limão Siciliano 20ml - Puro E Natural</t>
  </si>
  <si>
    <t>MLB3151362997</t>
  </si>
  <si>
    <t>Óleo Essencial Alfazema 20ml - Puro E Natural</t>
  </si>
  <si>
    <t>MLB3917503039</t>
  </si>
  <si>
    <t>Perfume Feminino Lemongrass E Madeira Nobre De Essência Do Brasil 100ml Com Mini</t>
  </si>
  <si>
    <t>MLB3151363014</t>
  </si>
  <si>
    <t>Óleo Essencial Lemongrass  20ml - Puro E Natural</t>
  </si>
  <si>
    <t>MLB2200214425</t>
  </si>
  <si>
    <t>MLB3151363016</t>
  </si>
  <si>
    <t>Título com mais de 60 caracteres: Título com 80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</si>
  <si>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Óleo Essencial Lavandim Grosso 20ml - Puro E Natural</t>
  </si>
  <si>
    <t>MLB3151369098</t>
  </si>
  <si>
    <t>Óleo Essencial Manjerona 20ml - Puro E Natural</t>
  </si>
  <si>
    <t>MLB3917526833</t>
  </si>
  <si>
    <t>MLB2207499118</t>
  </si>
  <si>
    <t>Essência Do Brasil Perfume Notas De Alecrim &amp; Canela 100ml Eau De Toilette</t>
  </si>
  <si>
    <t>MLB3151375408</t>
  </si>
  <si>
    <t>Óleo Essencial Eucalipto Citriodora 20ml - Puro E Natural</t>
  </si>
  <si>
    <t>Título com mais de 60 caracteres: Título com 74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</si>
  <si>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MLB3151375409</t>
  </si>
  <si>
    <t>MLB3580542541</t>
  </si>
  <si>
    <t>Óleo Essencial Eucalipto Globulus 20ml - Puro E Natural</t>
  </si>
  <si>
    <t>MLB3917578643</t>
  </si>
  <si>
    <t>MLB3151375410</t>
  </si>
  <si>
    <t>Perfume Feminino Essência Do Brasil Com Notas De Alecrim E Olíbano</t>
  </si>
  <si>
    <t>Óleo Essencial Zimbro (junípero) 20ml - Puro E Natural</t>
  </si>
  <si>
    <t>Título com mais de 60 caracteres: Título com 66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</si>
  <si>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MLB3151375428</t>
  </si>
  <si>
    <t>Óleo Essencial Melaleuca 20ml - Puro E Natural</t>
  </si>
  <si>
    <t>MLB3917605385</t>
  </si>
  <si>
    <t>MLB3151381721</t>
  </si>
  <si>
    <t>Óleo Essencial Noz Moscada 20ml - Puro E Natural</t>
  </si>
  <si>
    <t>Perfume Feminino Cedro E Capim Limão 100ml Com Mini Perfume De 10ml Essência Do Brasil</t>
  </si>
  <si>
    <t>Título com mais de 60 caracteres: Título com 86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</si>
  <si>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MLB3151381746</t>
  </si>
  <si>
    <t>Óleo Essencial Pinho Sibéria 20ml - Puro E Natural</t>
  </si>
  <si>
    <t>MLB3151387980</t>
  </si>
  <si>
    <t>MLB3918290873</t>
  </si>
  <si>
    <t>Óleo Essencial Sálvia Sclarea 20ml - Puro E Natural</t>
  </si>
  <si>
    <t>Eau De Toilette Essência Do Brasil Cedro Masculino 100 Ml</t>
  </si>
  <si>
    <t>MLB4901797141</t>
  </si>
  <si>
    <t>MLB3151387989</t>
  </si>
  <si>
    <t>Óleo Essencial Cânfora Branca 20ml - Puro E Natural</t>
  </si>
  <si>
    <t>MLB3151388006</t>
  </si>
  <si>
    <t>MLB3580580691</t>
  </si>
  <si>
    <t>MLB3918298685</t>
  </si>
  <si>
    <t>Óleo Essencial Patchouli Dark 20ml - Puro E Natural</t>
  </si>
  <si>
    <t>Perfume Masculino Sândalo 100ml Volume Da Unidade 100 Ml</t>
  </si>
  <si>
    <t>MLB3151394190</t>
  </si>
  <si>
    <t>Óleo Essencial Copaíba 20ml - Puro E Natural</t>
  </si>
  <si>
    <t>MLB3151464644</t>
  </si>
  <si>
    <t>MLB3919386031</t>
  </si>
  <si>
    <t>Óleo Essencial Benjoim  20ml - Puro E Natural</t>
  </si>
  <si>
    <t>Perfume Masculino Flor De Jasmim E Sálvia Essência Do Brasil 100 Ml</t>
  </si>
  <si>
    <t>MLB3151541919</t>
  </si>
  <si>
    <t>Título com mais de 60 caracteres: Título com 67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</si>
  <si>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MLB3715658215</t>
  </si>
  <si>
    <t>Óleo Essencial Limão Tahiti 20ml - Puro E Natural</t>
  </si>
  <si>
    <t>MLB3151606448</t>
  </si>
  <si>
    <t>MLB3921633801</t>
  </si>
  <si>
    <t>Óleo Essencial Artemísia Marrocos 20ml - Puro E Natural</t>
  </si>
  <si>
    <t>Perfume Masculino Patchouli 100ml Essência Do Brasil Amadeirado Natural</t>
  </si>
  <si>
    <t>MLB3151606451</t>
  </si>
  <si>
    <t>Óleo Essencial Tomilho Branco 20ml - Puro E Natural</t>
  </si>
  <si>
    <t>MLB3151606454</t>
  </si>
  <si>
    <t>MLB3922259429</t>
  </si>
  <si>
    <t>Óleo Essencial Litsea Cubeba 20ml - Puro E Natural</t>
  </si>
  <si>
    <t>Eau De Toilette Essência Do Brasil Profumo 178 Feminino 65ml Spray</t>
  </si>
  <si>
    <t>MLB3151606455</t>
  </si>
  <si>
    <t>Óleo Essencial Ylang Ylang 20ml - Puro E Natural</t>
  </si>
  <si>
    <t>MLB3151638297</t>
  </si>
  <si>
    <t>MLB3923835979</t>
  </si>
  <si>
    <t>Óleo Essencial Cedro Atlas 20ml - Puro E Natural</t>
  </si>
  <si>
    <t>Perfume Masculino Patchouli Essência Do Brasil 100ml Eau De Toilette</t>
  </si>
  <si>
    <t>MLB3151638300</t>
  </si>
  <si>
    <t>Óleo Essencial Orégano 20ml - Puro E Natural</t>
  </si>
  <si>
    <t>MLB3151638320</t>
  </si>
  <si>
    <t>Óleo Essencial Laranja Amarga 20ml - Puro E Natural</t>
  </si>
  <si>
    <t>MLB3923846095</t>
  </si>
  <si>
    <t>Perfume Feminino Essência Do Brasil Profumo 145 65ml Pêra Maçã Dama Da Noite</t>
  </si>
  <si>
    <t>MLB3243216273</t>
  </si>
  <si>
    <t>Kit 100 Óleos - Revenda E Festa - Você Escolhe</t>
  </si>
  <si>
    <t>MLB3249052511</t>
  </si>
  <si>
    <t>MLB3927894941</t>
  </si>
  <si>
    <t>Óleo De Laranja Doce 10ml Roll On- Com Rosa Mosqueta- Pronto</t>
  </si>
  <si>
    <t>Essência Do Brasil Perfume Baunilha &amp; Grapefruit 100ml + Mini 10ml</t>
  </si>
  <si>
    <t>MLB3249052523</t>
  </si>
  <si>
    <t>Óleo De Alfazema 10ml Roll On- Com Rosa Mosqueta- Pronto Uso</t>
  </si>
  <si>
    <t>MLB3249052525</t>
  </si>
  <si>
    <t>Óleo De Eucalipto Citriodora 10ml Roll On- Com Rosa Mosqueta</t>
  </si>
  <si>
    <t>MLB3927895157</t>
  </si>
  <si>
    <t>Deo Colônia Feminina Essência Do Brasil Laranja Doce E Erva Doce 100ml Com Mini</t>
  </si>
  <si>
    <t>MLB3249052537</t>
  </si>
  <si>
    <t>Óleo De Manjerona 10ml Roll On- Com Rosa Mosqueta - Pronto</t>
  </si>
  <si>
    <t>Título com mais de 60 caracteres: Título com 79 caracteres (limite ML=60) | Tipo de perfume cadastrado diverge do que está no título/nome: Campo "Tipo de perfume" = "Deo cologne", mas título/nome menciona ['Água de colônia'] | País de origem diferente de "Brasil": País de origem = "(vazio)", deveria ser "Brasil" | Documento de Notificação/Comunicação prévia na Anvisa não preenchido: Número de Notificação/Comunicação prévia na Anvisa não preenchido</t>
  </si>
  <si>
    <t>MLB1857841583</t>
  </si>
  <si>
    <t>MLB3249074695</t>
  </si>
  <si>
    <t>MLB3929834399</t>
  </si>
  <si>
    <t>Óleo De Mandarina 10ml Roll On- Com Rosa Mosqueta - Pronto</t>
  </si>
  <si>
    <t>Perfume Feminino Essência Do Brasil Eden Jardim 100ml E Jasmine Floral</t>
  </si>
  <si>
    <t>MLB3249074705</t>
  </si>
  <si>
    <t>Óleo De Ylang Ylang 10ml Roll On- Com Rosa Mosqueta - Pronto</t>
  </si>
  <si>
    <t>MLB3249084741</t>
  </si>
  <si>
    <t>Óleo De Óregano 10ml Roll On- Com Rosa Mosqueta - Pronto Uso</t>
  </si>
  <si>
    <t>MLB3934010619</t>
  </si>
  <si>
    <t>Perfume Masculino Essência Do Brasil Profumo 696 Eau De Toilette 65ml</t>
  </si>
  <si>
    <t>MLB3249084747</t>
  </si>
  <si>
    <t>Óleo De Cânfora 10ml Roll On- Com Rosa Mosqueta - Pronto Uso</t>
  </si>
  <si>
    <t>MLB3249084751</t>
  </si>
  <si>
    <t>Óleo De Copaíba 10ml Roll On- Com Rosa Mosqueta - Pronto Uso</t>
  </si>
  <si>
    <t>MLB3938447261</t>
  </si>
  <si>
    <t>Perfume Amadeirado Masculino Essência Do Brasil Eau De Toilette 100ml Spray</t>
  </si>
  <si>
    <t>MLB3249084753</t>
  </si>
  <si>
    <t>Óleo De Melaleuca 10ml Roll On- Com Rosa Mosqueta - Pronto</t>
  </si>
  <si>
    <t>Perfume Feromônio Masculino Eros - Amadeirado Marcante</t>
  </si>
  <si>
    <t>MLB1956073673</t>
  </si>
  <si>
    <t>MLB3249084767</t>
  </si>
  <si>
    <t>Óleo De Laranja Amarga 10ml Roll On C\ Rosa Mosqueta- Pronto</t>
  </si>
  <si>
    <t>MLB3938821737</t>
  </si>
  <si>
    <t>MLB3249084769</t>
  </si>
  <si>
    <t>Eau De Toilette Masculino Essência Do Brasil Profumo 709 65ml Cedro Violeta</t>
  </si>
  <si>
    <t>Óleo De Tomilho 10ml Roll On- Com Rosa Mosqueta - Pronto Uso</t>
  </si>
  <si>
    <t>MLB1857264245</t>
  </si>
  <si>
    <t>MLB3249084773</t>
  </si>
  <si>
    <t>MLB3939315091</t>
  </si>
  <si>
    <t>MLB3249084783</t>
  </si>
  <si>
    <t>Perfume Gengibre &amp; Capim Limão 100ml Masculino + Presente</t>
  </si>
  <si>
    <t>Óleo De Cedro Da Virgínia 10ml Roll On- Com Rosa Mosqueta</t>
  </si>
  <si>
    <t>MLB3249095293</t>
  </si>
  <si>
    <t>Óleo De Zímbro 10ml Roll On- Com Rosa Mosqueta - Pronto Uso</t>
  </si>
  <si>
    <t>MLB3939951019</t>
  </si>
  <si>
    <t>MLB3274324170</t>
  </si>
  <si>
    <t>Óleo De Cravo Folha 10ml Roll On- Com Rosa Mosqueta - Pronto</t>
  </si>
  <si>
    <t>Perfume Patchouli Coffee 100ml + Mini 10ml Essência Do Brasil Masculino</t>
  </si>
  <si>
    <t>Perfume Patchouli Puro Masculino - Spray Portátil 10ml</t>
  </si>
  <si>
    <t>Título com mais de 60 caracteres: Título com 71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</si>
  <si>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MLB3274324172</t>
  </si>
  <si>
    <t>MLB3446635431</t>
  </si>
  <si>
    <t>Óleo De Menta Spicata 10ml Roll On- C\ Rosa Mosqueta- Pronto</t>
  </si>
  <si>
    <t>MLB3274324174</t>
  </si>
  <si>
    <t>MLB3939973309</t>
  </si>
  <si>
    <t>Óleo De Limão Tahiti 10ml Roll On- Com Rosa Mosqueta- Pronto</t>
  </si>
  <si>
    <t>Perfume Roses Clássico Feminino Floral Natural 30ml Volume Da Unidade 30 Ml</t>
  </si>
  <si>
    <t>MLB3506150347</t>
  </si>
  <si>
    <t>MLB3274324184</t>
  </si>
  <si>
    <t>Óleo De Noz Moscada 10ml Roll On- Com Rosa Mosqueta - Pronto</t>
  </si>
  <si>
    <t>MLB3274324202</t>
  </si>
  <si>
    <t>MLB3940436405</t>
  </si>
  <si>
    <t>Óleo De Lemongrass 10ml Roll On- Com Rosa Mosqueta - Pronto</t>
  </si>
  <si>
    <t>Eau De Toilette Essência Do Brasil Patchouli Nomad + Coffee 100ml</t>
  </si>
  <si>
    <t>MLB3274411910</t>
  </si>
  <si>
    <t>Óleo De Litsea 10ml Roll On- Com Rosa Mosqueta - Pronto Uso</t>
  </si>
  <si>
    <t>MLB3274411914</t>
  </si>
  <si>
    <t>MLB3942751103</t>
  </si>
  <si>
    <t>Óleo De Wintergreen 10ml Roll On- Com Rosa Mosqueta - Pronto</t>
  </si>
  <si>
    <t>Perfume Masculino Eau De Parfum Almíscar Absolu 100ml Essência Do Brasil</t>
  </si>
  <si>
    <t>Ano de lançamento preenchido (deveria ficar em branco); Anúncio sem descrição; Documento de Notificação/Comunicação prévia na Anvisa não preenchido; Título com mais de 60 caracteres</t>
  </si>
  <si>
    <t>MLB3274411916</t>
  </si>
  <si>
    <t>Perfume Com Ferômonios Attraction 100ml - Feminino</t>
  </si>
  <si>
    <t>Título com mais de 60 caracteres: Título com 72 caracteres (limite ML=60) | Anúncio sem descrição: Descrição vazia | Ano de lançamento preenchido (deveria ficar em branco): Ano de lançamento preenchido ("2005") - regra do negócio é deixar em branco | Documento de Notificação/Comunicação prévia na Anvisa não preenchido: Número de Notificação/Comunicação prévia na Anvisa não preenchido</t>
  </si>
  <si>
    <t>MLB4559379076</t>
  </si>
  <si>
    <t>Óleo De Ho Wood 10ml Roll On- Com Rosa Mosqueta - Pronto Uso</t>
  </si>
  <si>
    <t>MLB3274411928</t>
  </si>
  <si>
    <t>MLB3944405471</t>
  </si>
  <si>
    <t>Óleo De Pimenta Preta 10ml Roll On- C\ Rosa Mosqueta- Pronto</t>
  </si>
  <si>
    <t>Perfume Eau De Toilette Essência Do Brasil Alfazema &amp; Mirra 100 Ml Para Mulheres</t>
  </si>
  <si>
    <t>MLB2207528535</t>
  </si>
  <si>
    <t>MLB3274411954</t>
  </si>
  <si>
    <t>Óleo De Cedro Atlas 10ml Roll On- Com Rosa Mosqueta - Pronto</t>
  </si>
  <si>
    <t>Kit Óleo Essencial Palmarosa + Óleo Vegetal R. Mosqueta 10ml</t>
  </si>
  <si>
    <t>MLB3274511526</t>
  </si>
  <si>
    <t>MLB3944439975</t>
  </si>
  <si>
    <t>MLB3515565213</t>
  </si>
  <si>
    <t>Perfume Almíscar Oriental &amp; Cedro 100ml Feminino + Presente</t>
  </si>
  <si>
    <t>MLB3274511544</t>
  </si>
  <si>
    <t>Óleo De Poejo 10ml Roll On- Com Rosa Mosqueta - Pronto Uso</t>
  </si>
  <si>
    <t>MLB3274524474</t>
  </si>
  <si>
    <t>MLB3945681795</t>
  </si>
  <si>
    <t>Óleo De Tangerina 10ml Roll On- Com Rosa Mosqueta - Pronto</t>
  </si>
  <si>
    <t>Eau De Toilette Essência Do Brasil Dama Da Noite E Erva Doce 100 Ml</t>
  </si>
  <si>
    <t>MLB3274524480</t>
  </si>
  <si>
    <t>Óleo De Eucalipto Glóbulos 10ml Roll On- Com Rosa Mosqueta</t>
  </si>
  <si>
    <t>MLB3462946437</t>
  </si>
  <si>
    <t>MLB3948831599</t>
  </si>
  <si>
    <t>MLB3274524482</t>
  </si>
  <si>
    <t>Óleo De Funcho Doce 10ml Roll On- Com Rosa Mosqueta - Pronto</t>
  </si>
  <si>
    <t>Profumo 186 - Feminino Âmbar, Ylang-ylang, Flor Laranjeira Volume Da Unidade 65 Ml</t>
  </si>
  <si>
    <t>MLB3521740953</t>
  </si>
  <si>
    <t>MLB3274524492</t>
  </si>
  <si>
    <t>MLB3949438021</t>
  </si>
  <si>
    <t>Óleo De Manjericão 10ml Roll On- Com Rosa Mosqueta - Pronto</t>
  </si>
  <si>
    <t>Perfume Deo Cologne Essencia The Boy De 100 Ml Amadeirado</t>
  </si>
  <si>
    <t>Código universal do produto (GTIN) não preenchido (texto de exemplo do ML ainda lá); Descrição repetida em outros anúncios com título diferente (verificar se é boilerplate ou erro); Documento de Notificação/Comunicação prévia na Anvisa não preenchido; Marca cadastrada incorreta/inconsistente; País de origem diferente de "Brasil"; Tipo de perfume cadastrado diverge do que está no título/nome</t>
  </si>
  <si>
    <t>Descrição repetida em outros anúncios com título diferente (verificar se é boilerplate ou erro): Mesma descrição usada em 81 anúncios com títulos diferentes | Marca cadastrada incorreta/inconsistente: Marca "Essencia" difere da marca própria esperada "Essência do Brasil" | Código universal do produto (GTIN) não preenchido (texto de exemplo do ML ainda lá): Texto de exemplo do template não foi substituído pelo código real | Tipo de perfume cadastrado diverge do que está no título/nome: Campo "Tipo de perfume" = "Deo cologne", mas título/nome menciona ['Água de colônia'] | País de origem diferente de "Brasil": País de origem = "Importado", deveria ser "Brasil" | Documento de Notificação/Comunicação prévia na Anvisa não preenchido: Número de Notificação/Comunicação prévia na Anvisa não preenchido</t>
  </si>
  <si>
    <t>MLB3274524498</t>
  </si>
  <si>
    <t>Óleo De Pimenta Rosa 10ml Roll On- Com Rosa Mosqueta- Pronto</t>
  </si>
  <si>
    <t>MLB3949500541</t>
  </si>
  <si>
    <t>Perfume Essência Do Brasil Masculino Patchouli Natural 100ml</t>
  </si>
  <si>
    <t>Perfume Patchouli &amp; Cedro 10ml - Roll On Masculino</t>
  </si>
  <si>
    <t>MLB3532652003</t>
  </si>
  <si>
    <t>MLB3274561352</t>
  </si>
  <si>
    <t>Óleo De Alecrim 10ml Roll On- Com Rosa Mosqueta - Pronto Uso</t>
  </si>
  <si>
    <t>MLB3949540707</t>
  </si>
  <si>
    <t>Perfume Masculino Benjoim &amp; Gengibre 100ml + Mini 10ml</t>
  </si>
  <si>
    <t>MLB2857413217</t>
  </si>
  <si>
    <t>MLB3274561366</t>
  </si>
  <si>
    <t>Código universal do produto (GTIN) não preenchido (texto de exemplo do ML ainda lá); Documento de Notificação/Comunicação prévia na Anvisa não preenchido; Gênero cadastrado diverge do gênero indicado no título; País de origem diferente de "Brasil"</t>
  </si>
  <si>
    <t>Óleo De Bergamota 10ml Roll On- Com Rosa Mosqueta - Pronto</t>
  </si>
  <si>
    <t>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 | Gênero cadastrado diverge do gênero indicado no título: Título indica um gênero mas campo Gênero está "Feminino" - risco do cliente comprar errado</t>
  </si>
  <si>
    <t>MLB3950277521</t>
  </si>
  <si>
    <t>MLB3274572506</t>
  </si>
  <si>
    <t>Perfume Spray Gerânio Elegante Feminino 10ml Natural Vegano</t>
  </si>
  <si>
    <t>Óleo De Sândalo 10ml Roll On- Com Rosa Mosqueta - Pronto Uso</t>
  </si>
  <si>
    <t>MLB3274572516</t>
  </si>
  <si>
    <t>MLB3950537347</t>
  </si>
  <si>
    <t>Óleo De Citronela 10ml Roll On- Com Rosa Mosqueta - Pronto</t>
  </si>
  <si>
    <t>Perfume Masculino Essência Do Brasil Profumo 946 Patchouli 65ml Spray</t>
  </si>
  <si>
    <t>MLB3274572522</t>
  </si>
  <si>
    <t>Óleo De Artemísia 10ml Roll On- Com Rosa Mosqueta - Pronto</t>
  </si>
  <si>
    <t>MLB1677146048</t>
  </si>
  <si>
    <t>MLB3950974867</t>
  </si>
  <si>
    <t>Perfume Masculino Essência Do Brasil Almíscar E Um Mini Perfume De Bolso 100ml</t>
  </si>
  <si>
    <t>MLB3274572524</t>
  </si>
  <si>
    <t>Óleo De Eucalipto 10ml Roll On- Com Rosa Mosqueta - Pronto</t>
  </si>
  <si>
    <t>MLB3274572542</t>
  </si>
  <si>
    <t>MLB3950974875</t>
  </si>
  <si>
    <t>Óleo De Lavandim Grosso 10ml Roll On- Com Rosa Mosqueta</t>
  </si>
  <si>
    <t>Perfume Essência Do Brasil Lavanda E Laranja Doce Feminino 100ml Com Presente</t>
  </si>
  <si>
    <t>Título com mais de 60 caracteres: Título com 77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</si>
  <si>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MLB3371313571</t>
  </si>
  <si>
    <t>Kit 4 Essências Aromatizador/difusor 10ml - Frescor Exótico</t>
  </si>
  <si>
    <t>MLB3955194613</t>
  </si>
  <si>
    <t>MLB2053961500</t>
  </si>
  <si>
    <t>Perfume Ho Wood Elegante Homem 100ml + Roll On 10ml Natural</t>
  </si>
  <si>
    <t>MLB3371335603</t>
  </si>
  <si>
    <t>Kit 4 Essências Aromatizador/difusor 10ml Beleza Do Oriente</t>
  </si>
  <si>
    <t>MLB3371335605</t>
  </si>
  <si>
    <t>Kit 4 Essências Aromatizador/difusor 10ml Encantos Do Campo</t>
  </si>
  <si>
    <t>MLB3964442945</t>
  </si>
  <si>
    <t>Perfume Feminino Essência Do Brasil Lírio Do Vale 60ml + Brinco</t>
  </si>
  <si>
    <t>MLB3371335609</t>
  </si>
  <si>
    <t>Kit 4 Essências Aromatizador/difusor 10ml Sonho Mediterrâneo</t>
  </si>
  <si>
    <t>MLB3964469053</t>
  </si>
  <si>
    <t>MLB3462895103</t>
  </si>
  <si>
    <t>Kit Óleo Essencial Cedro Deodara + Vegetal R. Mosqueta 10ml</t>
  </si>
  <si>
    <t>Perfume Erva Cidreira Elixir 100ml Herbal - Extrait De Parfum</t>
  </si>
  <si>
    <t>Ano de lançamento preenchido (deveria ficar em branco); Anúncio sem descrição; Documento de Notificação/Comunicação prévia na Anvisa não preenchido; Tipo de perfume cadastrado diverge do que está no título/nome; Título com mais de 60 caracteres</t>
  </si>
  <si>
    <t>Título com mais de 60 caracteres: Título com 61 caracteres (limite ML=60) | Anúncio sem descrição: Descrição vazia | Tipo de perfume cadastrado diverge do que está no título/nome: Campo "Tipo de perfume" = "Extrait De Parfum - Herbal", mas título/nome menciona ['Parfum', 'Extrait de parfum'] | Ano de lançamento preenchido (deveria ficar em branco): Ano de lançamento preenchido ("2024") - regra do negócio é deixar em branco | Documento de Notificação/Comunicação prévia na Anvisa não preenchido: Número de Notificação/Comunicação prévia na Anvisa não preenchido</t>
  </si>
  <si>
    <t>MLB3462895111</t>
  </si>
  <si>
    <t>MLB2217254543</t>
  </si>
  <si>
    <t>Kit Óleo Essencial Gerânio + Óleo Vegetal Rosa Mosqueta 10ml</t>
  </si>
  <si>
    <t>MLB3964520157</t>
  </si>
  <si>
    <t>Perfume Petitgrain Absolu Essência Do Brasil Com Miniatura</t>
  </si>
  <si>
    <t>Anúncio sem descrição; Código universal do produto (GTIN) não preenchido (texto de exemplo do ML ainda lá); Documento de Notificação/Comunicação prévia na Anvisa não preenchido; Tipo de perfume cadastrado diverge do que está no título/nome</t>
  </si>
  <si>
    <t>Anúncio sem descrição: Descrição vazia | Código universal do produto (GTIN) não preenchido (texto de exemplo do ML ainda lá): Texto de exemplo do template não foi substituído pelo código real | Tipo de perfume cadastrado diverge do que está no título/nome: Campo "Tipo de perfume" = "Eau de parfum", mas título/nome menciona ['Parfum', 'Extrait de parfum'] | Documento de Notificação/Comunicação prévia na Anvisa não preenchido: Número de Notificação/Comunicação prévia na Anvisa não preenchido</t>
  </si>
  <si>
    <t>MLB3462908181</t>
  </si>
  <si>
    <t>Perfume Masculino Eros 100ml + Terre 30ml</t>
  </si>
  <si>
    <t>MLB3780429126</t>
  </si>
  <si>
    <t>Kit Óleo Essencial Cedro Virgínia + Vegetal R. Mosqueta 10ml</t>
  </si>
  <si>
    <t>MLB3964533149</t>
  </si>
  <si>
    <t>MLB2781608399</t>
  </si>
  <si>
    <t>MLB3462908183</t>
  </si>
  <si>
    <t>Perfume Feminino Essência Do Brasil Laranja Doce &amp; Hortelã 100ml + Mini 10ml</t>
  </si>
  <si>
    <t>Kit Óleo Essencial Noz-moscada + Vegetal Rosa Mosqueta 10ml</t>
  </si>
  <si>
    <t>Título com mais de 60 caracteres: Título com 76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</si>
  <si>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MLB3546062241</t>
  </si>
  <si>
    <t>MLB3462908193</t>
  </si>
  <si>
    <t>Kit Óleo Essencial Pinho + Óleo Vegetal Rosa Mosqueta 10ml</t>
  </si>
  <si>
    <t>MLB3964533595</t>
  </si>
  <si>
    <t>Perfume Masculino Flor De Jasmim &amp; Lavanda 100ml Essência Do Brasil</t>
  </si>
  <si>
    <t>MLB3462908195</t>
  </si>
  <si>
    <t>Kit Óleo Essencial Tangerina + Óleo Vegetal R. Mosqueta 10ml</t>
  </si>
  <si>
    <t>Perfume Masculino Ferômonios Attraction 10ml - Roll On</t>
  </si>
  <si>
    <t>MLB3554970571</t>
  </si>
  <si>
    <t>MLB3966861443</t>
  </si>
  <si>
    <t>MLB3462921129</t>
  </si>
  <si>
    <t>Kit Óleo Essencial Copaíba + Óleo Vegetal Rosa Mosqueta 10ml</t>
  </si>
  <si>
    <t>Perfume Feminino Laranja Doce &amp; Ylang Ylang Da Essência Do Brasil (100ml + Mini)</t>
  </si>
  <si>
    <t>MLB2217217440</t>
  </si>
  <si>
    <t>Título com mais de 60 caracteres: Título com 80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</si>
  <si>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MLB3462921133</t>
  </si>
  <si>
    <t>Kit Óleo Essencial Basilicão + Óleo Vegetal R. Mosqueta 10ml</t>
  </si>
  <si>
    <t>MLB3967587405</t>
  </si>
  <si>
    <t>MLB3580900875</t>
  </si>
  <si>
    <t>MLB3462933853</t>
  </si>
  <si>
    <t>Essência Do Brasil Feminino Perfume Hortelã &amp; Limão Siciliano 100ml Feminino + Presente 100ml Eau De Toilette</t>
  </si>
  <si>
    <t>Kit Óleo Essencial Cipreste + Óleo Vegetal R. Mosqueta 10ml</t>
  </si>
  <si>
    <t>Título com mais de 60 caracteres: Título com 109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</si>
  <si>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MLB3462933855</t>
  </si>
  <si>
    <t>Kit Óleo Essencial Petitgrain + Óleo Vegetal R Mosqueta 10ml</t>
  </si>
  <si>
    <t>MLB3967613975</t>
  </si>
  <si>
    <t>Perfume Masculino Essência Do Brasil Louro Nobre Romano De 10ml</t>
  </si>
  <si>
    <t>MLB3462933897</t>
  </si>
  <si>
    <t>Kit Óleo Essencial Orégano + Óleo Vegetal Rosa Mosqueta 10ml</t>
  </si>
  <si>
    <t>MLB3967633043</t>
  </si>
  <si>
    <t>MLB3462933901</t>
  </si>
  <si>
    <t>Kit Óleo Essencial Cânfora Branca + Vegetal R. Mosqueta 10ml</t>
  </si>
  <si>
    <t>Essência Do Brasil Perfume Masculino Louro Nobre Romano Vegano 50ml</t>
  </si>
  <si>
    <t>MLB3462946423</t>
  </si>
  <si>
    <t>Kit Óleo Essencial Pimenta Preta + Vegetal R. Mosqueta 10ml</t>
  </si>
  <si>
    <t>MLB3967635193</t>
  </si>
  <si>
    <t>Perfume Essência Do Brasil Dama Da Noite 100ml Feminino Eau De Toilette</t>
  </si>
  <si>
    <t>MLB3462946429</t>
  </si>
  <si>
    <t>Kit Óleo Essen Eucalipto Globulus + Vegetal R. Mosqueta 10ml</t>
  </si>
  <si>
    <t>MLB3967651179</t>
  </si>
  <si>
    <t>Perfume Patchouli Essência Do Brasil 100ml + Roll On 10ml Masculino</t>
  </si>
  <si>
    <t>MLB3462959431</t>
  </si>
  <si>
    <t>Kit Óleo Essencial Anis-estrelado + Vegetal R. Mosqueta 10ml</t>
  </si>
  <si>
    <t>MLB3967685885</t>
  </si>
  <si>
    <t>MLB1490259919</t>
  </si>
  <si>
    <t>Eau De Toilette Essência Do Brasil Cravo Amadeirado Para Homens 100 Ml</t>
  </si>
  <si>
    <t>MLB3462959435</t>
  </si>
  <si>
    <t>Kit Óleo Essencial Louro + Óleo Vegetal Rosa Mosqueta 10ml</t>
  </si>
  <si>
    <t>Perfume Almíscar Selvagem Masculino - Spray Portátil 10ml</t>
  </si>
  <si>
    <t>MLB3580951173</t>
  </si>
  <si>
    <t>MLB3462959449</t>
  </si>
  <si>
    <t>MLB3969513155</t>
  </si>
  <si>
    <t>Kit Óleo Essencial Menta Arvensis + Vegetal R. Mosqueta 10ml</t>
  </si>
  <si>
    <t>Essência Do Brasil Perfume Feminino Mandarina Verde 100ml + Óleo 10ml</t>
  </si>
  <si>
    <t>MLB3446684605</t>
  </si>
  <si>
    <t>MLB3462972529</t>
  </si>
  <si>
    <t>Kit Óleo Essencial Alfazema + Óleo Vegetal R. Mosqueta 10ml</t>
  </si>
  <si>
    <t>MLB3972033851</t>
  </si>
  <si>
    <t>Perfume Eau De Parfum Masculino Essência Do Brasil Menta Refrescante 10ml Spray</t>
  </si>
  <si>
    <t>MLB3462972533</t>
  </si>
  <si>
    <t>Kit Óleo Essencial Grapefruit + Vegetal Rosa Mosqueta 10ml</t>
  </si>
  <si>
    <t>MLB3462972535</t>
  </si>
  <si>
    <t>MLB3972045229</t>
  </si>
  <si>
    <t>Kit Óleo Essencial Cedro Himalaia + Vegetal R. Mosqueta 10ml</t>
  </si>
  <si>
    <t>Essência Do Brasil Perfume Roll On Ho Wood Masculino Natural 10ml</t>
  </si>
  <si>
    <t>MLB3462972537</t>
  </si>
  <si>
    <t>Kit Óleo Essencial Benjoim + Óleo Vegetal Rosa Mosqueta 10ml</t>
  </si>
  <si>
    <t>MLB3972046835</t>
  </si>
  <si>
    <t>MLB2217290860</t>
  </si>
  <si>
    <t>MLB3462972547</t>
  </si>
  <si>
    <t>Perfume Roll On Essência Do Brasil Eau De Parfum 10ml Grapefruit Vibrante</t>
  </si>
  <si>
    <t>Kit Óleo Essencial Sândalo Amyris + Vegetal R. Mosqueta 10ml</t>
  </si>
  <si>
    <t>MLB3462985323</t>
  </si>
  <si>
    <t>Kit Óleo Essencial Artemísia + Óleo Vegetal R. Mosqueta 10ml</t>
  </si>
  <si>
    <t>MLB3972068303</t>
  </si>
  <si>
    <t>Perfume Gerânio Elegante Masculino De Essência Do Brasil, 10ml, Spray Vegano</t>
  </si>
  <si>
    <t>MLB3462985329</t>
  </si>
  <si>
    <t>Kit Óleo Essencial Ho Wood + Óleo Vegetal Rosa Mosqueta 10ml</t>
  </si>
  <si>
    <t>MLB3972082753</t>
  </si>
  <si>
    <t>MLB3462998435</t>
  </si>
  <si>
    <t>Perfume Eau De Parfum Feminino Essência Do Brasil Wintergreen Refrescante De 100 Ml E Óleo Roll-on</t>
  </si>
  <si>
    <t>Kit Óleo Essencial Cravo Botão + Vegetal Rosa Mosqueta 10ml</t>
  </si>
  <si>
    <t>Título com mais de 60 caracteres: Título com 98 caracteres (limite ML=60) | Anúncio sem descrição: Descrição vazia | Documento de Notificação/Comunicação prévia na Anvisa não preenchido: Número de Notificação/Comunicação prévia na Anvisa não preenchido</t>
  </si>
  <si>
    <t>MLB3462998459</t>
  </si>
  <si>
    <t>Kit Óleo Essencial Citronela + Óleo Vegetal R. Mosqueta 10ml</t>
  </si>
  <si>
    <t>MLB3972096135</t>
  </si>
  <si>
    <t>Perfume Spray Limão Tahiti Masculino 10ml - Natural E Vegano</t>
  </si>
  <si>
    <t>MLB3462998501</t>
  </si>
  <si>
    <t>Kit Óleo Essencial Tomilho + Óleo Vegetal Rosa Mosqueta 10ml</t>
  </si>
  <si>
    <t>MLB3974258047</t>
  </si>
  <si>
    <t>MLB3464342627</t>
  </si>
  <si>
    <t>MLB3462998503</t>
  </si>
  <si>
    <t>Perfume Sálvia Infinita Feminino 100ml + Spray 10ml Natural</t>
  </si>
  <si>
    <t>Kit Óleo Essencial Cedro Atlas + Vegetal Rosa Mosqueta 10ml</t>
  </si>
  <si>
    <t>MLB3462998507</t>
  </si>
  <si>
    <t>Kit Óleo Essencial Laranja Doce + Vegetal R. Mosqueta 10ml</t>
  </si>
  <si>
    <t>MLB3974322721</t>
  </si>
  <si>
    <t>MLB3462998509</t>
  </si>
  <si>
    <t>Essência Do Brasil Manjerona Herbal Masculino 10ml Roll On Natural</t>
  </si>
  <si>
    <t>Kit Óleo Essencial Bergamota + Óleo Vegetal R. Mosqueta 10ml</t>
  </si>
  <si>
    <t>MLB3462998525</t>
  </si>
  <si>
    <t>Kit Óleo Essencial Zimbro + Óleo Vegetal Rosa Mosqueta 10ml</t>
  </si>
  <si>
    <t>MLB3974401399</t>
  </si>
  <si>
    <t>Perfume Spray Manjerona Herbal Masculino 10ml Natural Vegano Essência Do Brasil</t>
  </si>
  <si>
    <t>MLB3463011215</t>
  </si>
  <si>
    <t>Kit Óleo Essencial Cravo Folha + Vegetal Rosa Mosqueta 10ml</t>
  </si>
  <si>
    <t>MLB3979691181</t>
  </si>
  <si>
    <t>MLB3463011219</t>
  </si>
  <si>
    <t>Perfume Masculino Lavanda E Olíbano Essência Do Brasil, 100ml</t>
  </si>
  <si>
    <t>Kit Óleo Essencial Manjerona + Óleo Vegetal R. Mosqueta 10ml</t>
  </si>
  <si>
    <t>Título com mais de 60 caracteres: Título com 61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</si>
  <si>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MLB3979709415</t>
  </si>
  <si>
    <t>Perfume Feminino Natural Dama Da Noite 50ml</t>
  </si>
  <si>
    <t>MLB4674339786</t>
  </si>
  <si>
    <t>Perfume Olíbano &amp; Mirra 100ml Feminino + Presente</t>
  </si>
  <si>
    <t>MLB3494529559</t>
  </si>
  <si>
    <t>MLB1349798986</t>
  </si>
  <si>
    <t>MLB3979769009</t>
  </si>
  <si>
    <t>MLB3505198847</t>
  </si>
  <si>
    <t>Óleo Essencial Eucalipto Citriodora Puro Para Difusor, 100ml</t>
  </si>
  <si>
    <t>Perfume Masculino Flor De Maçã E Sálvia Com Mini Perfume 10ml</t>
  </si>
  <si>
    <t>Perfume Feminino Ferômonios Arabian 10ml - Roll On</t>
  </si>
  <si>
    <t>MLB4161081848</t>
  </si>
  <si>
    <t>MLB3979846729</t>
  </si>
  <si>
    <t>Perfume Masculino Patchouli &amp; Petitgrain De 100ml Com Mini Perfume De 10ml</t>
  </si>
  <si>
    <t>MLB3515577601</t>
  </si>
  <si>
    <t>MLB2217273213</t>
  </si>
  <si>
    <t>MLB3515578719</t>
  </si>
  <si>
    <t>Kit Óleo Essencial Melaleuca + Óleo Vegetal De Alecrim 10ml</t>
  </si>
  <si>
    <t>Óleo Essencial Cravo 60ml - Puro E Natural -</t>
  </si>
  <si>
    <t>MLB5343911278</t>
  </si>
  <si>
    <t>MLB3979886463</t>
  </si>
  <si>
    <t>Perfume Feminino Essência Do Brasil Mol 02 Extrait De Parfum 30ml</t>
  </si>
  <si>
    <t>MLB3515603461</t>
  </si>
  <si>
    <t>Título com mais de 60 caracteres: Título com 65 caracteres (limite ML=60) | Tipo de perfume cadastrado diverge do que está no título/nome: Campo "Tipo de perfume" = "Eau de parfum", mas título/nome menciona ['Parfum', 'Extrait de parfum'] | Documento de Notificação/Comunicação prévia na Anvisa não preenchido: Número de Notificação/Comunicação prévia na Anvisa não preenchido</t>
  </si>
  <si>
    <t>MLB4194892904</t>
  </si>
  <si>
    <t>MLB3983926769</t>
  </si>
  <si>
    <t>MLB3515617287</t>
  </si>
  <si>
    <t>Perfume Masculino Natural Cravo Amadeirado 100ml</t>
  </si>
  <si>
    <t>MLB3515641117</t>
  </si>
  <si>
    <t>MLB3983965953</t>
  </si>
  <si>
    <t>Perfume Feminino Essência Do Brasil Patchouli Dark Misterioso Eau De Parfum 10ml</t>
  </si>
  <si>
    <t>MLB3515641945</t>
  </si>
  <si>
    <t>MLB3986432211</t>
  </si>
  <si>
    <t>Perfume Spray Cravo Intenso Masculino 10ml Natural Vegano</t>
  </si>
  <si>
    <t>MLB3515642973</t>
  </si>
  <si>
    <t>MLB3987439061</t>
  </si>
  <si>
    <t>MLB3516084585</t>
  </si>
  <si>
    <t>Eau De Parfum Essência Do Brasil Patchouli Dark Misterioso Masculino 100 Ml Com Spray De 10 Ml</t>
  </si>
  <si>
    <t>MLB4194980552</t>
  </si>
  <si>
    <t>Título com mais de 60 caracteres: Título com 94 caracteres (limite ML=60) | Anúncio sem descrição: Descrição vazia | Documento de Notificação/Comunicação prévia na Anvisa não preenchido: Número de Notificação/Comunicação prévia na Anvisa não preenchido</t>
  </si>
  <si>
    <t>MLB3991613573</t>
  </si>
  <si>
    <t>MLB3516154221</t>
  </si>
  <si>
    <t>Perfume Baunilha &amp; Bergamota 100ml Masculino + Presente</t>
  </si>
  <si>
    <t>MLB1490259893</t>
  </si>
  <si>
    <t>MLB3993704141</t>
  </si>
  <si>
    <t>Perfume Attar Masculino Árabe - 10ml - Roll On</t>
  </si>
  <si>
    <t>Perfume Feminino Afrodite Essência Do Brasil, Floral, 100ml</t>
  </si>
  <si>
    <t>MLB3389891137</t>
  </si>
  <si>
    <t>MLB3521749353</t>
  </si>
  <si>
    <t>Essência De Bambu Para Aromatizador E Difusor  10 Ml</t>
  </si>
  <si>
    <t>MLB2838694125</t>
  </si>
  <si>
    <t>MLB3999297473</t>
  </si>
  <si>
    <t>Perfume Feminino Natural Dama Da Noite 30ml Essência Do Brasil</t>
  </si>
  <si>
    <t>MLB3521788021</t>
  </si>
  <si>
    <t>Título com mais de 60 caracteres: Título com 62 caracteres (limite ML=60) | Anúncio sem descrição: Descrição vazia | Documento de Notificação/Comunicação prévia na Anvisa não preenchido: Número de Notificação/Comunicação prévia na Anvisa não preenchido</t>
  </si>
  <si>
    <t>Kit 2 Óleos Essen. Cedro Da Virgínia E Alecrim Roll On 10ml</t>
  </si>
  <si>
    <t>MLB4001465375</t>
  </si>
  <si>
    <t>Perfume Masculino Laranja Doce E Cipreste Essência Do Brasil 100 Ml Com Miniatura De 10 Ml</t>
  </si>
  <si>
    <t>MLB3521801589</t>
  </si>
  <si>
    <t>Título com mais de 60 caracteres: Título com 90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</si>
  <si>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Perfume Masculino Patchouli Dark 100ml + Mini Perfume 10ml</t>
  </si>
  <si>
    <t>MLB2028033208</t>
  </si>
  <si>
    <t>MLB3521809439</t>
  </si>
  <si>
    <t>MLB4001532939</t>
  </si>
  <si>
    <t>Perfume Feminino Sálvia Infinita 100ml Eau De Parfum</t>
  </si>
  <si>
    <t>Tipo de perfume cadastrado diverge do que está no título/nome: Campo "Tipo de perfume" = "Natural e Vegano", mas título/nome menciona ['Eau de parfum', 'Parfum'] | Documento de Notificação/Comunicação prévia na Anvisa não preenchido: Número de Notificação/Comunicação prévia na Anvisa não preenchido</t>
  </si>
  <si>
    <t>MLB2026059048</t>
  </si>
  <si>
    <t>MLB3521824329</t>
  </si>
  <si>
    <t>MLB4004163855</t>
  </si>
  <si>
    <t>Kit 4 Essências Aromatizador/difusor 10ml Essência Do Brasil</t>
  </si>
  <si>
    <t>Essência Do Brasil Eau De Toilette Masculino Patchouli Natural 30ml</t>
  </si>
  <si>
    <t>MLB3522265949</t>
  </si>
  <si>
    <t>MLB3523878781</t>
  </si>
  <si>
    <t>MLB4004190459</t>
  </si>
  <si>
    <t>Kit 4 Essências Aromatizador/difusor 10ml - Doce Infância</t>
  </si>
  <si>
    <t>Eau De Toilette Feminino Essência Do Brasil Natural Spray 100ml Floral</t>
  </si>
  <si>
    <t>MLB3528547239</t>
  </si>
  <si>
    <t>MLB4005984649</t>
  </si>
  <si>
    <t>Eau De Parfum Essência Do Brasil Basilicão Masculino De 100 Ml</t>
  </si>
  <si>
    <t>MLB3532710847</t>
  </si>
  <si>
    <t>MLB4005995643</t>
  </si>
  <si>
    <t>Perfume Masculino Essência Do Brasil Gerânio Patchouli 100ml C/spray Mini Perfume</t>
  </si>
  <si>
    <t>Título com mais de 60 caracteres: Título com 81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</si>
  <si>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MLB3532730093</t>
  </si>
  <si>
    <t>MLB4006101069</t>
  </si>
  <si>
    <t>Eau De Parfum Essência Do Brasil Ylang Ylang Exuberante Feminino 100ml Com Óleo Roll-on</t>
  </si>
  <si>
    <t>MLB3534491403</t>
  </si>
  <si>
    <t>Título com mais de 60 caracteres: Título com 87 caracteres (limite ML=60) | Anúncio sem descrição: Descrição vazia | Documento de Notificação/Comunicação prévia na Anvisa não preenchido: Número de Notificação/Comunicação prévia na Anvisa não preenchido</t>
  </si>
  <si>
    <t>MLB4006101351</t>
  </si>
  <si>
    <t>Eau De Parfum Limão Siciliano Radiante Feminino Com Spray Para Mulher Essência Do Brasil</t>
  </si>
  <si>
    <t>MLB3534492307</t>
  </si>
  <si>
    <t>Título com mais de 60 caracteres: Título com 88 caracteres (limite ML=60) | Anúncio sem descrição: Descrição vazia | Documento de Notificação/Comunicação prévia na Anvisa não preenchido: Número de Notificação/Comunicação prévia na Anvisa não preenchido</t>
  </si>
  <si>
    <t>MLB4006190583</t>
  </si>
  <si>
    <t>MLB3534537757</t>
  </si>
  <si>
    <t>Perfume Masculino Verbena E Canela Essência Do Brasil Com Mini Perfume</t>
  </si>
  <si>
    <t>Código universal do produto (GTIN) não preenchido (texto de exemplo do ML ainda lá); Documento de Notificação/Comunicação prévia na Anvisa não preenchido; País de origem diferente de "Brasil"; Tipo de perfume cadastrado diverge do que está no título/nome; Título com mais de 60 caracteres</t>
  </si>
  <si>
    <t>Título com mais de 60 caracteres: Título com 70 caracteres (limite ML=60) | Código universal do produto (GTIN) não preenchido (texto de exemplo do ML ainda lá): Texto de exemplo do template não foi substituído pelo código real | Tipo de perfume cadastrado diverge do que está no título/nome: Campo "Tipo de perfume" = "Deo cologne", mas título/nome menciona ['Água de colônia'] | País de origem diferente de "Brasil": País de origem = "(vazio)", deveria ser "Brasil" | Documento de Notificação/Comunicação prévia na Anvisa não preenchido: Número de Notificação/Comunicação prévia na Anvisa não preenchido</t>
  </si>
  <si>
    <t>MLB4008212531</t>
  </si>
  <si>
    <t>Perfume Ylang Ylang Exuberante Masculino Essência Do Brasil, 100 Ml E Roll-on 10 Ml</t>
  </si>
  <si>
    <t>MLB3539509949</t>
  </si>
  <si>
    <t>MLB4010298917</t>
  </si>
  <si>
    <t>Perfume Laranja Doce Brilhante Feminino Com Óleo Essencial Essência Do Brasil</t>
  </si>
  <si>
    <t>MLB3542280579</t>
  </si>
  <si>
    <t>MLB4010337667</t>
  </si>
  <si>
    <t>Perfume Orégano Gourmand Homem 100ml + Óleo Essencial 10ml</t>
  </si>
  <si>
    <t>MLB3542357103</t>
  </si>
  <si>
    <t>MLB4010390515</t>
  </si>
  <si>
    <t>Perfume Gerânio Elegante Homem 100ml + Roll On 10ml Natural</t>
  </si>
  <si>
    <t>MLB4010795191</t>
  </si>
  <si>
    <t>Eau De Toilette Masculino Essência Do Brasil Patchouli Red 100ml + Mini 10ml</t>
  </si>
  <si>
    <t>MLB3550953815</t>
  </si>
  <si>
    <t>MLB4013374283</t>
  </si>
  <si>
    <t>Perfume Gerânio Elegante Homem 100ml + Spray 10ml Natural</t>
  </si>
  <si>
    <t>Perfume Patchouli Timeless Masculino 100ml - Estilo Clássico</t>
  </si>
  <si>
    <t>MLB3515562785</t>
  </si>
  <si>
    <t>MLB3571096551</t>
  </si>
  <si>
    <t>MLB4013452967</t>
  </si>
  <si>
    <t>Kit 4 Essências Premium 10ml - Doçura E Aroma</t>
  </si>
  <si>
    <t>Perfume Limão Siciliano Radiante Homem 100ml + Spray 10ml</t>
  </si>
  <si>
    <t>MLB4066498684</t>
  </si>
  <si>
    <t>MLB3571474011</t>
  </si>
  <si>
    <t>Kit 6 Essências Premium 10ml - Doce Brisa</t>
  </si>
  <si>
    <t>MLB4013529847</t>
  </si>
  <si>
    <t>Perfume Ylang Ylang Exuberante Para Homem Com Spray Portátil  Essência Do Brasil</t>
  </si>
  <si>
    <t>MLB3571512819</t>
  </si>
  <si>
    <t>Kit 6 Essências Premium 10ml - Cítricos E Ervas</t>
  </si>
  <si>
    <t>MLB4015697103</t>
  </si>
  <si>
    <t>Perfume Masculino Oceania Selvágem 100ml</t>
  </si>
  <si>
    <t>MLB3571810389</t>
  </si>
  <si>
    <t>Perfume Masculino Arabian 100ml + Patchouli 30ml</t>
  </si>
  <si>
    <t>MLB4595417134</t>
  </si>
  <si>
    <t>Essência Premium Aromatizador / Difusor 10ml Escolha O Aroma</t>
  </si>
  <si>
    <t>MLB4015722591</t>
  </si>
  <si>
    <t xml:space="preserve">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Campo Marca em branco: Marca não preenchida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Anvisa não preenchido | Documento de Notificação/Comunicação prévia na Anvisa não preenchido: Número de Notificação/Comunicação prévia na </t>
  </si>
  <si>
    <t>MLB2781614278</t>
  </si>
  <si>
    <t>MLB4015762983</t>
  </si>
  <si>
    <t>Perfume Feminino Mol 10 Extrait De Parfum 30ml</t>
  </si>
  <si>
    <t>Perfume Patchouli Feminino - Spray Portátil 10ml</t>
  </si>
  <si>
    <t>MLB3580896885</t>
  </si>
  <si>
    <t>MLB3580976615</t>
  </si>
  <si>
    <t>Óleo Essencial Puro Lavandim Grosso Para Aromaterapia 30ml</t>
  </si>
  <si>
    <t>MLB4015775951</t>
  </si>
  <si>
    <t>Perfume Mol 06 Feminino Extrait De Parfum 30ml</t>
  </si>
  <si>
    <t>MLB3446622355</t>
  </si>
  <si>
    <t>MLB4015859807</t>
  </si>
  <si>
    <t>MLB3580915585</t>
  </si>
  <si>
    <t>Perfume Feminino Essência Do Brasil Madeira Nobre E Olíbano 100ml Com Mini Perfume De Presente</t>
  </si>
  <si>
    <t>MLB4016880179</t>
  </si>
  <si>
    <t>MLB3580932275</t>
  </si>
  <si>
    <t>Perfume Olíbano Sagrado Feminino 100ml + Spray 10ml Natural</t>
  </si>
  <si>
    <t>Óleo Essencial De Grapefruit 10ml - Puro E Natural</t>
  </si>
  <si>
    <t>MLB4217646118</t>
  </si>
  <si>
    <t>MLB3580974199</t>
  </si>
  <si>
    <t>MLB4016928997</t>
  </si>
  <si>
    <t>Perfume Eucalipto Refrescante Masculino 100ml + Roll On 10ml</t>
  </si>
  <si>
    <t>Perfume Feminino Natural Flor De Jasmim 100ml</t>
  </si>
  <si>
    <t>MLB3580977669</t>
  </si>
  <si>
    <t>MLB4648423150</t>
  </si>
  <si>
    <t>Kit 4 Óleos Essenciais - Aromas Do Mediterrâneo - Puros 10ml</t>
  </si>
  <si>
    <t>MLB4018180979</t>
  </si>
  <si>
    <t>Perfume Limão Siciliano Radiante Homem 100ml + Roll On 10ml</t>
  </si>
  <si>
    <t>MLB1349521838</t>
  </si>
  <si>
    <t>MLB3580979751</t>
  </si>
  <si>
    <t>MLB4018242133</t>
  </si>
  <si>
    <t>Perfume Wintergreen Refrescante Feminino 100ml + Rollon 10ml</t>
  </si>
  <si>
    <t>MLB3580987703</t>
  </si>
  <si>
    <t>MLB4018252145</t>
  </si>
  <si>
    <t>MLB3597289885</t>
  </si>
  <si>
    <t>Perfume Feminino Essência Do Brasil Ylang Ylang Exuberante 100ml Com Spray De 10ml</t>
  </si>
  <si>
    <t>Pingente Prata 925 Granada Natural E Legítima - P. Vecchio</t>
  </si>
  <si>
    <t>MLB3208353584</t>
  </si>
  <si>
    <t>MLB4020150071</t>
  </si>
  <si>
    <t>MLB3597352665</t>
  </si>
  <si>
    <t>Perfume Olíbano Sagrado Mulher 100ml + Roll On 10ml Natural</t>
  </si>
  <si>
    <t>Kit 4 Óleos Essenciais Herbais - Essência Do Brasil</t>
  </si>
  <si>
    <t>MLB4035511423</t>
  </si>
  <si>
    <t>MLB3597355591</t>
  </si>
  <si>
    <t>MLB4026110003</t>
  </si>
  <si>
    <t>Óleo Essencial Cravo 30ml - Puro E Natural</t>
  </si>
  <si>
    <t>Perfume Feminino Essência Do Brasil Palmarosa E Lima-limão De 100ml Com Mini De 10ml</t>
  </si>
  <si>
    <t>Título com mais de 60 caracteres: Título com 84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</si>
  <si>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MLB4322154071</t>
  </si>
  <si>
    <t>MLB3730924099</t>
  </si>
  <si>
    <t>MLB4028233815</t>
  </si>
  <si>
    <t>Kit Óleo Essen. Laranja Doce 20ml + Vegetal De Alecrim 30ml</t>
  </si>
  <si>
    <t>Perfume Patchouli Dark Misterioso Mulher 100ml + Spray 10ml</t>
  </si>
  <si>
    <t>MLB3730924101</t>
  </si>
  <si>
    <t>MLB4030428651</t>
  </si>
  <si>
    <t>Kit Óleo Essencial Cipreste 20ml + Óleo Vegetal Alecrim 30ml</t>
  </si>
  <si>
    <t>Perfume Feminino Olíbano Sagrado Essência Do Brasil 100ml + Óleo Roll-on 10ml</t>
  </si>
  <si>
    <t>MLB3730924103</t>
  </si>
  <si>
    <t>Kit Óleo Essencial Artemísia 20ml + Vegetal De Alecrim 30ml</t>
  </si>
  <si>
    <t>MLB4030496849</t>
  </si>
  <si>
    <t>Perfume Eau De Parfum Petitgrain Vibrante Feminino Com Spray De Viagem Essência Do Brasil</t>
  </si>
  <si>
    <t>MLB3730924107</t>
  </si>
  <si>
    <t>MLB3782278552</t>
  </si>
  <si>
    <t>Kit Óleo Essencial Alecrim 20ml + Óleo Vegetal Alecrim 30ml</t>
  </si>
  <si>
    <t>MLB4031941487</t>
  </si>
  <si>
    <t>Eau De Parfum Hortelã Brava Para Homem Essência Do Brasil Com Spray 10ml</t>
  </si>
  <si>
    <t>MLB3730924109</t>
  </si>
  <si>
    <t>Kit Óleo Essencial Benjoim 20ml + Óleo Vegetal Alecrim 30ml</t>
  </si>
  <si>
    <t>MLB4032910979</t>
  </si>
  <si>
    <t>MLB3730936609</t>
  </si>
  <si>
    <t>Perfume Laranja Amarga Solar Masculino 100ml + Roll On 10ml</t>
  </si>
  <si>
    <t>Kit Óleo Essencial Zimbro 20ml + Óleo Vegetal Alecrim 30ml</t>
  </si>
  <si>
    <t>Perfume Golf Blue 60ml - Masculino - Golf Polo Club</t>
  </si>
  <si>
    <t>MLB3829659862</t>
  </si>
  <si>
    <t>MLB3730936611</t>
  </si>
  <si>
    <t>MLB4032932743</t>
  </si>
  <si>
    <t>Kit Óleo Essencial Petitgrain 20ml + Vegetal De Alecrim 30ml</t>
  </si>
  <si>
    <t>Perfume Artemísia Marroquina Feminino 100ml + Roll On 10ml</t>
  </si>
  <si>
    <t>MLB1782912558</t>
  </si>
  <si>
    <t>MLB3730936613</t>
  </si>
  <si>
    <t>Kit Óleo Essen. Cedro Atlas 20ml + Vegetal De Alecrim 30ml</t>
  </si>
  <si>
    <t>MLB4033019285</t>
  </si>
  <si>
    <t>Perfume Laranja Amarga Solar Feminino 100ml E Spray 10ml</t>
  </si>
  <si>
    <t>MLB3730936615</t>
  </si>
  <si>
    <t>MLB4033058423</t>
  </si>
  <si>
    <t>MLB3730936621</t>
  </si>
  <si>
    <t>Perfume Orégano Gourmand Homem 100ml + Spray 10ml Natural</t>
  </si>
  <si>
    <t>MLB1488644494</t>
  </si>
  <si>
    <t>Kit Óleo Essencial Orégano 20ml + Óleo Vegetal Alecrim 30ml</t>
  </si>
  <si>
    <t>MLB3730949117</t>
  </si>
  <si>
    <t>MLB4035377293</t>
  </si>
  <si>
    <t>Kit Óleo Essencial Canela 20ml + Óleo Vegetal Alecrim 30ml</t>
  </si>
  <si>
    <t>Perfume Essência Do Brasil Masculino Natural Madeira Nobre 10ml Eau De Toilette</t>
  </si>
  <si>
    <t>MLB3730949121</t>
  </si>
  <si>
    <t>Kit Óleo Essencial Pinho 20ml + Óleo Vegetal De Alecrim 30ml</t>
  </si>
  <si>
    <t>MLB4035613325</t>
  </si>
  <si>
    <t>Eau De Parfum Essência Do Brasil Bergamota Masculino 50ml Vegano</t>
  </si>
  <si>
    <t>MLB3730949123</t>
  </si>
  <si>
    <t>Kit Óleo Essencial Grapefruit 20ml + Vegetal De Alecrim 30ml</t>
  </si>
  <si>
    <t>Perfume Feminino Dama Da Noite 100ml + Jasmine 30ml</t>
  </si>
  <si>
    <t>MLB2605938218</t>
  </si>
  <si>
    <t>MLB3730949125</t>
  </si>
  <si>
    <t>MLB4035639595</t>
  </si>
  <si>
    <t>Kit Óleo Essencial Pimenta Preta 20ml + Vegetal Alecrim 30ml</t>
  </si>
  <si>
    <t>MLB6638070736</t>
  </si>
  <si>
    <t>Perfume Essência Do Brasil Ylang Ylang E Capim Limão Com Miniatura 10ml Feminino</t>
  </si>
  <si>
    <t>MLB3730949127</t>
  </si>
  <si>
    <t>Kit Óleo Essen. Wintergreen 20ml + Vegetal De Alecrim 30ml</t>
  </si>
  <si>
    <t>MLB4042870231</t>
  </si>
  <si>
    <t>MLB3730949129</t>
  </si>
  <si>
    <t>Perfume Masculino De Eucalipto Refrescante Botânica Imperial 50ml Para Homens Veganos</t>
  </si>
  <si>
    <t>Título com mais de 60 caracteres: Título com 85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</si>
  <si>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MLB4042893853</t>
  </si>
  <si>
    <t>MLB3730962389</t>
  </si>
  <si>
    <t>Perfume Masculino Eau De Toilette Erva Doce &amp; Patchouli Essência Do Brasil 100ml + Mini</t>
  </si>
  <si>
    <t>Título com mais de 60 caracteres: Título com 87 caracteres (limite ML=60) | Código universal do produto (GTIN) não preenchido (texto de exemplo do ML ainda lá): Texto de exemplo do template não foi substituído pelo código real | País de origem diferente de "Brasil": País de origem = "Espanha", deveria ser "Brasil" | Documento de Notificação/Comunicação prévia na Anvisa não preenchido: Número de Notificação/Comunicação prévia na Anvisa não preenchido</t>
  </si>
  <si>
    <t>MLB3730962391</t>
  </si>
  <si>
    <t>MLB1349796199</t>
  </si>
  <si>
    <t>MLB4046788533</t>
  </si>
  <si>
    <t>Kit Óleo Essen. Anis-estrelado 20ml + Vegetal Alecrim 30ml</t>
  </si>
  <si>
    <t>Eau De Toilette Masculino Essência Do Brasil Profumo 634 65ml</t>
  </si>
  <si>
    <t>Perfume Opium De Chine 50ml - Feminino Oriental Luxo</t>
  </si>
  <si>
    <t>Título com mais de 60 caracteres: Título com 61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</si>
  <si>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MLB4383132275</t>
  </si>
  <si>
    <t>MLB3730962393</t>
  </si>
  <si>
    <t>Kit Óleo Essencial Menta Spicata 20ml + Vegetal Alecrim 30ml</t>
  </si>
  <si>
    <t>MLB4046788571</t>
  </si>
  <si>
    <t>MLB5978227674</t>
  </si>
  <si>
    <t>Profumo 109 - Feminino 65ml Maçã Verde, Madeiras, Magnólia Volume Da Unidade 65 Ml</t>
  </si>
  <si>
    <t>Título com mais de 60 caracteres: Título com 82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</si>
  <si>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MLB3730962407</t>
  </si>
  <si>
    <t>Kit Óleo Essencial Lemongrass 20ml + Vegetal De Alecrim 30ml</t>
  </si>
  <si>
    <t>MLB1488641505</t>
  </si>
  <si>
    <t>MLB4046801215</t>
  </si>
  <si>
    <t>Eau De Toilette Essência Do Brasil Profumo 970 Masculino 65ml Almíscar Lavanda Tabaco</t>
  </si>
  <si>
    <t>MLB3730974719</t>
  </si>
  <si>
    <t>Título com mais de 60 caracteres: Título com 85 caracteres (limite ML=60) | Documento de Notificação/Comunicação prévia na Anvisa não preenchido: Número de Notificação/Comunicação prévia na Anvisa não preenchido</t>
  </si>
  <si>
    <t>Kit Óleo Essencial Mandarina 20ml + Vegetal De Alecrim 30ml</t>
  </si>
  <si>
    <t>MLB4046827343</t>
  </si>
  <si>
    <t>Eau De Toilette Masculino Essência Do Brasil Profumo 783 65ml Toranja Vetiver Alecrim</t>
  </si>
  <si>
    <t>MLB3730974721</t>
  </si>
  <si>
    <t>Kit Óleo Essencial Litsea Cubeba 20ml + Vegetal Alecrim 30ml</t>
  </si>
  <si>
    <t>MLB4046840029</t>
  </si>
  <si>
    <t>Perfume Feminino Natural Violeta 50ml Volume Da Unidade 50 Ml</t>
  </si>
  <si>
    <t>MLB3730974723</t>
  </si>
  <si>
    <t>Kit Óleo Essencial Copaíba 20ml + Óleo Vegetal Alecrim 30ml</t>
  </si>
  <si>
    <t>MLB4046851605</t>
  </si>
  <si>
    <t>MLB3730974725</t>
  </si>
  <si>
    <t>Eau De Toilette Masculino Essência Do Brasil Profumo 614 65ml</t>
  </si>
  <si>
    <t>Kit Óleo Essen. Patchouli 20ml + Vegetal Alecrim 30ml</t>
  </si>
  <si>
    <t>Perfume Saudável Masculino Madeira Nobre 100ml - Natural</t>
  </si>
  <si>
    <t>MLB3069279688</t>
  </si>
  <si>
    <t>MLB4046864251</t>
  </si>
  <si>
    <t>MLB3730974727</t>
  </si>
  <si>
    <t>Eau De Toilette Masculino Essência Do Brasil 65ml Profumo 661 Lírio Cacau</t>
  </si>
  <si>
    <t>Kit Óleo Essen. Capim Limão 20ml + Vegetal De Alecrim 30ml</t>
  </si>
  <si>
    <t>Título com mais de 60 caracteres: Título com 73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</si>
  <si>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MLB1499757484</t>
  </si>
  <si>
    <t>MLB3730974729</t>
  </si>
  <si>
    <t>MLB4046877453</t>
  </si>
  <si>
    <t>Profumo 058 - Feminino 65ml Rosa, Baunilha, Tangerina Volume Da Unidade 65 Ml</t>
  </si>
  <si>
    <t>MLB3730974733</t>
  </si>
  <si>
    <t>Kit Óleo Essencial Palmarosa 20ml + Vegetal De Alecrim 30ml</t>
  </si>
  <si>
    <t>MLB4050142841</t>
  </si>
  <si>
    <t>Perfume Feminino Lírios Dourados &amp; Girassol Essência Do Brasil 100ml</t>
  </si>
  <si>
    <t>Título com mais de 60 caracteres: Título com 68 caracteres (limite ML=60) | Código universal do produto (GTIN) não preenchido (texto de exemplo do ML ainda lá): Texto de exemplo do template não foi substituído pelo código real | País de origem diferente de "Brasil": País de origem = "Importado", deveria ser "Brasil" | Documento de Notificação/Comunicação prévia na Anvisa não preenchido: Número de Notificação/Comunicação prévia na Anvisa não preenchido</t>
  </si>
  <si>
    <t>MLB3730974735</t>
  </si>
  <si>
    <t>Kit Óleo Essen. Limão Tahiti 20ml + Vegetal De Alecrim 30ml</t>
  </si>
  <si>
    <t>MLB4050168969</t>
  </si>
  <si>
    <t>Perfume Masculino Essência Do Brasil Almíscar Blanche 100ml + Mini 10ml</t>
  </si>
  <si>
    <t>MLB5829672670</t>
  </si>
  <si>
    <t>Título com mais de 60 caracteres: Título com 71 caracteres (limite ML=60) | Valor incomum em campo que deveria ser curto/categórico (dado errado colado): Valor incomum/muito longo para o campo "OLFACTORY_FAMILIES" (padrão da coluna é curto/categórico; parece dado errado colado aqui) | Documento de Notificação/Comunicação prévia na Anvisa não preenchido: Número de Notificação/Comunicação prévia na Anvisa não preenchido</t>
  </si>
  <si>
    <t>MLB3730974737</t>
  </si>
  <si>
    <t>Kit Óleo Essencial Gengibre 20ml + Óleo Vegetal Alecrim 30ml</t>
  </si>
  <si>
    <t>Perfume Le Tabac Masculino 100ml - Feito Com Óleo Essencial</t>
  </si>
  <si>
    <t>MLB2134909443</t>
  </si>
  <si>
    <t>MLB4056181741</t>
  </si>
  <si>
    <t>Perfume Masculino Essência Do Brasil Profumo 687 65ml Âmbar Cardamomo Tabaco</t>
  </si>
  <si>
    <t>MLB3730974739</t>
  </si>
  <si>
    <t>MLB5670472610</t>
  </si>
  <si>
    <t>MLB4056645045</t>
  </si>
  <si>
    <t>Perfume Patchouli Pimenta Masculino 100ml Elegância Noturna</t>
  </si>
  <si>
    <t>Eau De Toilette Feminino Essência Do Brasil Profumo 047 Jacinto 65ml</t>
  </si>
  <si>
    <t>MLB3580882875</t>
  </si>
  <si>
    <t>MLB3730987953</t>
  </si>
  <si>
    <t>Kit Óleo Essen. Sândalo Amyris 20ml + Vegetal Alecrim 30ml</t>
  </si>
  <si>
    <t>MLB3446635429</t>
  </si>
  <si>
    <t>MLB4056645543</t>
  </si>
  <si>
    <t>MLB3730987957</t>
  </si>
  <si>
    <t>Perfume Baunilha &amp; Sândalo Plus 100ml Feminino + Presente</t>
  </si>
  <si>
    <t>Kit Óleo Essencial Gerânio 20ml + Óleo Vegetal Alecrim 30ml</t>
  </si>
  <si>
    <t>MLB4059053347</t>
  </si>
  <si>
    <t>MLB3730987963</t>
  </si>
  <si>
    <t>Perfume Artemísia Marroquina Feminino 100ml + Spray 10ml</t>
  </si>
  <si>
    <t>Perfume Masculino Monsieur 100ml - Coleção França</t>
  </si>
  <si>
    <t>MLB4059754875</t>
  </si>
  <si>
    <t>MLB3731000331</t>
  </si>
  <si>
    <t>MLB4059096083</t>
  </si>
  <si>
    <t>Kit Óleo Essencial Basilicão 20ml + Vegetal De Alecrim 30ml</t>
  </si>
  <si>
    <t>Eau De Parfum Essência Do Brasil Hortelã Brava Masculino 100ml + Roll On</t>
  </si>
  <si>
    <t>MLB1490232380</t>
  </si>
  <si>
    <t>MLB3731000333</t>
  </si>
  <si>
    <t>Kit Óleo Essen. Laranja Amarga 20ml + Vegetal Alecrim 30ml</t>
  </si>
  <si>
    <t>MLB4059104349</t>
  </si>
  <si>
    <t>Eau De Parfum Essência Do Brasil Wintergreen Refrescante Para Mulher Com Spray</t>
  </si>
  <si>
    <t>MLB4322205445</t>
  </si>
  <si>
    <t>MLB3731000337</t>
  </si>
  <si>
    <t>Kit Óleo Essen. Lavanda BuLGária 20ml + Vegetal Alecrim 30ml</t>
  </si>
  <si>
    <t>MLB4059695385</t>
  </si>
  <si>
    <t>Perfume Essência Do Brasil Funcho Doce Feminino 100ml + Roll On 10ml</t>
  </si>
  <si>
    <t>MLB3731000339</t>
  </si>
  <si>
    <t>Kit Óleo Essencial Citronela 20ml + Vegetal De Alecrim 30ml</t>
  </si>
  <si>
    <t>MLB4059719819</t>
  </si>
  <si>
    <t>Perfume Grapefruit Vibrante Masculino 100ml + Roll On 10ml</t>
  </si>
  <si>
    <t>MLB4481447231</t>
  </si>
  <si>
    <t>MLB3731000343</t>
  </si>
  <si>
    <t>Kit Óleo Essencial Pinho Sibéria 20ml + Vegetal Alecrim 30ml</t>
  </si>
  <si>
    <t>MLB3731000345</t>
  </si>
  <si>
    <t>Kit Óleo Essen. Cravo Folha 20ml + Vegetal De Alecrim 30ml</t>
  </si>
  <si>
    <t>MLB7193069196</t>
  </si>
  <si>
    <t>MLB4059815099</t>
  </si>
  <si>
    <t>Eau De Parfum Essência Do Brasil Limão Siciliano Radiante, Com Roll-on Feminino</t>
  </si>
  <si>
    <t>MLB3731013427</t>
  </si>
  <si>
    <t>Kit Óleo Essencial Ho Wood 20ml + Óleo Vegetal Alecrim 30ml</t>
  </si>
  <si>
    <t>MLB4059889831</t>
  </si>
  <si>
    <t>Perfume Atena 100ml Essência Do Brasil Floral Refrescante Mulheres</t>
  </si>
  <si>
    <t>MLB3731013431</t>
  </si>
  <si>
    <t>Kit Óleo Essen. Menta Arvensis 20ml + Vegetal Alecrim 30ml</t>
  </si>
  <si>
    <t>MLB4066421330</t>
  </si>
  <si>
    <t>Perfume Feminino Volcan D'amour 100ml - Paixão Irresistível</t>
  </si>
  <si>
    <t>MLB3731013433</t>
  </si>
  <si>
    <t>Kit Óleo Essen. Cravo Botão 20ml + Vegetal De Alecrim 30ml</t>
  </si>
  <si>
    <t>MLB1490230930</t>
  </si>
  <si>
    <t>MLB4070620195</t>
  </si>
  <si>
    <t>MLB3731013435</t>
  </si>
  <si>
    <t>Perfume Essência Do Brasil Grapefruit Absolu Extrait De Parfum Masculino Com Spray E Mini</t>
  </si>
  <si>
    <t>Kit Óleo Essen. Euc. Citriodora 20ml + Vegetal Alecrim 30ml</t>
  </si>
  <si>
    <t>MLB3731013439</t>
  </si>
  <si>
    <t>MLB4070707039</t>
  </si>
  <si>
    <t>Kit Óleo Essencial Manjerona 20ml + Vegetal De Alecrim 30ml</t>
  </si>
  <si>
    <t>Perfume Feminino Profumo 268 Rosa Peônia Almíscar 65 Ml</t>
  </si>
  <si>
    <t>MLB3731013441</t>
  </si>
  <si>
    <t>MLB4078466033</t>
  </si>
  <si>
    <t>Kit Óleo Essen. Cânfora Branca 20ml + Vegetal Alecrim 30ml</t>
  </si>
  <si>
    <t>Perfume Masculino Essência Do Brasil Com Golf Black E Dark Code</t>
  </si>
  <si>
    <t>MLB3731013443</t>
  </si>
  <si>
    <t>MLB4079646241</t>
  </si>
  <si>
    <t>MLB4674201702</t>
  </si>
  <si>
    <t>Perfume Parfum Essência Do Brasil Artesano Vegano 60ml Spray</t>
  </si>
  <si>
    <t>MLB3731026439</t>
  </si>
  <si>
    <t>Kit Óleo Essen. Ylang Ylang 20ml + Vegetal De Alecrim 30ml</t>
  </si>
  <si>
    <t>MLB4079648463</t>
  </si>
  <si>
    <t>Perfume Masculino Essência Do Brasil Com Dark Code E Oceanus</t>
  </si>
  <si>
    <t>MLB3731026441</t>
  </si>
  <si>
    <t>Kit Óleo Essencial Louro 20ml + Óleo Vegetal De Alecrim 30ml</t>
  </si>
  <si>
    <t>MLB4079699167</t>
  </si>
  <si>
    <t>MLB2026480165</t>
  </si>
  <si>
    <t>Parfum Feminino Essência Do Brasil Com Attraction 100ml E Dama Da Noite 50ml</t>
  </si>
  <si>
    <t>MLB3731039359</t>
  </si>
  <si>
    <t>MLB5094578354</t>
  </si>
  <si>
    <t>Kit Óleo Essencial Bergamota 20ml + Vegetal De Alecrim 30ml</t>
  </si>
  <si>
    <t>MLB4079699643</t>
  </si>
  <si>
    <t>Perfume Masculino Essência Do Brasil Almíscar Selvagem 100ml + Seduction 50ml</t>
  </si>
  <si>
    <t>MLB3731039361</t>
  </si>
  <si>
    <t>MLB4079711767</t>
  </si>
  <si>
    <t>Parfum Masculino Essência Do Brasil: Oceanus 100ml E Seduction 50ml</t>
  </si>
  <si>
    <t>MLB3731039363</t>
  </si>
  <si>
    <t>Kit Óleo Essen. Noz-moscada 20ml + Vegetal De Alecrim 30ml</t>
  </si>
  <si>
    <t>MLB4079712141</t>
  </si>
  <si>
    <t>Perfume Feminino Essência Do Brasil Volcan D'amour 100ml E Flor De Jasmim 50ml</t>
  </si>
  <si>
    <t>MLB3731039365</t>
  </si>
  <si>
    <t>MLB4079712211</t>
  </si>
  <si>
    <t>Perfume Essência Do Brasil Flor De Jasmim 100ml + Afrodite 50ml Feminino</t>
  </si>
  <si>
    <t>MLB3731039367</t>
  </si>
  <si>
    <t>Kit Óleo Essencial Melaleuca 20ml + Vegetal De Alecrim 30ml</t>
  </si>
  <si>
    <t>MLB4079717799</t>
  </si>
  <si>
    <t>MLB3731039369</t>
  </si>
  <si>
    <t>Perfume Masculino Dark Tabac 100ml + Dark Code 50ml</t>
  </si>
  <si>
    <t>Kit Óleo Essencial Tomilho 20ml + Óleo Vegetal Alecrim 30ml</t>
  </si>
  <si>
    <t>MLB4079717853</t>
  </si>
  <si>
    <t>Kit Óleo Essencial Capim Limão + Óleo Vegetal Alecrim 10ml</t>
  </si>
  <si>
    <t>MLB3731039371</t>
  </si>
  <si>
    <t>MLB3979886373</t>
  </si>
  <si>
    <t>Perfume Essência Do Brasil Attraction E Golf Black Masculino</t>
  </si>
  <si>
    <t>Kit Óleo Essencial Tangerina 20ml + Vegetal De Alecrim 30ml</t>
  </si>
  <si>
    <t>MLB4194967230</t>
  </si>
  <si>
    <t>MLB4079720299</t>
  </si>
  <si>
    <t>MLB3782129394</t>
  </si>
  <si>
    <t>Perfume Masculino Essência Do Brasil Seduction 100ml + Dark Code 50ml</t>
  </si>
  <si>
    <t>MLB4410543310</t>
  </si>
  <si>
    <t>MLB4079729237</t>
  </si>
  <si>
    <t>MLB3782129398</t>
  </si>
  <si>
    <t>Perfume Masculino Essência Do Brasil Dark Code E Dark Tabac</t>
  </si>
  <si>
    <t>Kit 4 Essências Aromatizador/difusor 10ml - Valsa Das Flores</t>
  </si>
  <si>
    <t>MLB4079729373</t>
  </si>
  <si>
    <t>MLB3782140098</t>
  </si>
  <si>
    <t>Perfume Feminino Essência Do Brasil Flor De Jasmim 100ml + Dama Da Noite 50ml</t>
  </si>
  <si>
    <t>Kit 4 Essências Aromatizador/difusor 10ml Frutas Brasileiras</t>
  </si>
  <si>
    <t>MLB4079731773</t>
  </si>
  <si>
    <t>MLB3782140100</t>
  </si>
  <si>
    <t>Perfume Masculino Patchouli 100ml Dark Code 50ml Essência Do Brasil</t>
  </si>
  <si>
    <t>Perfume Baunilha &amp; Patchouli 10ml - Roll On Feminino</t>
  </si>
  <si>
    <t>Kit 4 Essências Aromatizador/difusor 10ml - Aromas Florais</t>
  </si>
  <si>
    <t>MLB5829599938</t>
  </si>
  <si>
    <t>MLB2857400366</t>
  </si>
  <si>
    <t>MLB3782140104</t>
  </si>
  <si>
    <t>MLB4079731909</t>
  </si>
  <si>
    <t>Kit 4 Essências Aromatizador/difusor 10ml Encantos Do Jardim</t>
  </si>
  <si>
    <t>Perfume Masculino Essência Do Brasil Almíscar Selvagem 100ml + Golf Blue 50ml</t>
  </si>
  <si>
    <t>Perfume Feminino Rosas Vermelhas 100ml - Com Óleo Essencial</t>
  </si>
  <si>
    <t>MLB1677153651</t>
  </si>
  <si>
    <t>MLB3782140106</t>
  </si>
  <si>
    <t>MLB4079731979</t>
  </si>
  <si>
    <t>Kit 4 Essências Aromatizador/difusor 10ml - Sobremesas</t>
  </si>
  <si>
    <t>MLB4425213581</t>
  </si>
  <si>
    <t>Perfume Feminino Essência Do Brasil Com Flor De Jasmim E Opium De Chine</t>
  </si>
  <si>
    <t>MLB3782278538</t>
  </si>
  <si>
    <t>Kit 4 Essências Aromatizador/difusor 10ml Refrescância Verde</t>
  </si>
  <si>
    <t>MLB4079740683</t>
  </si>
  <si>
    <t>Perfume Masculino Essência Do Brasil Com Attraction 100ml E Oceanus 50ml</t>
  </si>
  <si>
    <t>MLB3782278540</t>
  </si>
  <si>
    <t>MLB2026518429</t>
  </si>
  <si>
    <t>Kit 4 Essências Aromatizador/difusor 10ml - Confeitaria</t>
  </si>
  <si>
    <t>MLB4079740845</t>
  </si>
  <si>
    <t>MLB3782278542</t>
  </si>
  <si>
    <t>Kit 4 Essên. Aromatizador/difusor 10ml Especiarias Orientais</t>
  </si>
  <si>
    <t>Perfume Essência Do Brasil Feminino Pure Instinct 100ml + Opium De Chine 50ml</t>
  </si>
  <si>
    <t>MLB3782278544</t>
  </si>
  <si>
    <t>MLB4083750321</t>
  </si>
  <si>
    <t>Kit 4 Essências Aromatizador/difusor 10ml - Brisa De Verão</t>
  </si>
  <si>
    <t>Perfume Masculino Menta Da Índia 100ml Volume Da Unidade 100 Ml</t>
  </si>
  <si>
    <t>Perfume Sândalo Plus &amp; Mirra 100ml Feminino + Presente</t>
  </si>
  <si>
    <t>MLB4384429859</t>
  </si>
  <si>
    <t>MLB3782278546</t>
  </si>
  <si>
    <t>Kit 4 Essências Aromatizador/difusor 10ml Delícias Vermelhas</t>
  </si>
  <si>
    <t>MLB4087087198</t>
  </si>
  <si>
    <t>MLB1488637507</t>
  </si>
  <si>
    <t>Perfume Masculino Natural Limão Siciliano 50ml Essência Do Brasil</t>
  </si>
  <si>
    <t>Título com mais de 60 caracteres: Título com 65 caracteres (limite ML=60) | 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</si>
  <si>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MLB3782278550</t>
  </si>
  <si>
    <t>Perfume Cedro &amp; Limão Siciliano 100ml Feminino + Presente</t>
  </si>
  <si>
    <t>Kit 4 Essências Aromatizador/difusor 10ml - Energia Cítricos</t>
  </si>
  <si>
    <t>MLB4648409578</t>
  </si>
  <si>
    <t>MLB4090260943</t>
  </si>
  <si>
    <t>Parfum Masculino Essência Do Brasil Profumo 809 Lírio Almíscar Canela 65ml</t>
  </si>
  <si>
    <t>MLB1488644378</t>
  </si>
  <si>
    <t>MLB4094732883</t>
  </si>
  <si>
    <t>MLB3782288358</t>
  </si>
  <si>
    <t>Perfume Tangerina Radiante Masculino 100ml + Roll On 10ml</t>
  </si>
  <si>
    <t>Kit 4 Essências Aromatizador/difusor 10ml - Bem-estar Herbal</t>
  </si>
  <si>
    <t>MLB3782288360</t>
  </si>
  <si>
    <t>MLB4102591395</t>
  </si>
  <si>
    <t>Kit 4 Essências Aromatizador/difusor 10ml Sabores Tropicais</t>
  </si>
  <si>
    <t>Perfume Dama Da Noite E Petitgrain Da Essência Do Brasil, 100 Ml</t>
  </si>
  <si>
    <t>Título com mais de 60 caracteres: Título com 64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</si>
  <si>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MLB3782288362</t>
  </si>
  <si>
    <t>MLB4128539907</t>
  </si>
  <si>
    <t>Kit 4 Essências Aromatizador/difusor 10ml - Adocicados</t>
  </si>
  <si>
    <t>Perfume Funcho Doce Delicado Feminino 50ml</t>
  </si>
  <si>
    <t>MLB3817241989</t>
  </si>
  <si>
    <t>Perfume Masculino Natural Patchouli Intenso 100ml</t>
  </si>
  <si>
    <t>Óleo Essencial Alecrim 10ml Puro</t>
  </si>
  <si>
    <t>MLB3639354501</t>
  </si>
  <si>
    <t>MLB4128660049</t>
  </si>
  <si>
    <t>Perfume Masculino Basilicão Essência Do Brasil De 50 Ml</t>
  </si>
  <si>
    <t>MLB3837947737</t>
  </si>
  <si>
    <t>MLB1349521846</t>
  </si>
  <si>
    <t>MLB4128665753</t>
  </si>
  <si>
    <t>Perfume Masculino Essência Do Brasil Sálvia &amp; Alecrim 100ml Spray Set</t>
  </si>
  <si>
    <t>Perfume Masculino Natural Flor De Laranjeira 100ml</t>
  </si>
  <si>
    <t>MLB3678342991</t>
  </si>
  <si>
    <t>MLB3837948583</t>
  </si>
  <si>
    <t>Título com mais de 60 caracteres: Título com 69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</si>
  <si>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MLB4128677477</t>
  </si>
  <si>
    <t>MLB1349527780</t>
  </si>
  <si>
    <t>Parfum Essência Do Brasil Profumo 718 Masculino 65ml Pimenta Rosa Canela Tabaco</t>
  </si>
  <si>
    <t>MLB3837998361</t>
  </si>
  <si>
    <t>Perfume Elegante Masculino Patchouli 100ml + Perfume 10ml</t>
  </si>
  <si>
    <t>MLB1499764292</t>
  </si>
  <si>
    <t>MLB4128685245</t>
  </si>
  <si>
    <t>Perfume Essência Do Brasil Floral Angélica E Gardênia Masculino 100ml</t>
  </si>
  <si>
    <t>MLB6638070688</t>
  </si>
  <si>
    <t>MLB3838008189</t>
  </si>
  <si>
    <t>MLB4128856569</t>
  </si>
  <si>
    <t>Kit 3 Perfumes Roll On 10ml - Patchouli, Almíscar E Cedro</t>
  </si>
  <si>
    <t>MLB1958043318</t>
  </si>
  <si>
    <t>Parfum Feminino Essência Do Brasil Petitgrain E Patchouli Com Mini Perfume De Presente</t>
  </si>
  <si>
    <t>Título com mais de 60 caracteres: Título com 86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</si>
  <si>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MLB3865664585</t>
  </si>
  <si>
    <t>MLB3635793623</t>
  </si>
  <si>
    <t>MLB4130392583</t>
  </si>
  <si>
    <t>Perfume Menta Absolu 100ml Extrait De Parfum Essência Do Brasil</t>
  </si>
  <si>
    <t>Profumo 002 - Feminino 65ml Mirra, Cravo, Almíscar</t>
  </si>
  <si>
    <t>MLB3898600313</t>
  </si>
  <si>
    <t>MLB2186758941</t>
  </si>
  <si>
    <t>Kit Óleo Essencial Lavandim + Óleo Vegetal De Alecrim 10ml</t>
  </si>
  <si>
    <t>MLB4130402441</t>
  </si>
  <si>
    <t>Perfume Limão Siciliano Absolu 100ml Essência Do Brasil Extrait</t>
  </si>
  <si>
    <t>MLB4875701043</t>
  </si>
  <si>
    <t>MLB3906459625</t>
  </si>
  <si>
    <t>MLB4130406885</t>
  </si>
  <si>
    <t>Perfume Masculino Essência Do Brasil Verbena &amp; Manjerona De 100 Ml Com Miniatura</t>
  </si>
  <si>
    <t>MLB3907641703</t>
  </si>
  <si>
    <t>Ano de lançamento preenchido (deveria ficar em branco); Documento de Notificação/Comunicação prévia na Anvisa não preenchido; Título com mais de 60 caracteres</t>
  </si>
  <si>
    <t>Kit Óleo Essencial Basilicão + Óleo Vegetal De Alecrim 10ml</t>
  </si>
  <si>
    <t>Título com mais de 60 caracteres: Título com 80 caracteres (limite ML=60) | Ano de lançamento preenchido (deveria ficar em branco): Ano de lançamento preenchido ("2006") - regra do negócio é deixar em branco | Documento de Notificação/Comunicação prévia na Anvisa não preenchido: Número de Notificação/Comunicação prévia na Anvisa não preenchido</t>
  </si>
  <si>
    <t>MLB4787618785</t>
  </si>
  <si>
    <t>MLB4130415705</t>
  </si>
  <si>
    <t>Perfume Blend De Patchouli, Bergamota &amp; Limão 100ml Cítrico</t>
  </si>
  <si>
    <t>MLB3969903766</t>
  </si>
  <si>
    <t>Perfume Essência Do Brasil Tangerina Absolu 100ml Extrait 40% Óleos</t>
  </si>
  <si>
    <t>MLB3551701593</t>
  </si>
  <si>
    <t>MLB3550034559</t>
  </si>
  <si>
    <t>MLB4130417777</t>
  </si>
  <si>
    <t>Essência Do Brasil Perfume Rosa Amarela Elixir 100ml Extrait De Parfum Floral</t>
  </si>
  <si>
    <t>MLB4130421449</t>
  </si>
  <si>
    <t>Essência Do Brasil Artesano Perfume Amadeirado 60ml Vegano Cruelty Free</t>
  </si>
  <si>
    <t>MLB4131211471</t>
  </si>
  <si>
    <t>MLB4001477399</t>
  </si>
  <si>
    <t>Perfume Feminino Essência Do Brasil Parfum 100ml + Óleo Roll-on 10ml</t>
  </si>
  <si>
    <t>Kit Óleo Essencial Citronela + Óleo Vegetal Alecrim 10ml</t>
  </si>
  <si>
    <t>MLB4015723281</t>
  </si>
  <si>
    <t>MLB4132230975</t>
  </si>
  <si>
    <t>Óleo Essencial Eucalipto Staigeriana 30ml Essência Do Brasil</t>
  </si>
  <si>
    <t>Essência Do Brasil Perfume Masculino Dark Code 100ml Edt + Nécessaire</t>
  </si>
  <si>
    <t>MLB4042988137</t>
  </si>
  <si>
    <t>MLB4146532695</t>
  </si>
  <si>
    <t>Eau De Toilette Sinergia 14 Essência Do Brasil De Sândalo E Bergamota Com Ylang-ylang</t>
  </si>
  <si>
    <t>Perfume Feminino Natural Acácia 100ml</t>
  </si>
  <si>
    <t>MLB4674201164</t>
  </si>
  <si>
    <t>MLB4058386135</t>
  </si>
  <si>
    <t>MLB4146545307</t>
  </si>
  <si>
    <t>MLB1349518388</t>
  </si>
  <si>
    <t>Perfume Sinergia 3 - Cedro, Sândalo, Patchouli 100ml</t>
  </si>
  <si>
    <t>MLB4085663579</t>
  </si>
  <si>
    <t>Perfume Madeira Nobre &amp; Manjerona 100ml Masculino + Presente</t>
  </si>
  <si>
    <t>MLB4147502651</t>
  </si>
  <si>
    <t>MLB1488261546</t>
  </si>
  <si>
    <t>Perfume Sinergia 15 - Grapefruit, Alecrim, Hortelã 100ml</t>
  </si>
  <si>
    <t>MLB6216054784</t>
  </si>
  <si>
    <t>MLB4092510341</t>
  </si>
  <si>
    <t>MLB4156132299</t>
  </si>
  <si>
    <t>Perfume Roll On Essência Do Brasil Gerânio Elegante Feminino 10ml Natural</t>
  </si>
  <si>
    <t>MLB4116767935</t>
  </si>
  <si>
    <t>MLB4156133909</t>
  </si>
  <si>
    <t>Perfume Masculino Essência Do Brasil Com Almíscar E Attar 100 Ml</t>
  </si>
  <si>
    <t>MLB4116767937</t>
  </si>
  <si>
    <t>Óleo Essencial De Yuzu Japão + Óleo Vegetal De Alecrim 10ml</t>
  </si>
  <si>
    <t>MLB4156146535</t>
  </si>
  <si>
    <t>Perfume Masculino Essência Do Brasil Patchouli Dark + Arabian 100ml Spray</t>
  </si>
  <si>
    <t>MLB4116768017</t>
  </si>
  <si>
    <t>Óleo Essencial De Cabreúva + Vegetal De Rosa Mosqueta 10ml</t>
  </si>
  <si>
    <t>MLB4157526957</t>
  </si>
  <si>
    <t>Perfume Sinergia 5 Essência Do Brasil Eau De Toilette Com Vetiver, Cipreste E Sálvia Sclarea</t>
  </si>
  <si>
    <t>Título com mais de 60 caracteres: Título com 92 caracteres (limite ML=60) | Anúncio sem descrição: Descrição vazia | Documento de Notificação/Comunicação prévia na Anvisa não preenchido: Número de Notificação/Comunicação prévia na Anvisa não preenchido</t>
  </si>
  <si>
    <t>MLB4116780997</t>
  </si>
  <si>
    <t>Óleo Essencial Grapefruit Espanha + Vegetal R. Mosqueta 10ml</t>
  </si>
  <si>
    <t>MLB4159497153</t>
  </si>
  <si>
    <t>Perfume Flor De Jasmim &amp; Violeta 100ml Feminino + Presente</t>
  </si>
  <si>
    <t>MLB3717549930</t>
  </si>
  <si>
    <t>Perfume Sinergia 2 - Manjerona, Laranja Doce, Vetiver 10ml</t>
  </si>
  <si>
    <t>MLB4116780999</t>
  </si>
  <si>
    <t>MLB1488628358</t>
  </si>
  <si>
    <t>MLB4137135789</t>
  </si>
  <si>
    <t>MLB4159503057</t>
  </si>
  <si>
    <t>Óleo Essencial Alecrim Da Tunísia + Vegetal R. Mosqueta 10ml</t>
  </si>
  <si>
    <t>MLB4612921106</t>
  </si>
  <si>
    <t>MLB4137135791</t>
  </si>
  <si>
    <t>MLB4160335285</t>
  </si>
  <si>
    <t>Perfume Sinergia 15 - Grapefruit, Alecrim, Hortelã 10ml</t>
  </si>
  <si>
    <t>Perfume Cipreste &amp; Sândalo Plus 100ml Masculino + Presente</t>
  </si>
  <si>
    <t>MLB1488254806</t>
  </si>
  <si>
    <t>MLB4161085766</t>
  </si>
  <si>
    <t>Óleo Essencial Cipreste 10ml Essência Do Brasil Para Difusor</t>
  </si>
  <si>
    <t>MLB4427444356</t>
  </si>
  <si>
    <t>MLB4194879442</t>
  </si>
  <si>
    <t>Kit Óleo Essencial Litsea Cubeba + Óleo Vegetal Alecrim 10ml</t>
  </si>
  <si>
    <t>MLB4161100326</t>
  </si>
  <si>
    <t>Eau De Toilette Feminino Essência Do Brasil Liberty 30ml Floral</t>
  </si>
  <si>
    <t>MLB4194879444</t>
  </si>
  <si>
    <t>Kit Óleo Essencial Lavanda Francesa + Vegetal Alecrim 10ml</t>
  </si>
  <si>
    <t>MLB7193064392</t>
  </si>
  <si>
    <t>MLB4161339412</t>
  </si>
  <si>
    <t>Perfume Masculino Essência Do Brasil Deep Blue 100ml Amadeirado Aquático</t>
  </si>
  <si>
    <t>MLB4194879446</t>
  </si>
  <si>
    <t>Kit Óleo Essencial Anis-estrelado + Vegetal De Alecrim 10ml</t>
  </si>
  <si>
    <t>MLB7026373216</t>
  </si>
  <si>
    <t>MLB4183684859</t>
  </si>
  <si>
    <t>MLB4194879456</t>
  </si>
  <si>
    <t>Perfume Hortelã &amp; Menta Adventure 100ml Feminino + Presente</t>
  </si>
  <si>
    <t>Kit Óleo Essencial Lavanda BuLGária + Vegetal Alecrim 10ml</t>
  </si>
  <si>
    <t>MLB4185712359</t>
  </si>
  <si>
    <t>MLB4194879470</t>
  </si>
  <si>
    <t>Essência Do Brasil Perfume Patchouli Masculino Amadeirado Oriental 100ml</t>
  </si>
  <si>
    <t>Kit Óleo Essencial Laranja Amarga + Vegetal De Alecrim 10ml</t>
  </si>
  <si>
    <t>MLB4412318283</t>
  </si>
  <si>
    <t>Perfume Feminino Natural Erva Doce 100ml</t>
  </si>
  <si>
    <t>MLB4187498895</t>
  </si>
  <si>
    <t>MLB3580501335</t>
  </si>
  <si>
    <t>MLB4194879472</t>
  </si>
  <si>
    <t>Perfume Essência Do Brasil Sândalo Plus &amp; Manjerona 100ml Parfum Masculino</t>
  </si>
  <si>
    <t>Kit Óleo Essencial Cravo Folha + Óleo Vegetal Alecrim 10ml</t>
  </si>
  <si>
    <t>Título com mais de 60 caracteres: Título com 74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</si>
  <si>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MLB1349521826</t>
  </si>
  <si>
    <t>MLB4188783970</t>
  </si>
  <si>
    <t>MLB4194892632</t>
  </si>
  <si>
    <t>Essência Do Brasil Perfume Patchouli Eau De Toilette 100ml + Roll On</t>
  </si>
  <si>
    <t>Título com mais de 60 caracteres: Título com 68 caracteres (limite ML=60) | Descrição repetida em outros anúncios com título diferente (verificar se é boilerplate ou erro): Mesma descrição usada em 2 anúncios com títulos diferentes | Tipo de perfume cadastrado diverge do que está no título/nome: Campo "Tipo de perfume" = "Eau De Toillete", mas título/nome menciona ['Eau de toilette'] | Documento de Notificação/Comunicação prévia na Anvisa não preenchido: Número de Notificação/Comunicação prévia na Anvisa não preenchido</t>
  </si>
  <si>
    <t>MLB4194892638</t>
  </si>
  <si>
    <t>MLB4188835185</t>
  </si>
  <si>
    <t>Kit Óleo Essencial Lemongrass + Óleo Vegetal Alecrim 10ml</t>
  </si>
  <si>
    <t>Essência Do Brasil Perfume Feminino Dama Da Noite + Afrodite 100ml + Brinco 4mm</t>
  </si>
  <si>
    <t>MLB4217568132</t>
  </si>
  <si>
    <t>MLB4194892640</t>
  </si>
  <si>
    <t>MLB4191128968</t>
  </si>
  <si>
    <t>Perfume Masculino Essência Do Brasil Natural 10ml Noz Moscada Roll On</t>
  </si>
  <si>
    <t>Kit Óleo Essencial Eucalipto Globulus + Vegetal Alecrim 10ml</t>
  </si>
  <si>
    <t>MLB4217569796</t>
  </si>
  <si>
    <t>MLB4194892660</t>
  </si>
  <si>
    <t>Título com mais de 60 caracteres: Título com 69 caracteres (limite ML=60) | Descrição repetida em outros anúncios com título diferente (verificar se é boilerplate ou erro): Mesma descrição usada em 2 anúncios com títulos diferentes | País de origem diferente de "Brasil": País de origem = "(vazio)", deveria ser "Brasil" | Documento de Notificação/Comunicação prévia na Anvisa não preenchido: Número de Notificação/Comunicação prévia na Anvisa não preenchido</t>
  </si>
  <si>
    <t>Kit Óleo Essencial Tangerina + Óleo Vegetal De Alecrim 10ml</t>
  </si>
  <si>
    <t>MLB4195056852</t>
  </si>
  <si>
    <t>MLB4191460452</t>
  </si>
  <si>
    <t>Perfume Patchouli Sport Masculino 100ml Eau De Toilette Essência Do Brasil</t>
  </si>
  <si>
    <t>MLB4217606888</t>
  </si>
  <si>
    <t>MLB4191770215</t>
  </si>
  <si>
    <t>MLB4194954460</t>
  </si>
  <si>
    <t>Eau De Cologne Masculino Essência Do Brasil Arabian + Patchouli 100ml</t>
  </si>
  <si>
    <t>Kit Óleo Essencial Ho Wood + Óleo Vegetal De Alecrim 10ml</t>
  </si>
  <si>
    <t>MLB4217361970</t>
  </si>
  <si>
    <t>MLB4194954480</t>
  </si>
  <si>
    <t>Perfume Deep Flower Masculino 100ml - Extrait De Parfum</t>
  </si>
  <si>
    <t>Kit Óleo Essencial Bergamota + Óleo Vegetal De Alecrim 10ml</t>
  </si>
  <si>
    <t>Documento de Notificação/Comunicação prévia na Anvisa não preenchido; País de origem diferente de "Brasil"; Tipo de perfume cadastrado diverge do que está no título/nome</t>
  </si>
  <si>
    <t>Tipo de perfume cadastrado diverge do que está no título/nome: Campo "Tipo de perfume" = "Eau de parfum", mas título/nome menciona ['Parfum', 'Extrait de parfum'] | País de origem diferente de "Brasil": País de origem = "(vazio)", deveria ser "Brasil" | Documento de Notificação/Comunicação prévia na Anvisa não preenchido: Número de Notificação/Comunicação prévia na Anvisa não preenchido</t>
  </si>
  <si>
    <t>MLB4194954484</t>
  </si>
  <si>
    <t>MLB4217361976</t>
  </si>
  <si>
    <t>Kit Óleo Essencial Orégano + Óleo Vegetal De Alecrim 10ml</t>
  </si>
  <si>
    <t>MLB4194954486</t>
  </si>
  <si>
    <t>MLB4217375014</t>
  </si>
  <si>
    <t>Perfume Feminino Ponte Vecchio Joias Gemma Rubi 100ml Amadeirado</t>
  </si>
  <si>
    <t>Perfume Natural De Mirra - Masculino Natural 30ml</t>
  </si>
  <si>
    <t>MLB1349799016</t>
  </si>
  <si>
    <t>Título com mais de 60 caracteres: Título com 64 caracteres (limite ML=60) | Marca cadastrada incorreta/inconsistente: Marca "Ponte Vecchio Joias" difere da marca própria esperada "Essência do Brasil" | País de origem diferente de "Brasil": País de origem = "Itália", deveria ser "Brasil" | Documento de Notificação/Comunicação prévia na Anvisa não preenchido: Número de Notificação/Comunicação prévia na Anvisa não preenchido</t>
  </si>
  <si>
    <t>MLB4194954492</t>
  </si>
  <si>
    <t>Kit Óleo Essencial Canela + Óleo Vegetal De Alecrim 10ml</t>
  </si>
  <si>
    <t>MLB4217375034</t>
  </si>
  <si>
    <t>MLB7083942942</t>
  </si>
  <si>
    <t>Perfume Masculino Essência Do Brasil Natural Black Almíscar Oriental 10ml</t>
  </si>
  <si>
    <t>MLB4194954496</t>
  </si>
  <si>
    <t>Kit Óleo Essencial Cipreste + Óleo Vegetal De Alecrim 10ml</t>
  </si>
  <si>
    <t>Perfume Amber Masculino 100ml</t>
  </si>
  <si>
    <t>MLB1490231218</t>
  </si>
  <si>
    <t>MLB4194954504</t>
  </si>
  <si>
    <t>MLB4221733233</t>
  </si>
  <si>
    <t>Perfume Feminino Natural Patchouli 100ml</t>
  </si>
  <si>
    <t>MLB3595788063</t>
  </si>
  <si>
    <t>MLB4194967194</t>
  </si>
  <si>
    <t>MLB4221970307</t>
  </si>
  <si>
    <t>Kit Óleo Essencial Laranja Doce + Óleo Vegetal Alecrim 10ml</t>
  </si>
  <si>
    <t>Perfume Feminino Cássia Essência Do Brasil, Eau De Toilette Especiado</t>
  </si>
  <si>
    <t>MLB4194967196</t>
  </si>
  <si>
    <t>Kit Óleo Essencial Pimenta Preta + Vegetal De Alecrim 10ml</t>
  </si>
  <si>
    <t>MLB4231375839</t>
  </si>
  <si>
    <t>Parfum Feminino Essência Do Brasil Almíscar Patchouli Couro 65ml Spray</t>
  </si>
  <si>
    <t>MLB4194967228</t>
  </si>
  <si>
    <t>Kit Óleo Essencial Alecrim + Óleo Vegetal De Alecrim 10ml</t>
  </si>
  <si>
    <t>MLB4237788976</t>
  </si>
  <si>
    <t>Perfume Feminino Essência Do Brasil De Alfazema 100 Ml</t>
  </si>
  <si>
    <t>Documento de Notificação/Comunicação prévia na Anvisa não preenchido; Gênero cadastrado diverge do gênero indicado no título; País de origem diferente de "Brasil"</t>
  </si>
  <si>
    <t>País de origem diferente de "Brasil": País de origem = "(vazio)", deveria ser "Brasil" | Documento de Notificação/Comunicação prévia na Anvisa não preenchido: Número de Notificação/Comunicação prévia na Anvisa não preenchido | Gênero cadastrado diverge do gênero indicado no título: Título indica um gênero mas campo Gênero está "Masculino" - risco do cliente comprar errado</t>
  </si>
  <si>
    <t>Perfume Patchouli &amp; Pau Rosa 10ml - Roll On Masculino</t>
  </si>
  <si>
    <t>MLB4238580460</t>
  </si>
  <si>
    <t>MLB2857361747</t>
  </si>
  <si>
    <t>MLB4194967232</t>
  </si>
  <si>
    <t>Perfume Roll On Essência Do Brasil Com Verbena E Ylang Ylang Feminino 10 Ml</t>
  </si>
  <si>
    <t>MLB4258254770</t>
  </si>
  <si>
    <t>MLB4243518636</t>
  </si>
  <si>
    <t>MLB4194980528</t>
  </si>
  <si>
    <t>Perfume Pimenta 26 - 60ml Vegano E Cruelty Free Volume Da Unidade 60 Ml</t>
  </si>
  <si>
    <t>Kit Óleo Essencial Petitgrain + Óleo Vegetal De Alecrim 10ml</t>
  </si>
  <si>
    <t>MLB4243522054</t>
  </si>
  <si>
    <t>Essência Do Brasil Extrait De Parfum Perfume Sicily Nobile Edição Limitada 70ml</t>
  </si>
  <si>
    <t>Título com mais de 60 caracteres: Título com 79 caracteres (limite ML=60) | Tipo de perfume cadastrado diverge do que está no título/nome: Campo "Tipo de perfume" = "Eau de parfum", mas título/nome menciona ['Parfum', 'Extrait de parfum'] | Documento de Notificação/Comunicação prévia na Anvisa não preenchido: Número de Notificação/Comunicação prévia na Anvisa não preenchido</t>
  </si>
  <si>
    <t>MLB4194980556</t>
  </si>
  <si>
    <t>MLB4263475631</t>
  </si>
  <si>
    <t>Kit Óleo Essencial Menta Arvensis + Vegetal De Alecrim 10ml</t>
  </si>
  <si>
    <t>Perfume Masculino Essência Do Brasil Com Patchouli Timeless E Arabian 100ml</t>
  </si>
  <si>
    <t>MLB4194992574</t>
  </si>
  <si>
    <t>Kit Óleo Essencial Cedro Deodara + Óleo Vegetal Alecrim 10ml</t>
  </si>
  <si>
    <t>MLB4263509979</t>
  </si>
  <si>
    <t>Perfume Feminino Mol 04 Extrait De Parfum 30ml De Essência Do Brasil</t>
  </si>
  <si>
    <t>MLB4194992578</t>
  </si>
  <si>
    <t>Título com mais de 60 caracteres: Título com 68 caracteres (limite ML=60) | Tipo de perfume cadastrado diverge do que está no título/nome: Campo "Tipo de perfume" = "Eau de parfum", mas título/nome menciona ['Parfum', 'Extrait de parfum'] | Documento de Notificação/Comunicação prévia na Anvisa não preenchido: Número de Notificação/Comunicação prévia na Anvisa não preenchido</t>
  </si>
  <si>
    <t>MLB4264792867</t>
  </si>
  <si>
    <t>MLB4194992606</t>
  </si>
  <si>
    <t>Perfume Essência Do Brasil Flor De Jasmim Eau De Toilette 50ml Floral</t>
  </si>
  <si>
    <t>Kit Óleo Essencial Grapefruit + Óleo Vegetal De Alecrim 10ml</t>
  </si>
  <si>
    <t>Perfume Feminino Dama Da Noite Natural 10ml Roll On</t>
  </si>
  <si>
    <t>MLB3580984669</t>
  </si>
  <si>
    <t>MLB4194992608</t>
  </si>
  <si>
    <t>MLB4264879835</t>
  </si>
  <si>
    <t>Kit Óleo Essencial Menta Spicata + Vegetal De Alecrim 10ml</t>
  </si>
  <si>
    <t>MLB3251312649</t>
  </si>
  <si>
    <t>Eau De Parfum Feminino Essência Do Brasil May Chang 100ml + Óleo Essencial</t>
  </si>
  <si>
    <t>Perfume Lavanda &amp; Dama Da Noite 100ml Masculino + Presente</t>
  </si>
  <si>
    <t>MLB3597340611</t>
  </si>
  <si>
    <t>MLB4194992612</t>
  </si>
  <si>
    <t>MLB4266026493</t>
  </si>
  <si>
    <t>Kit Óleo Essencial Cravo Botão + Óleo Vegetal Alecrim 10ml</t>
  </si>
  <si>
    <t>Perfume Feminino Natural Flor De Laranjeira 50ml Essência Do Brasil Spray</t>
  </si>
  <si>
    <t>MLB1488154265</t>
  </si>
  <si>
    <t>MLB4195018638</t>
  </si>
  <si>
    <t>Kit Óleo Essencial Ylang Ylang + Óleo Vegetal Alecrim 10ml</t>
  </si>
  <si>
    <t>MLB4266057755</t>
  </si>
  <si>
    <t>Perfume Roll On Essência Do Brasil Pau Rosa &amp; Ylang Ylang Para Mulheres</t>
  </si>
  <si>
    <t>MLB4195018650</t>
  </si>
  <si>
    <t>Kit Óleo Essencial Copaíba + Óleo Vegetal De Alecrim 10ml</t>
  </si>
  <si>
    <t>MLB4266116727</t>
  </si>
  <si>
    <t>Perfume Ho Wood Elegante Masculino Essência Do Brasil 100ml + Roll On</t>
  </si>
  <si>
    <t>MLB4195018664</t>
  </si>
  <si>
    <t>Kit Óleo Essencial Benjoim + Óleo Vegetal De Alecrim 10ml</t>
  </si>
  <si>
    <t>MLB4287573416</t>
  </si>
  <si>
    <t>Perfume Roll On Essência Do Brasil Verbena Limão Siciliano 10ml Feminino</t>
  </si>
  <si>
    <t>MLB4195018666</t>
  </si>
  <si>
    <t>Kit Óleo Essen. Eucalipto Staigeriana + Vegetal Alecrim 10ml</t>
  </si>
  <si>
    <t>MLB4287623542</t>
  </si>
  <si>
    <t>MLB4195031472</t>
  </si>
  <si>
    <t>Perfume Roll-on Essência Do Brasil Com Anis E Flor De Laranjeira Masculino</t>
  </si>
  <si>
    <t>Kit Óleo Essencial Citronela + Óleo Vegetal De Alecrim 10ml</t>
  </si>
  <si>
    <t>MLB4299940904</t>
  </si>
  <si>
    <t>MLB4195031482</t>
  </si>
  <si>
    <t>Kit Óleo Essencial Cânfora Branca + Vegetal De Alecrim 10ml</t>
  </si>
  <si>
    <t>Perfume Feminino Sálvia Natural Essência Do Brasil 10ml Roll On</t>
  </si>
  <si>
    <t>Título com mais de 60 caracteres: Título com 63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</si>
  <si>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MLB4195031500</t>
  </si>
  <si>
    <t>MLB4299952220</t>
  </si>
  <si>
    <t>Coffret Perfume Feminino Gemma Água-marinha 100ml + Colar Prata 925 Ponte Vecchio Joias</t>
  </si>
  <si>
    <t>MLB4195031508</t>
  </si>
  <si>
    <t>Título com mais de 60 caracteres: Título com 87 caracteres (limite ML=60) | Marca cadastrada incorreta/inconsistente: Marca "Ponte Vecchio Joias"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</si>
  <si>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Kit Óleo Essencial Louro + Óleo Vegetal De Alecrim 10ml</t>
  </si>
  <si>
    <t>MLB4299952570</t>
  </si>
  <si>
    <t>Essência Do Brasil Perfume Masculino Grapefruit Natural Roll On 10ml</t>
  </si>
  <si>
    <t>MLB4195044172</t>
  </si>
  <si>
    <t>Kit Óleo Essencial Palmarosa + Óleo Vegetal De Alecrim 10ml</t>
  </si>
  <si>
    <t>MLB4195044174</t>
  </si>
  <si>
    <t>MLB4299953054</t>
  </si>
  <si>
    <t>Kit Óleo Essencial Zimbro + Óleo Vegetal De Alecrim 10ml</t>
  </si>
  <si>
    <t>Essência Do Brasil Eau De Toilette Feminino Roll On Petitgrain 10ml</t>
  </si>
  <si>
    <t>Título com mais de 60 caracteres: Título com 67 caracteres (limite ML=60) | Descrição repetida em outros anúncios com título diferente (verificar se é boilerplate ou erro): Mesma descrição usada em 3 anúncios com títulos diferentes | País de origem diferente de "Brasil": País de origem = "(vazio)", deveria ser "Brasil" | Documento de Notificação/Comunicação prévia na Anvisa não preenchido: Número de Notificação/Comunicação prévia na Anvisa não preenchido</t>
  </si>
  <si>
    <t>MLB4195044194</t>
  </si>
  <si>
    <t>Kit Óleo Essencial Wintergreen + Óleo Vegetal Alecrim 10ml</t>
  </si>
  <si>
    <t>MLB4299977460</t>
  </si>
  <si>
    <t>Perfume Roll On Patchouli Mas 10ml Essência Do Brasil Amadeirado</t>
  </si>
  <si>
    <t>MLB4195044202</t>
  </si>
  <si>
    <t>Kit Óleo Essencial Tomilho + Óleo Vegetal De Alecrim 10ml</t>
  </si>
  <si>
    <t>MLB4320916105</t>
  </si>
  <si>
    <t>MLB4195044204</t>
  </si>
  <si>
    <t>Kit Óleo Essencial Limão Siciliano + Vegetal De Alecrim 10ml</t>
  </si>
  <si>
    <t>Perfume Masculino Essência Do Brasil Natural Canela 100ml Vegano</t>
  </si>
  <si>
    <t>MLB4195044206</t>
  </si>
  <si>
    <t>Kit Óleo Essencial Cedro Atlas + Óleo Vegetal Alecrim 10ml</t>
  </si>
  <si>
    <t>MLB4320958847</t>
  </si>
  <si>
    <t>Perfume Masculino Lavanda Inglesa E Canela Essência Do Brasil 100ml</t>
  </si>
  <si>
    <t>MLB4321807042</t>
  </si>
  <si>
    <t>Perfume Essência Do Brasil Blend Patchouli Lavanda Bergamota 100ml Masculino</t>
  </si>
  <si>
    <t>MLB4195056856</t>
  </si>
  <si>
    <t>Kit Óleo Essencial Alfazema + Óleo Vegetal De Alecrim 10ml</t>
  </si>
  <si>
    <t>MLB4323540315</t>
  </si>
  <si>
    <t>MLB4195056862</t>
  </si>
  <si>
    <t>Kit Óleo Essencial Artemísia + Óleo Vegetal De Alecrim 10ml</t>
  </si>
  <si>
    <t>Perfume Essência Do Brasil Feminino Natural Frutal Rosas Vermelhas 30ml</t>
  </si>
  <si>
    <t>MLB4195056890</t>
  </si>
  <si>
    <t>Kit Óleo Essencial Cedro Himalaia + Vegetal De Alecrim 10ml</t>
  </si>
  <si>
    <t>MLB4329927356</t>
  </si>
  <si>
    <t>2 Perfumes Masculinos Amadeirado E Refrescante Essência Do Brasil 100ml</t>
  </si>
  <si>
    <t>MLB4195056902</t>
  </si>
  <si>
    <t>Kit Óleo Essencial Pinho Sibéria + Óleo Vegetal Alecrim 10ml</t>
  </si>
  <si>
    <t>MLB4334344854</t>
  </si>
  <si>
    <t>Eau De Toilette Masculino Essência Do Brasil Patchouli 100ml Golf Blue 30ml</t>
  </si>
  <si>
    <t>MLB4334355806</t>
  </si>
  <si>
    <t>Perfume Feminino Essência Do Brasil 130ml Dama Da Noite + Volcan D'amour</t>
  </si>
  <si>
    <t>Perfume Feminino Natural Erva Cidreira 100ml</t>
  </si>
  <si>
    <t>MLB5098834738</t>
  </si>
  <si>
    <t>MLB1349527747</t>
  </si>
  <si>
    <t>MLB4334423330</t>
  </si>
  <si>
    <t>Perfume Feminino Essência Do Brasil Patchouli 100ml + Volcan D'amour 30ml</t>
  </si>
  <si>
    <t>MLB4217608708</t>
  </si>
  <si>
    <t>Kit 6 Essências Aromatizador / Difusor Ambientes</t>
  </si>
  <si>
    <t>MLB4334547798</t>
  </si>
  <si>
    <t>Essência Do Brasil Perfume Masculino Edt Patchouli 100ml + Dark Code 30ml</t>
  </si>
  <si>
    <t>Perfume Menta Refrescante Homem 100ml + Spray 10ml Natural</t>
  </si>
  <si>
    <t>MLB5355036252</t>
  </si>
  <si>
    <t>MLB4344202309</t>
  </si>
  <si>
    <t>Perfume Feminino Essência Do Brasil Profumo 092 65ml Almíscar Toranja</t>
  </si>
  <si>
    <t>MLB4217646614</t>
  </si>
  <si>
    <t>MLB3963761621</t>
  </si>
  <si>
    <t>MLB4347569426</t>
  </si>
  <si>
    <t>Perfume Gemma Turmalina 100ml Feminino Eau De Parfum Ponte Vecchio Joias</t>
  </si>
  <si>
    <t>Perfume Erva Doce &amp; Capim Limão 100ml Masculino + Presente</t>
  </si>
  <si>
    <t>MLB6128651636</t>
  </si>
  <si>
    <t>MLB4219535490</t>
  </si>
  <si>
    <t>Título com mais de 60 caracteres: Título com 72 caracteres (limite ML=60) | Marca cadastrada incorreta/inconsistente: Marca "Ponte Vecchio Joias"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</si>
  <si>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MLB1488161681</t>
  </si>
  <si>
    <t>MLB4364465356</t>
  </si>
  <si>
    <t>Kit Perfume Masculino - Arabian + Patchouli Dark 100ml</t>
  </si>
  <si>
    <t>MLB4219907580</t>
  </si>
  <si>
    <t>Perfume Feminino Natural Flor De Maçã 100ml</t>
  </si>
  <si>
    <t>MLB1349524220</t>
  </si>
  <si>
    <t>MLB4364465370</t>
  </si>
  <si>
    <t>MLB4237661078</t>
  </si>
  <si>
    <t>Kit Perfume Masculino - Arabian + Patchouli Timeless 100ml</t>
  </si>
  <si>
    <t>MLB3506212133</t>
  </si>
  <si>
    <t>MLB4237811666</t>
  </si>
  <si>
    <t>MLB4364465388</t>
  </si>
  <si>
    <t>Kit Perfume Masculino - Patchouli Clássico + Arabian 100ml</t>
  </si>
  <si>
    <t>MLB4237825400</t>
  </si>
  <si>
    <t>MLB4364478314</t>
  </si>
  <si>
    <t>Perfume Lavanda &amp; Limão Siciliano 100ml Masculino + Presente</t>
  </si>
  <si>
    <t>Kit Perfume Masculino - Arabian + Patchouli Clássico 100ml</t>
  </si>
  <si>
    <t>MLB1488161678</t>
  </si>
  <si>
    <t>MLB4243519472</t>
  </si>
  <si>
    <t>MLB5194592110</t>
  </si>
  <si>
    <t>MLB4364503718</t>
  </si>
  <si>
    <t>Kit Perfume Masculino - Arabian + Patchouli Coffee 100ml</t>
  </si>
  <si>
    <t>MLB4263764989</t>
  </si>
  <si>
    <t>Perfume Verbena &amp; Sálvia 100ml Feminino + Presente</t>
  </si>
  <si>
    <t>MLB1488637341</t>
  </si>
  <si>
    <t>MLB4364503722</t>
  </si>
  <si>
    <t>MLB3727019033</t>
  </si>
  <si>
    <t>MLB4272932930</t>
  </si>
  <si>
    <t>Kit Perfume - Patchouli Clássico + Almíscar Selvagem 100ml</t>
  </si>
  <si>
    <t>MLB4277773522</t>
  </si>
  <si>
    <t>MLB4364516450</t>
  </si>
  <si>
    <t>Kit Perfume Masculino - Patchouli Timeless + Arabian 100ml</t>
  </si>
  <si>
    <t>MLB4296347106</t>
  </si>
  <si>
    <t>MLB4364516458</t>
  </si>
  <si>
    <t>Kit Perfume - Almíscar Selvagem + Patchouli Coffee 100ml</t>
  </si>
  <si>
    <t>MLB4322128069</t>
  </si>
  <si>
    <t>MLB4364516460</t>
  </si>
  <si>
    <t>Kit Perfume Masculino - Attar + Patchouli Sport 100ml</t>
  </si>
  <si>
    <t>MLB4364542364</t>
  </si>
  <si>
    <t>MLB4798056445</t>
  </si>
  <si>
    <t>Kit Perfume Masculino - Patchouli Coffee + Arabian 100ml</t>
  </si>
  <si>
    <t>MLB4364542396</t>
  </si>
  <si>
    <t>MLB4334420794</t>
  </si>
  <si>
    <t>Kit Perfume Masculino - Patchouli Dark + Arabian 100ml</t>
  </si>
  <si>
    <t>MLB6935205890</t>
  </si>
  <si>
    <t>Óleo Essencial Canela 20ml - Puro E Natural</t>
  </si>
  <si>
    <t>MLB4347480468</t>
  </si>
  <si>
    <t>MLB4364658510</t>
  </si>
  <si>
    <t>Kit Perfume Masculino - Patchouli Sport + Attar 100ml</t>
  </si>
  <si>
    <t>MLB4353900588</t>
  </si>
  <si>
    <t>MLB4364658524</t>
  </si>
  <si>
    <t>Óleo Essencial Capim Limão 30ml - Puro E Natural -</t>
  </si>
  <si>
    <t>Kit Perfume - Almíscar Selvagem + Patchouli Clássico 100ml</t>
  </si>
  <si>
    <t>MLB4392505784</t>
  </si>
  <si>
    <t>MLB4364658534</t>
  </si>
  <si>
    <t>Kit Perfume - Patchouli Coffee + Almíscar Selvagem 100ml</t>
  </si>
  <si>
    <t>MLB4374783465</t>
  </si>
  <si>
    <t>Perfume Lima-limão &amp; Alfazema 100ml Feminino + Presente</t>
  </si>
  <si>
    <t>MLB4434444876</t>
  </si>
  <si>
    <t>Kit 4 Essências Premium 10ml - Doce Harmonia</t>
  </si>
  <si>
    <t>Perfume Feminino D'italia 60ml - Cítrico</t>
  </si>
  <si>
    <t>MLB4375225137</t>
  </si>
  <si>
    <t>MLB3546058751</t>
  </si>
  <si>
    <t>MLB4464817640</t>
  </si>
  <si>
    <t>MLB2009103991</t>
  </si>
  <si>
    <t>MLB4377918386</t>
  </si>
  <si>
    <t>Perfume Essência Do Brasil Flor De Laranjeira Natural 100ml Citrus Spray</t>
  </si>
  <si>
    <t>Perfume Masculino Arabian 100ml + Cítricos D'italia 30ml</t>
  </si>
  <si>
    <t>MLB3580912001</t>
  </si>
  <si>
    <t>MLB4377936806</t>
  </si>
  <si>
    <t>MLB4653789872</t>
  </si>
  <si>
    <t>Essência Do Brasil Perfume Hortelã &amp; Menta Adventure Aromático 100ml</t>
  </si>
  <si>
    <t>MLB2781571456</t>
  </si>
  <si>
    <t>MLB4686112213</t>
  </si>
  <si>
    <t>Óleo Essencial Cajeput + Óleo Vegetal Rosa Mosqueta 10ml</t>
  </si>
  <si>
    <t>MLB4686112223</t>
  </si>
  <si>
    <t>MLB4386352393</t>
  </si>
  <si>
    <t>Perfume Masculino Baunilha E Canela 100ml Com Mini Perfume De Presente</t>
  </si>
  <si>
    <t>Título com mais de 60 caracteres: Título com 70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</si>
  <si>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MLB5000257842</t>
  </si>
  <si>
    <t>MLB4386436112</t>
  </si>
  <si>
    <t>Essência Do Brasil Eau De Toilette Masculino Menta Adventure 100 Ml</t>
  </si>
  <si>
    <t>MLB5094743728</t>
  </si>
  <si>
    <t>MLB4398697797</t>
  </si>
  <si>
    <t>MLB5098846594</t>
  </si>
  <si>
    <t>MLB4401806701</t>
  </si>
  <si>
    <t>Perfume Sinergia 4 - Capim-limão, Manjericão, Olíbano 100ml</t>
  </si>
  <si>
    <t>MLB5098884084</t>
  </si>
  <si>
    <t>MLB4403177652</t>
  </si>
  <si>
    <t>Essência Do Brasil Perfume Feminino Baunilha &amp; Rosa Branca 100ml + Mini 10ml</t>
  </si>
  <si>
    <t>MLB5177072348</t>
  </si>
  <si>
    <t>MLB4404254892</t>
  </si>
  <si>
    <t>Perfume Sinergia 3 - Cedro, Sândalo, Patchouli 10ml</t>
  </si>
  <si>
    <t>MLB5573832114</t>
  </si>
  <si>
    <t>Perfume Masculino Essência Do Brasil Olíbano Natural 10ml Roll On</t>
  </si>
  <si>
    <t>MLB5177131722</t>
  </si>
  <si>
    <t>MLB5560943872</t>
  </si>
  <si>
    <t>MLB4404255164</t>
  </si>
  <si>
    <t>MLB5178717816</t>
  </si>
  <si>
    <t>Perfume Masculino Essência Do Brasil Flor De Laranjeira Roll On 10ml</t>
  </si>
  <si>
    <t>Kit Óleos Essenciais: Grapefruit E Alecrim Para Massagens</t>
  </si>
  <si>
    <t>Perfume Feminino Natural Lavanda Inglesa 100ml</t>
  </si>
  <si>
    <t>MLB1349524249</t>
  </si>
  <si>
    <t>MLB5178753764</t>
  </si>
  <si>
    <t>MLB4404255374</t>
  </si>
  <si>
    <t>Essência Do Brasil Eau De Toilette Laranja Amarga 10ml Roll On Cítrico</t>
  </si>
  <si>
    <t>MLB3687643753</t>
  </si>
  <si>
    <t>Perfume Feminino Cravo Flor 100ml + Perfume De Bolso 10ml</t>
  </si>
  <si>
    <t>MLB1499760517</t>
  </si>
  <si>
    <t>MLB4407663783</t>
  </si>
  <si>
    <t>Perfume Baunilha &amp; Cedro 100ml Masculino + Presente</t>
  </si>
  <si>
    <t>MLB6638070704</t>
  </si>
  <si>
    <t>MLB5478876298</t>
  </si>
  <si>
    <t>Óleo Essencial De Coriandro + Vegetal De Rosa Mosqueta 10ml</t>
  </si>
  <si>
    <t>MLB4408687648</t>
  </si>
  <si>
    <t>Eau De Toilette Feminino Nefertiti 100ml Essência Do Brasil Spray</t>
  </si>
  <si>
    <t>MLB5478876300</t>
  </si>
  <si>
    <t>MLB4440428915</t>
  </si>
  <si>
    <t>MLB4410555166</t>
  </si>
  <si>
    <t>Perfume Feminino Essência Do Brasil Deep Raízes 100ml Amadeirado</t>
  </si>
  <si>
    <t>MLB5478882628</t>
  </si>
  <si>
    <t>Óleo Essencial De Yuzu Japão + Vegetal De Rosa Mosqueta 10ml</t>
  </si>
  <si>
    <t>MLB4410593140</t>
  </si>
  <si>
    <t>Perfume Amadeirado Masculino Essência Do Brasil Patchouli 100ml + Terre 30ml</t>
  </si>
  <si>
    <t>MLB7126639364</t>
  </si>
  <si>
    <t>MLB5522088372</t>
  </si>
  <si>
    <t>Óleo Essencial Alecrim Da Tunísia + Vegetal De Alecrim 10ml</t>
  </si>
  <si>
    <t>MLB4410593526</t>
  </si>
  <si>
    <t>Perfume Masculino Essência Do Brasil Patchouli 100ml + Cítricos D'italia 30ml</t>
  </si>
  <si>
    <t>MLB5522088376</t>
  </si>
  <si>
    <t>Óleo Essencial Bálsamo Do Peru + Vegetal Rosa Mosqueta 10ml</t>
  </si>
  <si>
    <t>MLB4410606930</t>
  </si>
  <si>
    <t>3 Perfumes Roll-on Essência Do Brasil, Notas Terrosas Masculinas</t>
  </si>
  <si>
    <t>MLB5522178982</t>
  </si>
  <si>
    <t>Óleo Essencial De Gerânio Bourbon + Vegetal De Alecrim 10ml</t>
  </si>
  <si>
    <t>MLB4410607428</t>
  </si>
  <si>
    <t>MLB5522178984</t>
  </si>
  <si>
    <t>Óleo Essencial De Olíbano + Óleo Vegetal Rosa Mosqueta 10ml</t>
  </si>
  <si>
    <t>MLB5522178986</t>
  </si>
  <si>
    <t>MLB4410619438</t>
  </si>
  <si>
    <t>Óleo Essencial De Lavanda + Óleo Vegetal De Alecrim 10ml</t>
  </si>
  <si>
    <t>Perfume Masculino Essência Do Brasil Lavanda E Ylang Ylang, Com Mini Perfume</t>
  </si>
  <si>
    <t>MLB5522178988</t>
  </si>
  <si>
    <t>Óleo Essencial Melaleuca Chinesa + Vegetal De Alecrim 10ml</t>
  </si>
  <si>
    <t>MLB4410645016</t>
  </si>
  <si>
    <t>Perfume Essência Do Brasil Profumo 916 Masculino 65ml Patchouli Oud Tabaco</t>
  </si>
  <si>
    <t>MLB5522204890</t>
  </si>
  <si>
    <t>Óleo Essencial Gerânio Bourbon + Vegetal Rosa Mosqueta 10ml</t>
  </si>
  <si>
    <t>MLB5522204892</t>
  </si>
  <si>
    <t>Óleo Essencial De Bálsamo Do Peru + Vegetal De Alecrim 10ml</t>
  </si>
  <si>
    <t>MLB4410645176</t>
  </si>
  <si>
    <t>Perfume Masculino Limão Siciliano Natural 10ml Roll On</t>
  </si>
  <si>
    <t>MLB3580901441</t>
  </si>
  <si>
    <t>Perfume Feminino Flor Angélica Eau De Toilette 100ml Essências Do Brasil</t>
  </si>
  <si>
    <t>MLB5522204894</t>
  </si>
  <si>
    <t>Óleo Essencial Melaleuca Chinesa + Vegetal R. Mosqueta 10ml</t>
  </si>
  <si>
    <t>MLB3251348185</t>
  </si>
  <si>
    <t>MLB4410646096</t>
  </si>
  <si>
    <t>MLB5522204896</t>
  </si>
  <si>
    <t>Óleo Essencial De Lavanda + Óleo Vegetal Rosa Mosqueta 10ml</t>
  </si>
  <si>
    <t>Eau De Toilette Essência Do Brasil Petitgrain Para Homem 10ml Roll On</t>
  </si>
  <si>
    <t>Título com mais de 60 caracteres: Título com 69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</si>
  <si>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MLB3639367211</t>
  </si>
  <si>
    <t>MLB5522463298</t>
  </si>
  <si>
    <t>MLB4410657832</t>
  </si>
  <si>
    <t>Perfume Masculino Seduction 100ml Eau De Toilette Essência Do Brasil</t>
  </si>
  <si>
    <t>MLB5522463300</t>
  </si>
  <si>
    <t>Título com mais de 60 caracteres: Título com 68 caracteres (limite ML=60) | Descrição repetida em outros anúncios com título diferente (verificar se é boilerplate ou erro): Mesma descrição usada em 81 anúncios com títulos diferentes | Documento de Notificação/Comunicação prévia na Anvisa não preenchido: Número de Notificação/Comunicação prévia na Anvisa não preenchido</t>
  </si>
  <si>
    <t>Óleo Essencial Mandarina Verde + Vegetal Rosa Mosqueta 10ml</t>
  </si>
  <si>
    <t>MLB4425137895</t>
  </si>
  <si>
    <t>MLB5686199818</t>
  </si>
  <si>
    <t>Essência Premium Aromatizador / Difusor 10ml O Aroma</t>
  </si>
  <si>
    <t>Perfume Feminino Natural Verbena 50ml</t>
  </si>
  <si>
    <t>MLB5747620310</t>
  </si>
  <si>
    <t>Essência Para Aromatizador /difusor Pura Aromas 100ml</t>
  </si>
  <si>
    <t>MLB5828958326</t>
  </si>
  <si>
    <t>MLB5829048490</t>
  </si>
  <si>
    <t>MLB4430917050</t>
  </si>
  <si>
    <t>Perfume Masculino Natural Canfora 50ml Essência Do Brasil</t>
  </si>
  <si>
    <t>MLB4434457766</t>
  </si>
  <si>
    <t>Perfume Cedro Do Himalaia 100ml - Masculino Amadeirado Puro</t>
  </si>
  <si>
    <t>MLB6744805436</t>
  </si>
  <si>
    <t>Óleo Essencial Cajeput 10ml - Aromaterapia Natural E Puro</t>
  </si>
  <si>
    <t>MLB6744816744</t>
  </si>
  <si>
    <t>MLB4434496198</t>
  </si>
  <si>
    <t>Óleo Essencial Eucalipto Radiata 10ml - Natural E Puro</t>
  </si>
  <si>
    <t>Descrição repetida em outros anúncios com título diferente (verificar se é boilerplate ou erro); Documento de Notificação/Comunicação prévia na Anvisa não preenchido; Marca cadastrada incorreta/inconsistente; País de origem diferente de "Brasil"</t>
  </si>
  <si>
    <t>Descrição repetida em outros anúncios com título diferente (verificar se é boilerplate ou erro): Mesma descrição usada em 81 anúncios com títulos diferentes | Marca cadastrada incorreta/inconsistente: Marca "Ponte Vecchio Joias"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</si>
  <si>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MLB6744851594</t>
  </si>
  <si>
    <t>MLB6788767946</t>
  </si>
  <si>
    <t>Óleo Essencial Alcaravia + Óleo Vegetal Alecrim 10ml</t>
  </si>
  <si>
    <t>MLB6788843090</t>
  </si>
  <si>
    <t>Óleo Essencial Alcaravia + Óleo Vegetal Rosa Mosqueta 10ml</t>
  </si>
  <si>
    <t>MLB4445677816</t>
  </si>
  <si>
    <t>Eau De Toilette Amadeirado Pure Instinct 100ml Essência Do Brasil</t>
  </si>
  <si>
    <t>MLB6788843092</t>
  </si>
  <si>
    <t>Perfume Masculino Bergamota Da Sicília 100ml</t>
  </si>
  <si>
    <t>MLB4648371098</t>
  </si>
  <si>
    <t>Título com mais de 60 caracteres: Título com 65 caracteres (limite ML=60) | Ano de lançamento preenchido (deveria ficar em branco): Ano de lançamento preenchido ("2022") - regra do negócio é deixar em branco | Documento de Notificação/Comunicação prévia na Anvisa não preenchido: Número de Notificação/Comunicação prévia na Anvisa não preenchido</t>
  </si>
  <si>
    <t>MLB2123370350</t>
  </si>
  <si>
    <t>MLB4445678264</t>
  </si>
  <si>
    <t>MLB6788867520</t>
  </si>
  <si>
    <t>Óleo Essencial Eucalipto Radiata + Vegetal R. Mosqueta 10ml</t>
  </si>
  <si>
    <t>Perfume Feminino Silences Essência Do Brasil Floral Aldeído Spray 100ml</t>
  </si>
  <si>
    <t>MLB7021320532</t>
  </si>
  <si>
    <t>MLB4445680060</t>
  </si>
  <si>
    <t>Perfume Eau De Toilette Essência Do Brasil Acácia Natural 10ml Roll On</t>
  </si>
  <si>
    <t>MLB4445742552</t>
  </si>
  <si>
    <t>Perfume Feminino Essência Do Brasil Deep Green Extrait 100ml</t>
  </si>
  <si>
    <t>MLB7193069282</t>
  </si>
  <si>
    <t>MLB4085574941</t>
  </si>
  <si>
    <t>Descrição repetida em outros anúncios com título diferente (verificar se é boilerplate ou erro): Mesma descrição usada em 2 anúncios com títulos diferentes | Tipo de perfume cadastrado diverge do que está no título/nome: Campo "Tipo de perfume" = "Eau de parfum", mas título/nome menciona ['Parfum', 'Extrait de parfum'] | Documento de Notificação/Comunicação prévia na Anvisa não preenchido: Número de Notificação/Comunicação prévia na Anvisa não preenchido</t>
  </si>
  <si>
    <t>MLB4445742600</t>
  </si>
  <si>
    <t>MLB4446229609</t>
  </si>
  <si>
    <t>Perfume Golf Black 100ml - Masculino - Golf Polo Club</t>
  </si>
  <si>
    <t>Perfume Sinergia 21 - Petitgrain, Menta Spi, Manjerona 10ml</t>
  </si>
  <si>
    <t>MLB5560853130</t>
  </si>
  <si>
    <t>MLB4464740126</t>
  </si>
  <si>
    <t>MLB5573832054</t>
  </si>
  <si>
    <t>Perfume Benjoim 14 - 60ml Vegano E Cruelty Free Volume Da Unidade 60 Ml</t>
  </si>
  <si>
    <t>Perfume Olíbano Sagrado Masculino 50ml - Natural E Vegano</t>
  </si>
  <si>
    <t>MLB6046291244</t>
  </si>
  <si>
    <t>MLB4464791130</t>
  </si>
  <si>
    <t>Perfume Masculino Eau De Toilette Essência Do Brasil Black Vanille 100ml</t>
  </si>
  <si>
    <t>MLB5251954690</t>
  </si>
  <si>
    <t>MLB4465665341</t>
  </si>
  <si>
    <t>MLB1349521819</t>
  </si>
  <si>
    <t>Perfume Natural De Mirra Essência Do Brasil Para Mulheres 100 Ml</t>
  </si>
  <si>
    <t>Anúncio sem descrição; Documento de Notificação/Comunicação prévia na Anvisa não preenchido; Gênero cadastrado diverge do gênero indicado no título; Título com mais de 60 caracteres</t>
  </si>
  <si>
    <t>Título com mais de 60 caracteres: Título com 64 caracteres (limite ML=60) | Anúncio sem descrição: Descrição vazia | Documento de Notificação/Comunicação prévia na Anvisa não preenchido: Número de Notificação/Comunicação prévia na Anvisa não preenchido | Gênero cadastrado diverge do gênero indicado no título: Título indica um gênero mas campo Gênero está "Masculino" - risco do cliente comprar errado</t>
  </si>
  <si>
    <t>MLB4476256742</t>
  </si>
  <si>
    <t>Perfume Masculino Lemongrass Natural 10ml Roll On Essência Do Brasil</t>
  </si>
  <si>
    <t>MLB4476257952</t>
  </si>
  <si>
    <t>Perfume Feminino Eau De Toilette Essência Do Brasil Camomila Suave 100ml</t>
  </si>
  <si>
    <t>MLB1349521876</t>
  </si>
  <si>
    <t>MLB4476294710</t>
  </si>
  <si>
    <t>Eau De Toilette Essência Do Brasil Verbena Natural Feminino 10 Ml Roll On</t>
  </si>
  <si>
    <t>MLB4476306370</t>
  </si>
  <si>
    <t>MLB1488154023</t>
  </si>
  <si>
    <t>Extrait De Parfum Ponte Vecchio Joias Gemma Ametista 100ml + Pingente</t>
  </si>
  <si>
    <t>Perfume Hortelã &amp; Capim Limão 100ml Feminino + Presente</t>
  </si>
  <si>
    <t>MLB1488644528</t>
  </si>
  <si>
    <t>MLB4523430648</t>
  </si>
  <si>
    <t>Perfume Masculino Deep Wood 100ml Extrait Essência Do Brasil</t>
  </si>
  <si>
    <t>MLB4615734607</t>
  </si>
  <si>
    <t>MLB4558790120</t>
  </si>
  <si>
    <t>Perfume Feminino Roll On Patchouli E Ylang Ylang Essência Do Brasil</t>
  </si>
  <si>
    <t>MLB4217375516</t>
  </si>
  <si>
    <t>MLB4599835119</t>
  </si>
  <si>
    <t>Perfume Blend Feminino Rosas 60ml - Floral</t>
  </si>
  <si>
    <t>Perfume Golf Black Para Homens Da Essência Do Brasil, Eau De Toilette De 50 Ml</t>
  </si>
  <si>
    <t>MLB2009108375</t>
  </si>
  <si>
    <t>MLB3545984891</t>
  </si>
  <si>
    <t>MLB4599835153</t>
  </si>
  <si>
    <t>5 Perfumes Femininos Cítricos Elegantes 10ml Spray</t>
  </si>
  <si>
    <t>MLB4600108003</t>
  </si>
  <si>
    <t>Perfume Ho Wood Elegante Masculino 50ml - Natural E Vegano</t>
  </si>
  <si>
    <t>MLB6254506900</t>
  </si>
  <si>
    <t>MLB4608271662</t>
  </si>
  <si>
    <t>Perfume Mol 02 - Feminino - Extrait De Parfum 100ml Volume Da Unidade 100 Ml</t>
  </si>
  <si>
    <t>Título com mais de 60 caracteres: Título com 76 caracteres (limite ML=60) | Descrição repetida em outros anúncios com título diferente (verificar se é boilerplate ou erro): Mesma descrição usada em 81 anúncios com títulos diferentes | Tipo de perfume cadastrado diverge do que está no título/nome: Campo "Tipo de perfume" = "Eau de parfum", mas título/nome menciona ['Parfum', 'Extrait de parfum'] | Documento de Notificação/Comunicação prévia na Anvisa não preenchido: Número de Notificação/Comunicação prévia na Anvisa não preenchido</t>
  </si>
  <si>
    <t>MLB4612535981</t>
  </si>
  <si>
    <t>Perfume Patchouli &amp; Lemongrass 100ml Masculino + Presente</t>
  </si>
  <si>
    <t>MLB4612535989</t>
  </si>
  <si>
    <t>Perfume Canela &amp; Capim Limão 100ml Feminino + Presente</t>
  </si>
  <si>
    <t>Perfume Masculino Ferômonios Poseidon 10ml - Roll On</t>
  </si>
  <si>
    <t>MLB2217211033</t>
  </si>
  <si>
    <t>MLB6630519574</t>
  </si>
  <si>
    <t>MLB4616388298</t>
  </si>
  <si>
    <t>Essência Do Brasil Perfume Masculino Natural Capim Cheiroso 100ml</t>
  </si>
  <si>
    <t>MLB4616465336</t>
  </si>
  <si>
    <t>Eau De Toilette Essência Do Brasil Ylang Ylang 30 Floral, 60 Ml Spray</t>
  </si>
  <si>
    <t>MLB2857380921</t>
  </si>
  <si>
    <t>MLB4616557141</t>
  </si>
  <si>
    <t>Profumo 929 Essência Do Brasil, Parfum Masculino De 65 Ml Com Lírio, Mirra E Madeiras</t>
  </si>
  <si>
    <t>MLB4616787011</t>
  </si>
  <si>
    <t>5 Perfumes Femininos Amadeirados 10ml Spray Col Botânica</t>
  </si>
  <si>
    <t>MLB4616787297</t>
  </si>
  <si>
    <t>Perfume Masculino Oriental Essência Do Brasil Afrodisíaco Brut Absolu 100ml</t>
  </si>
  <si>
    <t>MLB4626000527</t>
  </si>
  <si>
    <t>5 Perfumes Masculinos Frescos Energéticos 10ml Spray</t>
  </si>
  <si>
    <t>MLB4633029063</t>
  </si>
  <si>
    <t>5 Perfumes Masculinos Mediterrâneos 10ml Spray Botânica</t>
  </si>
  <si>
    <t>Perfume Masculino Army - 100ml</t>
  </si>
  <si>
    <t>MLB3521732595</t>
  </si>
  <si>
    <t>MLB4646802890</t>
  </si>
  <si>
    <t>Perfume Masculino Natural Madeira Nobre 50ml Volume Da Unidade 50 Ml</t>
  </si>
  <si>
    <t>MLB1842501048</t>
  </si>
  <si>
    <t>MLB4654814628</t>
  </si>
  <si>
    <t>Perfume Masculino Eau De Toilette Essência Do Brasil Minotauro 100ml Spray</t>
  </si>
  <si>
    <t>MLB4656320883</t>
  </si>
  <si>
    <t>Perfume Gardênia Elixir Essência Do Brasil, Extrait De Parfum 100ml Com 40% Óleos</t>
  </si>
  <si>
    <t>Título com mais de 60 caracteres: Título com 81 caracteres (limite ML=60) | Tipo de perfume cadastrado diverge do que está no título/nome: Campo "Tipo de perfume" = "Elixir", mas título/nome menciona ['Parfum', 'Extrait de parfum'] | Documento de Notificação/Comunicação prévia na Anvisa não preenchido: Número de Notificação/Comunicação prévia na Anvisa não preenchido</t>
  </si>
  <si>
    <t>Perfume Rosé Floral 100ml - Feminino Sofisticado Elegante</t>
  </si>
  <si>
    <t>MLB4657583391</t>
  </si>
  <si>
    <t>MLB3580948123</t>
  </si>
  <si>
    <t>Perfume Lima-limão &amp; Patchouli 100ml Feminino Volume Da Unidade 100 Ml</t>
  </si>
  <si>
    <t>Título com mais de 60 caracteres: Título com 70 caracteres (limite ML=60) | Descrição repetida em outros anúncios com título diferente (verificar se é boilerplate ou erro): Mesma descrição usada em 81 anúncios com títulos diferentes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</si>
  <si>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MLB2200430888</t>
  </si>
  <si>
    <t>MLB4674189230</t>
  </si>
  <si>
    <t>Perfume Masculino 60ml Golf Black Essência Do Brasil Polo Club</t>
  </si>
  <si>
    <t>Perfume Feminino Natural Violeta 100ml</t>
  </si>
  <si>
    <t>MLB3580949599</t>
  </si>
  <si>
    <t>MLB1349521861</t>
  </si>
  <si>
    <t>Kit Perfume Patchouli 100ml Feminino + Spray Portátil 10ml</t>
  </si>
  <si>
    <t>MLB3597341789</t>
  </si>
  <si>
    <t>MLB4051718642</t>
  </si>
  <si>
    <t>Perfume Dama Da Noite &amp; Cedro 10ml - Roll On Masculino</t>
  </si>
  <si>
    <t>MLB3718131048</t>
  </si>
  <si>
    <t>MLB2857380923</t>
  </si>
  <si>
    <t>MLB4674227570</t>
  </si>
  <si>
    <t>Perfume Essência Do Brasil Magnolia Elixir 100ml Extrait De Parfum 40% Óleos</t>
  </si>
  <si>
    <t>Título com mais de 60 caracteres: Título com 76 caracteres (limite ML=60) | Descrição repetida em outros anúncios com título diferente (verificar se é boilerplate ou erro): Mesma descrição usada em 81 anúncios com títulos diferentes | Tipo de perfume cadastrado diverge do que está no título/nome: Campo "Tipo de perfume" = "Elixir", mas título/nome menciona ['Parfum', 'Extrait de parfum'] | Documento de Notificação/Comunicação prévia na Anvisa não preenchido: Número de Notificação/Comunicação prévia na Anvisa não preenchido</t>
  </si>
  <si>
    <t>MLB4674296570</t>
  </si>
  <si>
    <t>Perfume Essência Do Brasil Palmarosa Elixir 100ml Extrait Óleos 40%</t>
  </si>
  <si>
    <t>Título com mais de 60 caracteres: Título com 67 caracteres (limite ML=60) | Descrição repetida em outros anúncios com título diferente (verificar se é boilerplate ou erro): Mesma descrição usada em 81 anúncios com títulos diferentes | Tipo de perfume cadastrado diverge do que está no título/nome: Campo "Tipo de perfume" = "Elixir", mas título/nome menciona ['Parfum', 'Extrait de parfum'] | Documento de Notificação/Comunicação prévia na Anvisa não preenchido: Número de Notificação/Comunicação prévia na Anvisa não preenchido</t>
  </si>
  <si>
    <t>MLB4674339834</t>
  </si>
  <si>
    <t>Perfume Lima-limão 100ml Extrait De Parfum 40% Óleos</t>
  </si>
  <si>
    <t>MLB1488254803</t>
  </si>
  <si>
    <t>MLB4685988479</t>
  </si>
  <si>
    <t>5 Perfumes Femininos Essência Do Brasil De 10ml Coleção Botânica</t>
  </si>
  <si>
    <t>MLB3955220125</t>
  </si>
  <si>
    <t>MLB4706961645</t>
  </si>
  <si>
    <t>Perfume Spray Yuzu Floral Feminino 10ml - Cítrico Floral</t>
  </si>
  <si>
    <t>MLB4707451019</t>
  </si>
  <si>
    <t>Perfume Spray Yuzu Orgânico Unissex 10ml Cítrico Amadeirado</t>
  </si>
  <si>
    <t>MLB4723804063</t>
  </si>
  <si>
    <t>Perfume Spray Yuzu Intenso Masculino 10ml - Cítrico Gourmand</t>
  </si>
  <si>
    <t>MLB1488637465</t>
  </si>
  <si>
    <t>MLB4732884026</t>
  </si>
  <si>
    <t>Perfume Melaleuca Australia Eau De Toilette Herbal Essência Do Brasil 100ml</t>
  </si>
  <si>
    <t>MLB4732899058</t>
  </si>
  <si>
    <t>Perfume Lavanda Elixir 100ml Essência Do Brasil Floral Feminino</t>
  </si>
  <si>
    <t>MLB4732924238</t>
  </si>
  <si>
    <t>Perfume Masculino Copaíba Da Amazônia 100ml Volume Da Unidade 100 Ml</t>
  </si>
  <si>
    <t>MLB4732937588</t>
  </si>
  <si>
    <t>Essência Do Brasil Eau De Toilette Masculino Apolo 100ml Perfume</t>
  </si>
  <si>
    <t>Perfume Anis &amp; Limão Siciliano 10ml - Roll On Masculino</t>
  </si>
  <si>
    <t>MLB4287563018</t>
  </si>
  <si>
    <t>MLB4739764390</t>
  </si>
  <si>
    <t>MLB2857406813</t>
  </si>
  <si>
    <t>Perfume Rosa 27 - 100ml Vegano E Cruelty Free Volume Da Unidade 100 Ml</t>
  </si>
  <si>
    <t>MLB4783727152</t>
  </si>
  <si>
    <t>Perfume Masculino Essência Do Brasil Lima-limão &amp; Cedro 100ml + Mini 10ml</t>
  </si>
  <si>
    <t>MLB4687174275</t>
  </si>
  <si>
    <t>MLB4835178097</t>
  </si>
  <si>
    <t>Perfume Eau De Parfum Yuzu Orgânico Essência Do Brasil Cítrico E Amadeirado 50ml</t>
  </si>
  <si>
    <t>Perfume Masculino Natural Cipreste 50ml</t>
  </si>
  <si>
    <t>MLB5000240456</t>
  </si>
  <si>
    <t>MLB4846133213</t>
  </si>
  <si>
    <t>Perfume Yuzu Floral Feminino 50ml - Cítrico Floral</t>
  </si>
  <si>
    <t>MLB1349796200</t>
  </si>
  <si>
    <t>MLB4846185061</t>
  </si>
  <si>
    <t>Perfume Feminino Ylang Ylang Exuberante Da Essência Do Brasil, 50 Ml Spray Natural E Vegano</t>
  </si>
  <si>
    <t>Título com mais de 60 caracteres: Título com 69 caracteres (limite ML=60) | Descrição repetida em outros anúncios com título diferente (verificar se é boilerplate ou erro): Mesma descrição usada em 81 anúncios com títulos diferentes | Ano de lançamento preenchido (deveria ficar em branco): Ano de lançamento preenchido ("2023") - regra do negócio é deixar em branco | Documento de Notificação/Comunicação prévia na Anvisa não preenchido: Número de Notificação/Comunicação prévia na Anvisa não preenchido</t>
  </si>
  <si>
    <t>MLB4901797303</t>
  </si>
  <si>
    <t>Perfume Masculino Essência Do Brasil Patchouli Clássico Coffee 100ml</t>
  </si>
  <si>
    <t>MLB6195762438</t>
  </si>
  <si>
    <t>MLB4901797325</t>
  </si>
  <si>
    <t>Perfume Dama Da Noite 100ml + Manteiga De Karité 60gr</t>
  </si>
  <si>
    <t>MLB4901797331</t>
  </si>
  <si>
    <t>Perfume Tabac Patchouli Masculino 50ml</t>
  </si>
  <si>
    <t>Perfume Masculino Essência Do Brasil Arabian + Patchouli Clássico 100ml</t>
  </si>
  <si>
    <t>MLB6604409848</t>
  </si>
  <si>
    <t>MLB4566355495</t>
  </si>
  <si>
    <t>MLB4958941572</t>
  </si>
  <si>
    <t>Extrait De Parfum Masculino Essência Do Brasil Mol 05 100ml Aquático</t>
  </si>
  <si>
    <t>MLB4973388496</t>
  </si>
  <si>
    <t>Perfume Masculino Essência Do Brasil Almíscar Selvagem + Arabian 100ml Spray</t>
  </si>
  <si>
    <t>MLB5449452280</t>
  </si>
  <si>
    <t>Perfume Gerânio &amp; Cedro 100ml Masculino + Presente</t>
  </si>
  <si>
    <t>MLB1488153768</t>
  </si>
  <si>
    <t>MLB4973467742</t>
  </si>
  <si>
    <t>Perfume Essência Do Brasil Patchouli Timeless + Almíscar Selvagem 100ml</t>
  </si>
  <si>
    <t>MLB4775540422</t>
  </si>
  <si>
    <t>MLB4973545686</t>
  </si>
  <si>
    <t>Perfume Masculino Essência Do Brasil Patchouli Dark Almíscar Selvagem 100ml</t>
  </si>
  <si>
    <t>Perfume Canfora &amp; Eucalipto 100ml Masculino + Presente</t>
  </si>
  <si>
    <t>MLB1488257818</t>
  </si>
  <si>
    <t>MLB4975179256</t>
  </si>
  <si>
    <t>MLB6237172476</t>
  </si>
  <si>
    <t>Perfume Almíscar Selvagem 100ml + Spray 10ml Essência Do Brasil</t>
  </si>
  <si>
    <t>Perfume Baunilha &amp; Bergamota 100ml Feminino + Presente</t>
  </si>
  <si>
    <t>MLB1488623655</t>
  </si>
  <si>
    <t>MLB4980741298</t>
  </si>
  <si>
    <t>Perfumes Masculinos Essência Do Brasil Almíscar Selvagem E Patchouli Nomad 100 Ml</t>
  </si>
  <si>
    <t>MLB3516969073</t>
  </si>
  <si>
    <t>MLB4981486534</t>
  </si>
  <si>
    <t>Perfume Baunilha &amp; Rosas Vermelhas 100ml Feminino + Presente</t>
  </si>
  <si>
    <t>Perfumes Masculinos Essência Do Brasil Patchouli Clássico Timeless 100ml</t>
  </si>
  <si>
    <t>MLB1488628584</t>
  </si>
  <si>
    <t>MLB5231530884</t>
  </si>
  <si>
    <t>MLB1488644404</t>
  </si>
  <si>
    <t>MLB5030852656</t>
  </si>
  <si>
    <t>Perfume Mol 04 - Feminino - Extrait De Parfum 100ml Volume Da Unidade 100 Ml</t>
  </si>
  <si>
    <t>MLB5031452078</t>
  </si>
  <si>
    <t>Perfume Mol 10 - Feminino - Extrait De Parfum 100ml Volume Da Unidade 100 Ml</t>
  </si>
  <si>
    <t>MLB5098807912</t>
  </si>
  <si>
    <t>Perfume Lavanda &amp; Dama Da Noite 100ml Feminino</t>
  </si>
  <si>
    <t>Perfume Absolute Masculino 100ml</t>
  </si>
  <si>
    <t>MLB1490232529</t>
  </si>
  <si>
    <t>MLB5098957804</t>
  </si>
  <si>
    <t>MLB5432929882</t>
  </si>
  <si>
    <t>Perfume Masculino Acácia E Ylang Ylang Da Essência Do Brasil (100ml) Com Miniatura</t>
  </si>
  <si>
    <t>Título com mais de 60 caracteres: Título com 82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</si>
  <si>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MLB1490287085</t>
  </si>
  <si>
    <t>MLB5122196142</t>
  </si>
  <si>
    <t>Perfume Masculino Sultan 100ml Essência Do Brasil Eau De Toilette</t>
  </si>
  <si>
    <t>MLB5122196814</t>
  </si>
  <si>
    <t>Título com mais de 60 caracteres: Título com 61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</si>
  <si>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MLB5122221078</t>
  </si>
  <si>
    <t>Eau De Parfum Masculino Essência Do Brasil Alfazema &amp; Patchouli 100ml</t>
  </si>
  <si>
    <t>MLB5127579306</t>
  </si>
  <si>
    <t>Perfume Eau De Parfum Gemma Safira Ponte Vecchio Joias Feminino 100ml</t>
  </si>
  <si>
    <t>Título com mais de 60 caracteres: Título com 69 caracteres (limite ML=60) | Marca cadastrada incorreta/inconsistente: Marca "Ponte Vecchio Joias" difere da marca própria esperada "Essência do Brasil" | Documento de Notificação/Comunicação prévia na Anvisa não preenchido: Número de Notificação/Comunicação prévia na Anvisa não preenchido</t>
  </si>
  <si>
    <t>Perfume Manga Tropical 100ml - Extrait De Parfum 40% Óleos</t>
  </si>
  <si>
    <t>MLB1987725939</t>
  </si>
  <si>
    <t>MLB5127668038</t>
  </si>
  <si>
    <t>Eau De Toilette Feminino Essência Do Brasil Assinatura Floral 100ml</t>
  </si>
  <si>
    <t>Código universal do produto (GTIN) não preenchido (texto de exemplo do ML ainda lá); Documento de Notificação/Comunicação prévia na Anvisa não preenchido; Título com mais de 60 caracteres; Valor incomum em campo que deveria ser curto/categórico (dado errado colado)</t>
  </si>
  <si>
    <t>MLB3597270109</t>
  </si>
  <si>
    <t>Título com mais de 60 caracteres: Título com 67 caracteres (limite ML=60) | Código universal do produto (GTIN) não preenchido (texto de exemplo do ML ainda lá): Texto de exemplo do template não foi substituído pelo código real | Valor incomum em campo que deveria ser curto/categórico (dado errado colado): Valor incomum/muito longo para o campo "VERSION" (padrão da coluna é curto/categórico; parece dado errado colado aqui) | Documento de Notificação/Comunicação prévia na Anvisa não preenchido: Número de Notificação/Comunicação prévia na Anvisa não preenchido</t>
  </si>
  <si>
    <t>MLB5127675428</t>
  </si>
  <si>
    <t>Perfume Masculino Amadeirado Essência Do Brasil Eros 100ml + Spray 10ml</t>
  </si>
  <si>
    <t>MLB2026485633</t>
  </si>
  <si>
    <t>MLB5127687578</t>
  </si>
  <si>
    <t>Perfume Masculino Essência Do Brasil Hero 100ml Eau De Toilette</t>
  </si>
  <si>
    <t>MLB5142614478</t>
  </si>
  <si>
    <t>MLB6249283334</t>
  </si>
  <si>
    <t>Perfume Mol 04 - Feminino - Extrait De Parfum 30ml</t>
  </si>
  <si>
    <t>MLB5142639710</t>
  </si>
  <si>
    <t>Perfume Mol 06 - Feminino - Extrait De Parfum 30ml</t>
  </si>
  <si>
    <t>MLB6630519638</t>
  </si>
  <si>
    <t>MLB5142639712</t>
  </si>
  <si>
    <t>Perfume Mol 08 - Feminino - Extrait De Parfum 30ml</t>
  </si>
  <si>
    <t>MLB5142728422</t>
  </si>
  <si>
    <t>Perfume Mol 02 - Feminino - Extrait De Parfum 30ml</t>
  </si>
  <si>
    <t>MLB5142740962</t>
  </si>
  <si>
    <t>Perfume Mol 10 - Feminino - Extrait De Parfum 30ml</t>
  </si>
  <si>
    <t>MLB5148361128</t>
  </si>
  <si>
    <t>Eau De Parfum Essência Do Brasil Limão Siciliano Radiante Feminino, 100 Ml</t>
  </si>
  <si>
    <t>MLB5148444138</t>
  </si>
  <si>
    <t>Perfume Capim Limão Masculino 100ml - Natural E Vegano Volume Da Unidade 100 Ml</t>
  </si>
  <si>
    <t>MLB5148472198</t>
  </si>
  <si>
    <t>Perfume Eucalipto Refrescante Masculino 100ml Natural Vegano Volume Da Unidade 100 Ml</t>
  </si>
  <si>
    <t>MLB5148480038</t>
  </si>
  <si>
    <t>Eau De Parfum Ho Wood Elegante Masculino 100ml De Essência Do Brasil</t>
  </si>
  <si>
    <t>MLB5148528454</t>
  </si>
  <si>
    <t>Perfume Louro Nobre Romano Masculino 100ml Natural E Vegano Volume Da Unidade 100 Ml</t>
  </si>
  <si>
    <t>MLB5148532744</t>
  </si>
  <si>
    <t>Perfume Funcho Doce Delicado Feminino 100ml Natural E Vegano Volume Da Unidade 100 Ml</t>
  </si>
  <si>
    <t>MLB5150469520</t>
  </si>
  <si>
    <t>Perfume Masculino Essência Do Brasil Lima-limão Bergamota E Mini De 10ml</t>
  </si>
  <si>
    <t>Título com mais de 60 caracteres: Título com 72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</si>
  <si>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MLB5150469930</t>
  </si>
  <si>
    <t>Perfume Essência Do Brasil Lima-limão Erva Doce Masculino 100ml + Mini</t>
  </si>
  <si>
    <t>Título com mais de 60 caracteres: Título com 70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</si>
  <si>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MLB5150484140</t>
  </si>
  <si>
    <t>Perfume Masculino Cedro &amp; Capim Limão 100ml + Mini 10ml</t>
  </si>
  <si>
    <t>Código universal do produto (GTIN) não preenchido (texto de exemplo do ML ainda lá); Documento de Notificação/Comunicação prévia na Anvisa não preenchido; País de origem diferente de "Brasil"; Tipo de perfume cadastrado diverge do que está no título/nome</t>
  </si>
  <si>
    <t>Código universal do produto (GTIN) não preenchido (texto de exemplo do ML ainda lá): Texto de exemplo do template não foi substituído pelo código real | Tipo de perfume cadastrado diverge do que está no título/nome: Campo "Tipo de perfume" = "Deo cologne", mas título/nome menciona ['Água de colônia'] | País de origem diferente de "Brasil": País de origem = "(vazio)", deveria ser "Brasil" | Documento de Notificação/Comunicação prévia na Anvisa não preenchido: Número de Notificação/Comunicação prévia na Anvisa não preenchido</t>
  </si>
  <si>
    <t>MLB5150484410</t>
  </si>
  <si>
    <t>Perfume Feminino Gerânio E Lavanda 100ml Com Mini Perfume De 10ml</t>
  </si>
  <si>
    <t>MLB5158856476</t>
  </si>
  <si>
    <t>Perfume Masculino Essência Do Brasil Hortelã Brava 100ml Natural</t>
  </si>
  <si>
    <t>MLB5175314308</t>
  </si>
  <si>
    <t>Perfume Masculino Essência Do Brasil Gerânio E Ylang Ylang Com Spray</t>
  </si>
  <si>
    <t>Título com mais de 60 caracteres: Título com 68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</si>
  <si>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MLB5175317680</t>
  </si>
  <si>
    <t>Eau De Parfum Essência Do Brasil Cedro Majestoso Masculino 100ml Natural Vegano</t>
  </si>
  <si>
    <t>Título com mais de 60 caracteres: Título com 79 caracteres (limite ML=60) | Descrição repetida em outros anúncios com título diferente (verificar se é boilerplate ou erro): Mesma descrição usada em 2 anúncios com títulos diferentes | Documento de Notificação/Comunicação prévia na Anvisa não preenchido: Número de Notificação/Comunicação prévia na Anvisa não preenchido</t>
  </si>
  <si>
    <t>MLB5175318286</t>
  </si>
  <si>
    <t>Perfume Masculino Essência Do Brasil Alfazema &amp; Laranja Doce 100ml + Mini 10ml</t>
  </si>
  <si>
    <t>Título com mais de 60 caracteres: Título com 78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</si>
  <si>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MLB5175324418</t>
  </si>
  <si>
    <t>Perfume Feminino Alfazema E Palmarosa Essência Do Brasil 100ml Com Mini Perfume</t>
  </si>
  <si>
    <t>MLB5175325820</t>
  </si>
  <si>
    <t>Deo Colônia Dama Da Noite &amp; Verbena Essência Do Brasil, Feminina 100 Ml</t>
  </si>
  <si>
    <t>Título com mais de 60 caracteres: Título com 71 caracteres (limite ML=60) | Código universal do produto (GTIN) não preenchido (texto de exemplo do ML ainda lá): Texto de exemplo do template não foi substituído pelo código real | Tipo de perfume cadastrado diverge do que está no título/nome: Campo "Tipo de perfume" = "Deo cologne", mas título/nome menciona ['Água de colônia'] | País de origem diferente de "Brasil": País de origem = "(vazio)", deveria ser "Brasil" | Documento de Notificação/Comunicação prévia na Anvisa não preenchido: Número de Notificação/Comunicação prévia na Anvisa não preenchido</t>
  </si>
  <si>
    <t>MLB5175327472</t>
  </si>
  <si>
    <t>Eau De Parfum Limão Siciliano Masculino 100ml Vegano Essência Do Brasil</t>
  </si>
  <si>
    <t>MLB5175370338</t>
  </si>
  <si>
    <t>Perfume Alfazema E Sálvia Eau De Parfum Masculino Essência Do Brasil 100ml</t>
  </si>
  <si>
    <t>MLB3580954129</t>
  </si>
  <si>
    <t>MLB5175376260</t>
  </si>
  <si>
    <t>Perfume Feminino Essência Do Brasil Alfazema &amp; Petitgrain 100ml Com Mini Spray</t>
  </si>
  <si>
    <t>MLB5175389956</t>
  </si>
  <si>
    <t>Perfume Feminino Gerânio &amp; Laranja Amarga De Essência Do Brasil 100ml + Mini 10ml</t>
  </si>
  <si>
    <t>Perfume Veloster Men 60ml - Masculino</t>
  </si>
  <si>
    <t>MLB3580985697</t>
  </si>
  <si>
    <t>Título com mais de 60 caracteres: Título com 81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</si>
  <si>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MLB5175395720</t>
  </si>
  <si>
    <t>MLB1786356307</t>
  </si>
  <si>
    <t>Perfume Masculino Gerânio E Gengibre 100ml Com Mini De 10ml - Essência Do Brasil</t>
  </si>
  <si>
    <t>Título com mais de 60 caracteres: Título com 80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</si>
  <si>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MLB5175399372</t>
  </si>
  <si>
    <t>Perfume Masculino Essência Do Brasil Palmarosa E Bergamota 100 Ml Com Mini De 10 Ml</t>
  </si>
  <si>
    <t>Título com mais de 60 caracteres: Título com 83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</si>
  <si>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MLB5175399798</t>
  </si>
  <si>
    <t>Perfume Masculino Lemongrass &amp; Grapefruit Essência Do Brasil 100ml</t>
  </si>
  <si>
    <t>MLB5175403170</t>
  </si>
  <si>
    <t>Perfume Notas De Alecrim &amp; Lavanda 100ml Feminino</t>
  </si>
  <si>
    <t>MLB3950316055</t>
  </si>
  <si>
    <t>MLB5175410944</t>
  </si>
  <si>
    <t>Perfume Masculino Essência Do Brasil Benjoim &amp; Ylang Ylang Com Mini De Viagem</t>
  </si>
  <si>
    <t>Título com mais de 60 caracteres: Título com 77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</si>
  <si>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MLB5175411618</t>
  </si>
  <si>
    <t>Perfume Essência Do Brasil Bergamota E Eucalipto Para Homens Com Mini Perfume</t>
  </si>
  <si>
    <t>MLB3963773299</t>
  </si>
  <si>
    <t>Título com mais de 60 caracteres: Título com 77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</si>
  <si>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MLB5175412570</t>
  </si>
  <si>
    <t>Eau De Parfum Masculino Essência Do Brasil Verbena &amp; Menta 100ml + Mini 10ml</t>
  </si>
  <si>
    <t>MLB5176911838</t>
  </si>
  <si>
    <t>Perfume Manjerona Herbal Masculino 100ml - Natural E Vegano Volume Da Unidade 100 Ml</t>
  </si>
  <si>
    <t>MLB5561482498</t>
  </si>
  <si>
    <t>MLB5176993492</t>
  </si>
  <si>
    <t>Perfume Essência Do Brasil Laranja Doce Brilhante Masculino 100ml Vegano</t>
  </si>
  <si>
    <t>MLB4161347774</t>
  </si>
  <si>
    <t>MLB5177077104</t>
  </si>
  <si>
    <t>Perfume Essência Do Brasil Patchouli Dark Eau De Toilette 100ml Spray</t>
  </si>
  <si>
    <t>MLB5177097022</t>
  </si>
  <si>
    <t>Perfume Amadeirado Patchouli Tabac Masculino Essência Do Brasil 100ml Spray</t>
  </si>
  <si>
    <t>MLB5177159138</t>
  </si>
  <si>
    <t>Perfume Mandarina Verde Feminino 100ml - Natural E Vegano Volume Da Unidade 100 Ml</t>
  </si>
  <si>
    <t>MLB5177162246</t>
  </si>
  <si>
    <t>Perfume Masculino Tangerina Radiante 100ml Essência Do Brasil Vegano</t>
  </si>
  <si>
    <t>MLB1488624892</t>
  </si>
  <si>
    <t>Perfume Masculino Natural Cravo Amadeirado 50ml</t>
  </si>
  <si>
    <t>MLB4406578544</t>
  </si>
  <si>
    <t>MLB5177178312</t>
  </si>
  <si>
    <t>Perfume Limão Tahiti Masculino 100ml - Natural E Vegano Volume Da Unidade 100 Ml</t>
  </si>
  <si>
    <t>MLB1349798940</t>
  </si>
  <si>
    <t>MLB5177203316</t>
  </si>
  <si>
    <t>Eau De Parfum Artemísia Marroquina Feminino 100ml Essência Do Brasil</t>
  </si>
  <si>
    <t>MLB5977987406</t>
  </si>
  <si>
    <t>MLB5178752110</t>
  </si>
  <si>
    <t>Perfume Patchouli Clássico E Sport Para Homens Essência Do Brasil, Eau De Toilette 100 Ml</t>
  </si>
  <si>
    <t>MLB5178755470</t>
  </si>
  <si>
    <t>Perfume Essência Do Brasil Patchouli Sport + Almíscar Selvagem 100ml</t>
  </si>
  <si>
    <t>MLB5178813644</t>
  </si>
  <si>
    <t>Perfume Masculino Essência Do Brasil Patchouli Timeless + Sport 100ml Spray</t>
  </si>
  <si>
    <t>MLB5192801440</t>
  </si>
  <si>
    <t>Eau De Parfum Masculino Essência Do Brasil Lavandim Energia 100ml Natural Vegano</t>
  </si>
  <si>
    <t>MLB5194567622</t>
  </si>
  <si>
    <t>Perfume Essência Do Brasil Cedro &amp; Cipreste Spray 100ml + Mini 10ml</t>
  </si>
  <si>
    <t>MLB5194593654</t>
  </si>
  <si>
    <t>Essência Do Brasil Perfume Masculino Cítrico 100ml + Mini 10ml</t>
  </si>
  <si>
    <t>Título com mais de 60 caracteres: Título com 62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</si>
  <si>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MLB5194619854</t>
  </si>
  <si>
    <t>Perfume Feminino Erva Doce E Ylang Ylang Com Miniatura De 10ml</t>
  </si>
  <si>
    <t>Título com mais de 60 caracteres: Título com 62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</si>
  <si>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MLB5194657356</t>
  </si>
  <si>
    <t>Perfume Feminino Essência Do Brasil Afrodite 100ml + Roses 30ml Floral Frutal</t>
  </si>
  <si>
    <t>Perfume Anis Estrelado Feminino 100ml + Spray 10ml Natural</t>
  </si>
  <si>
    <t>MLB5380784580</t>
  </si>
  <si>
    <t>MLB5194657562</t>
  </si>
  <si>
    <t>MLB3963761601</t>
  </si>
  <si>
    <t>Perfume Floral Jasmine Natural Feminino 30ml Volume Da Unidade 30 Ml</t>
  </si>
  <si>
    <t>MLB5194659044</t>
  </si>
  <si>
    <t>Deo Colônia Masculina Amadeirada Bergamota Madeira Nobre 100ml Essência Do Brasil</t>
  </si>
  <si>
    <t>Anúncio sem descrição; Documento de Notificação/Comunicação prévia na Anvisa não preenchido; País de origem diferente de "Brasil"; Tipo de perfume cadastrado diverge do que está no título/nome; Título com mais de 60 caracteres</t>
  </si>
  <si>
    <t>Título com mais de 60 caracteres: Título com 81 caracteres (limite ML=60) | Anúncio sem descrição: Descrição vazia | Tipo de perfume cadastrado diverge do que está no título/nome: Campo "Tipo de perfume" = "Deo cologne", mas título/nome menciona ['Água de colônia'] | País de origem diferente de "Brasil": País de origem = "(vazio)", deveria ser "Brasil" | Documento de Notificação/Comunicação prévia na Anvisa não preenchido: Número de Notificação/Comunicação prévia na Anvisa não preenchido</t>
  </si>
  <si>
    <t>MLB5194670082</t>
  </si>
  <si>
    <t>Perfume Gerânio &amp; Rosa Branca 100ml Masculino + Presente</t>
  </si>
  <si>
    <t>Perfume Eau De Parfum Masculino Essência Do Brasil Laranja Doce &amp; Bergamota 100ml + Mini 10ml</t>
  </si>
  <si>
    <t>MLB5535183136</t>
  </si>
  <si>
    <t>Título com mais de 60 caracteres: Título com 93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</si>
  <si>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MLB1488157348</t>
  </si>
  <si>
    <t>Perfume Sinergia 5 - Vetiver, Cipreste, Sálvia Sclarea 100ml</t>
  </si>
  <si>
    <t>MLB5538570506</t>
  </si>
  <si>
    <t>MLB5194684202</t>
  </si>
  <si>
    <t>Perfume Masculino Essência Do Brasil Com Bergamota E Ylang Ylang, 100 Ml</t>
  </si>
  <si>
    <t>MLB5533217862</t>
  </si>
  <si>
    <t>MLB5196048954</t>
  </si>
  <si>
    <t>Essência Do Brasil Perfume Masculino Especiado Cravo E Canela 100ml</t>
  </si>
  <si>
    <t>Título com mais de 60 caracteres: Título com 67 caracteres (limite ML=60) | Anúncio sem descrição: Descrição vazia | Ano de lançamento preenchido (deveria ficar em branco): Ano de lançamento preenchido ("1973") - regra do negócio é deixar em branco | Documento de Notificação/Comunicação prévia na Anvisa não preenchido: Número de Notificação/Comunicação prévia na Anvisa não preenchido</t>
  </si>
  <si>
    <t>MLB5200795070</t>
  </si>
  <si>
    <t>Perfume Eros Masculino Amadeirado 100ml + Oceanus 30ml Essência Brasil</t>
  </si>
  <si>
    <t>Perfume Bergamota &amp; Gengibre 100ml Feminino + Presente</t>
  </si>
  <si>
    <t>MLB5200813102</t>
  </si>
  <si>
    <t>MLB6103627492</t>
  </si>
  <si>
    <t>2 Perfumes Masculinos Amadeirado 100ml + Doce 100ml</t>
  </si>
  <si>
    <t>MLB1488644577</t>
  </si>
  <si>
    <t>MLB5201644712</t>
  </si>
  <si>
    <t>Perfume Ylang Ylang Absolu Masculino De Essência Do Brasil Com Ylang-ylang</t>
  </si>
  <si>
    <t>Perfume Madame Paris 100ml - Feminino</t>
  </si>
  <si>
    <t>MLB6517674348</t>
  </si>
  <si>
    <t>MLB5212225754</t>
  </si>
  <si>
    <t>Perfume Feminino Laranja Doce E Noz-moscada De 100ml Com Mini Perfume De</t>
  </si>
  <si>
    <t>MLB6604314200</t>
  </si>
  <si>
    <t>MLB5212290486</t>
  </si>
  <si>
    <t>Perfume Notas De Alecrim &amp; Benjoim 100ml Feminino</t>
  </si>
  <si>
    <t>Perfume Masculino Natural Girassol 100ml</t>
  </si>
  <si>
    <t>MLB1349527753</t>
  </si>
  <si>
    <t>MLB5212291846</t>
  </si>
  <si>
    <t>Perfume Olíbano Sagrado Feminino 100ml - Natural E Vegano Volume Da Unidade 100 Ml</t>
  </si>
  <si>
    <t>MLB6053142138</t>
  </si>
  <si>
    <t>MLB5212316826</t>
  </si>
  <si>
    <t>Perfume Feminino Essência Do Brasil Com Notas De Alecrim E Hortelã 100ml</t>
  </si>
  <si>
    <t>Perfume Masculino Natural Hortelã 30ml</t>
  </si>
  <si>
    <t>MLB1349796111</t>
  </si>
  <si>
    <t>MLB5212341524</t>
  </si>
  <si>
    <t>Perfume Feromônio Masculino Eros 60ml Essência Do Brasil Amadeirado</t>
  </si>
  <si>
    <t>MLB6673487928</t>
  </si>
  <si>
    <t>MLB5212341596</t>
  </si>
  <si>
    <t>Essência Do Brasil Eau De Toilette Masculino Lavanda &amp; Lavanda Inglesa 100ml</t>
  </si>
  <si>
    <t>MLB1349796135</t>
  </si>
  <si>
    <t>MLB5212738600</t>
  </si>
  <si>
    <t>Perfume Essência Do Brasil Arabian 100ml Masculino + Spray 10ml</t>
  </si>
  <si>
    <t>Perfume Masculino Natural Laranja Amarga 50ml</t>
  </si>
  <si>
    <t>MLB1349796250</t>
  </si>
  <si>
    <t>MLB5212828700</t>
  </si>
  <si>
    <t>Eau De Toilette Poseidon Essência Do Brasil Para Homem 100 Ml</t>
  </si>
  <si>
    <t>Título com mais de 60 caracteres: Título com 61 caracteres (limite ML=60) | Anúncio sem descrição: Descrição vazia | Documento de Notificação/Comunicação prévia na Anvisa não preenchido: Número de Notificação/Comunicação prévia na Anvisa não preenchido</t>
  </si>
  <si>
    <t>MLB5000262980</t>
  </si>
  <si>
    <t>MLB5218787466</t>
  </si>
  <si>
    <t>Perfume Feminino Cedro &amp; Grapefruit Essência Do Brasil Com Mini Perfume De 10ml</t>
  </si>
  <si>
    <t>MLB1349799045</t>
  </si>
  <si>
    <t>Título com mais de 60 caracteres: Título com 79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</si>
  <si>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MLB5218793646</t>
  </si>
  <si>
    <t>Perfume Alfazema E Benjoim Essência Do Brasil Masculino Com Spray E Mini</t>
  </si>
  <si>
    <t>MLB5218793716</t>
  </si>
  <si>
    <t>Perfume Feminino Essência Do Brasil Flor De Jasmim &amp; Gerânio 100ml + Mini 10ml</t>
  </si>
  <si>
    <t>Título com mais de 60 caracteres: Título com 78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</si>
  <si>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MLB5218851686</t>
  </si>
  <si>
    <t>Perfume Feminino Essência Do Brasil Palmarosa E Hortelã 100ml Com Mini Perfume De 10ml</t>
  </si>
  <si>
    <t>Perfume Lavanda &amp; Verbena 100ml Masculino + Presente</t>
  </si>
  <si>
    <t>MLB1488153808</t>
  </si>
  <si>
    <t>MLB5218857702</t>
  </si>
  <si>
    <t>Perfume Masculino Anis E Gerânio Essência Do Brasil 100ml Com Mini</t>
  </si>
  <si>
    <t>MLB5600973356</t>
  </si>
  <si>
    <t>Perfume Lavanda &amp; Canfora 100ml Masculino + Presente</t>
  </si>
  <si>
    <t>MLB1488153836</t>
  </si>
  <si>
    <t>MLB5218864400</t>
  </si>
  <si>
    <t>Perfume Feminino Lemongrass &amp; Capim Limão 100ml + Mini 10ml</t>
  </si>
  <si>
    <t>MLB5385027252</t>
  </si>
  <si>
    <t>MLB5218931652</t>
  </si>
  <si>
    <t>MLB1488154036</t>
  </si>
  <si>
    <t>Perfume Masculino Lavanda E Noz-moscada 100ml Com Mini Perfume De</t>
  </si>
  <si>
    <t>MLB5218937330</t>
  </si>
  <si>
    <t>Perfume Essência Do Brasil De Grapefruit &amp; Hortelã Feminino De 100ml Com Mini Perfume</t>
  </si>
  <si>
    <t>Título com mais de 60 caracteres: Título com 85 caracteres (limite ML=60) | Código universal do produto (GTIN) não preenchido (texto de exemplo do ML ainda lá): Texto de exemplo do template não foi substituído pelo código real | Tipo de perfume cadastrado diverge do que está no título/nome: Campo "Tipo de perfume" = "Deo cologne", mas título/nome menciona ['Água de colônia'] | País de origem diferente de "Brasil": País de origem = "(vazio)", deveria ser "Brasil" | Documento de Notificação/Comunicação prévia na Anvisa não preenchido: Número de Notificação/Comunicação prévia na Anvisa não preenchido</t>
  </si>
  <si>
    <t>MLB1488261296</t>
  </si>
  <si>
    <t>MLB5218952966</t>
  </si>
  <si>
    <t>Perfume Masculino Essência Do Brasil Lima-limão Capim Limão 100ml Spray</t>
  </si>
  <si>
    <t>Título com mais de 60 caracteres: Título com 71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</si>
  <si>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Perfume Alfazema &amp; Sândalo Plus 100ml Feminino + Presente</t>
  </si>
  <si>
    <t>MLB1488625083</t>
  </si>
  <si>
    <t>MLB5222270478</t>
  </si>
  <si>
    <t>Perfume Feminino Essência Do Brasil Profumo 014 Sândalo Baunilha 65ml</t>
  </si>
  <si>
    <t>MLB6673402072</t>
  </si>
  <si>
    <t>MLB1488625099</t>
  </si>
  <si>
    <t>MLB5222271072</t>
  </si>
  <si>
    <t>Perfume Mariner 100ml Essência Do Brasil Eau De Toilette Masculino</t>
  </si>
  <si>
    <t>MLB5222293922</t>
  </si>
  <si>
    <t>Perfume Bergamota &amp; Canela 100ml Feminino + Presente</t>
  </si>
  <si>
    <t>MLB1488641676</t>
  </si>
  <si>
    <t>Perfume Masculino Manga Tropical Essência Do Brasil 100 Ml</t>
  </si>
  <si>
    <t>MLB5228814776</t>
  </si>
  <si>
    <t>MLB5228800440</t>
  </si>
  <si>
    <t>Eau De Parfum Essência Do Brasil Verbena E Ylang Ylang Masculino 100 Ml + Mini</t>
  </si>
  <si>
    <t>MLB1488641762</t>
  </si>
  <si>
    <t>MLB5228813892</t>
  </si>
  <si>
    <t>Perfume Feminino Essência Do Brasil Flor Angélica &amp; Petitgrain 100ml Spray</t>
  </si>
  <si>
    <t>Perfume Lírios Dourados &amp; Girassol 100ml Feminino + Presente</t>
  </si>
  <si>
    <t>MLB1488641897</t>
  </si>
  <si>
    <t>MLB5228814650</t>
  </si>
  <si>
    <t>MLB6660299326</t>
  </si>
  <si>
    <t>Perfume Spartacus Masculino Eau De Toilette Com Essência Do Brasil 100ml</t>
  </si>
  <si>
    <t>Perfume Masculino Oriental Puro 50ml</t>
  </si>
  <si>
    <t>MLB1490261841</t>
  </si>
  <si>
    <t>MLB5228826810</t>
  </si>
  <si>
    <t>MLB4427199842</t>
  </si>
  <si>
    <t>Perfume Masculino Essência Do Brasil Erva Doce &amp; Palmarosa 100ml + Mini 10ml</t>
  </si>
  <si>
    <t>Título com mais de 60 caracteres: Título com 76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</si>
  <si>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MLB5228829038</t>
  </si>
  <si>
    <t>Perfume Feminino Essência Do Brasil Cedro &amp; Noz Moscada 100ml</t>
  </si>
  <si>
    <t>Perfume Feminino Lírio Do Vale 60ml + Brinco Brilhante</t>
  </si>
  <si>
    <t>MLB2009231357</t>
  </si>
  <si>
    <t>MLB5228878840</t>
  </si>
  <si>
    <t>Perfume Feminino Lavanda E Erva Doce Da Essência Do Brasil Com Miniatura De 10ml</t>
  </si>
  <si>
    <t>MLB2009236700</t>
  </si>
  <si>
    <t>MLB5228879438</t>
  </si>
  <si>
    <t>Perfume Essência Do Brasil Verbena &amp; Limão Siciliano 100ml Masculino</t>
  </si>
  <si>
    <t>MLB5228893068</t>
  </si>
  <si>
    <t>Perfume Eau De Parfum Essência Do Brasil Ylang Ylang Exuberante Feminino 100ml</t>
  </si>
  <si>
    <t>MLB5228893846</t>
  </si>
  <si>
    <t>Perfume Unissex Essência Do Brasil Profumo 951 Rosa Ameixa Oud 65ml</t>
  </si>
  <si>
    <t>MLB5228916714</t>
  </si>
  <si>
    <t>Perfume Masculino Essência Do Brasil Bergamota &amp; Cedro 100 Ml Com Mini 10 Ml</t>
  </si>
  <si>
    <t>MLB5228918224</t>
  </si>
  <si>
    <t>Perfume Aniz &amp; Flor De Laranjeira 100ml Masculino + Presente Volume Da Unidade 100 Ml</t>
  </si>
  <si>
    <t>MLB5232178224</t>
  </si>
  <si>
    <t>Essência Do Brasil Perfume Flowers Feminino Eau De Toilette Floral 30ml</t>
  </si>
  <si>
    <t>Perfume Feminino Madame Paris + Brinco Prata Estrela</t>
  </si>
  <si>
    <t>MLB2781583157</t>
  </si>
  <si>
    <t>MLB5235139008</t>
  </si>
  <si>
    <t>3 Perfumes Masculinos Essência Do Brasil Cítrico E Ervas Eau De Toilette Spray 10ml</t>
  </si>
  <si>
    <t>MLB3515550557</t>
  </si>
  <si>
    <t>Perfume Feminino Madame Paris + Brinco Prata Ponto Luz 6mm</t>
  </si>
  <si>
    <t>MLB5246967896</t>
  </si>
  <si>
    <t>MLB2781625901</t>
  </si>
  <si>
    <t>Perfume Essência Do Brasil Lima-limão E Lemongrass Masculino 100ml Com Mini 10ml</t>
  </si>
  <si>
    <t>MLB4219208830</t>
  </si>
  <si>
    <t>MLB5246982366</t>
  </si>
  <si>
    <t>Perfume Essência Do Brasil Lemongrass &amp; Eucalipto Feminino De 100ml</t>
  </si>
  <si>
    <t>MLB5247019076</t>
  </si>
  <si>
    <t>Eau De Toilette Essência Do Brasil Alecrim E Cedro Com Mini Perfume</t>
  </si>
  <si>
    <t>MLB5247030728</t>
  </si>
  <si>
    <t>Perfume Masculino Essência Do Brasil Alfazema E Erva Doce 100ml + Mini 10ml</t>
  </si>
  <si>
    <t>Título com mais de 60 caracteres: Título com 75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</si>
  <si>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MLB5247044034</t>
  </si>
  <si>
    <t>Eau De Toilette Essência Do Brasil Dama Da Noite E Mirra 100ml</t>
  </si>
  <si>
    <t>Título com mais de 60 caracteres: Título com 62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</si>
  <si>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MLB4445678734</t>
  </si>
  <si>
    <t>MLB5247057620</t>
  </si>
  <si>
    <t>Perfume Masculino Essência Do Brasil Palmarosa &amp; Madeira Nobre 100ml C/ Mini</t>
  </si>
  <si>
    <t>MLB3288502347</t>
  </si>
  <si>
    <t>MLB5247058028</t>
  </si>
  <si>
    <t>Perfume Feminino Flor De Jasmim &amp; Benjoim 100ml + Mini 10ml</t>
  </si>
  <si>
    <t>MLB5247070260</t>
  </si>
  <si>
    <t>Perfume Feminino Laranja Doce &amp; Canela 100ml + Mini 10ml</t>
  </si>
  <si>
    <t>Código universal do produto (GTIN) não preenchido (texto de exemplo do ML ainda lá): Texto de exemplo do template não foi substituído pelo código real | Tipo de perfume cadastrado diverge do que está no título/nome: Campo "Tipo de perfume" = "Deo cologne", mas título/nome menciona ['Eau de toilette', 'Água de colônia'] | País de origem diferente de "Brasil": País de origem = "(vazio)", deveria ser "Brasil" | Documento de Notificação/Comunicação prévia na Anvisa não preenchido: Número de Notificação/Comunicação prévia na Anvisa não preenchido</t>
  </si>
  <si>
    <t>MLB5251890244</t>
  </si>
  <si>
    <t>Perfume Feminino Lavanda Suíça Natural 10ml Roll On</t>
  </si>
  <si>
    <t>MLB3505261803</t>
  </si>
  <si>
    <t>Perfume Eucalipto Refrescante Masculino 50ml Natural Vegano</t>
  </si>
  <si>
    <t>MLB3283297326</t>
  </si>
  <si>
    <t>MLB5251915908</t>
  </si>
  <si>
    <t>Perfume Ylang Ylang Exuberante Feminino 50ml Natural Vegano</t>
  </si>
  <si>
    <t>MLB5251967624</t>
  </si>
  <si>
    <t>Perfume Bergamota Da Itália Masculino 50ml Natural E Vegano</t>
  </si>
  <si>
    <t>MLB5253215714</t>
  </si>
  <si>
    <t>Perfume Roll On Gerânio Elegante Feminino 10ml - Natural</t>
  </si>
  <si>
    <t>MLB5258253962</t>
  </si>
  <si>
    <t>Perfume Masculino Essência Do Brasil Lavanda E Benjoim 100ml Com Mini</t>
  </si>
  <si>
    <t>Título com mais de 60 caracteres: Título com 69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</si>
  <si>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MLB5258279034</t>
  </si>
  <si>
    <t>Perfume Masculino Lavanda &amp; Laranja Doce 100ml + Mini 10ml</t>
  </si>
  <si>
    <t>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 | Gênero cadastrado diverge do gênero indicado no título: Título indica um gênero mas campo Gênero está "Masculino" - risco do cliente comprar errado</t>
  </si>
  <si>
    <t>MLB5258337936</t>
  </si>
  <si>
    <t>Perfume Lavanda E Manjericão Masculino Essência Do Brasil Com Mini Perfume De Viagem</t>
  </si>
  <si>
    <t>Título com mais de 60 caracteres: Título com 84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</si>
  <si>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MLB5266211952</t>
  </si>
  <si>
    <t>Perfume Masculino Essência Do Brasil Laranja E Benjoim Com Mini Perfume</t>
  </si>
  <si>
    <t>Título com mais de 60 caracteres: Título com 71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</si>
  <si>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MLB5266250818</t>
  </si>
  <si>
    <t>Kit 3 Perfumes Roll On 10ml Feminino - Oriental Marcante</t>
  </si>
  <si>
    <t>MLB3580941049</t>
  </si>
  <si>
    <t>Perfume Feminino Baunilha E Palmarosa Essência Do Brasil 100 Ml</t>
  </si>
  <si>
    <t>Título com mais de 60 caracteres: Título com 63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</si>
  <si>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MLB3432556549</t>
  </si>
  <si>
    <t>MLB5270089116</t>
  </si>
  <si>
    <t>Perfume Feminino Lemongrass &amp; Cedro Essência Do Brasil, 100ml Com Mini Perfume De 10ml</t>
  </si>
  <si>
    <t>MLB5276429646</t>
  </si>
  <si>
    <t>Perfume Feminino Essência Do Brasil Laranja Doce &amp; Grapefruit 100ml + Mini 10ml</t>
  </si>
  <si>
    <t>Título com mais de 60 caracteres: Título com 79 caracteres (limite ML=60) | Código universal do produto (GTIN) não preenchido (texto de exemplo do ML ainda lá): Texto de exemplo do template não foi substituído pelo código real | Tipo de perfume cadastrado diverge do que está no título/nome: Campo "Tipo de perfume" = "Deo cologne", mas título/nome menciona ['Água de colônia'] | País de origem diferente de "Brasil": País de origem = "(vazio)", deveria ser "Brasil" | Documento de Notificação/Comunicação prévia na Anvisa não preenchido: Número de Notificação/Comunicação prévia na Anvisa não preenchido</t>
  </si>
  <si>
    <t>MLB5276520716</t>
  </si>
  <si>
    <t>Eau De Parfum Feminino Essência Do Brasil Canela E Ylang Ylang De 100 Ml Com Mini De 10 Ml</t>
  </si>
  <si>
    <t>Título com mais de 60 caracteres: Título com 90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</si>
  <si>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Perfume Deep Fire Feminino 100ml - Extrait De Parfum</t>
  </si>
  <si>
    <t>MLB5277341596</t>
  </si>
  <si>
    <t>MLB3581004947</t>
  </si>
  <si>
    <t>Perfume Essência Do Brasil Feminino De Manjerona E Manjericão Com Mini Perfume</t>
  </si>
  <si>
    <t>MLB3471790112</t>
  </si>
  <si>
    <t>MLB5277380552</t>
  </si>
  <si>
    <t>Eau De Toilette Masculino Essência Do Brasil Dama Da Noite Cedro 100ml</t>
  </si>
  <si>
    <t>Perfume Deep Raízes Masculino 100ml - Extrait De Parfum</t>
  </si>
  <si>
    <t>MLB3581004989</t>
  </si>
  <si>
    <t>MLB5279595862</t>
  </si>
  <si>
    <t>MLB3472009046</t>
  </si>
  <si>
    <t>Essência Do Brasil Perfume Roll On Anis Estrelado Vegano 10ml</t>
  </si>
  <si>
    <t>MLB5279599782</t>
  </si>
  <si>
    <t>Eau De Toilette Essência Do Brasil Vulcano Para Homens 100 Ml</t>
  </si>
  <si>
    <t>MLB5279617774</t>
  </si>
  <si>
    <t>Eau De Parfum Laranja Doce Brilhante Masculino Essência Do Brasil Com Spray De Viagem</t>
  </si>
  <si>
    <t>Perfume Freedom 100ml - Masculino Jovem Atlético Esportivo</t>
  </si>
  <si>
    <t>MLB3597348803</t>
  </si>
  <si>
    <t>MLB2200229342</t>
  </si>
  <si>
    <t>MLB5279617802</t>
  </si>
  <si>
    <t>Perfume Roll On Masculino Essência Do Brasil Laranja Doce 10ml</t>
  </si>
  <si>
    <t>Perfume Masculino Anos Rebeldes Década De 70 100ml</t>
  </si>
  <si>
    <t>MLB3597368391</t>
  </si>
  <si>
    <t>MLB5279642314</t>
  </si>
  <si>
    <t>MLB1490287089</t>
  </si>
  <si>
    <t>Eau De Parfum Roll On Essência Do Brasil Wintergreen Para Mulher 10 Ml</t>
  </si>
  <si>
    <t>Perfume Masculino Natural Laranja Amarga 100ml</t>
  </si>
  <si>
    <t>MLB3639329133</t>
  </si>
  <si>
    <t>MLB5279681992</t>
  </si>
  <si>
    <t>Perfume Masculino Copaíba Amazônica De Essência Do Brasil, Vegano E Natural (10ml)</t>
  </si>
  <si>
    <t>MLB1349521891</t>
  </si>
  <si>
    <t>MLB5282303894</t>
  </si>
  <si>
    <t>Perfume Roll On Essência Do Brasil Bergamota Da Itália 10ml Natural Masculino</t>
  </si>
  <si>
    <t>MLB5282314090</t>
  </si>
  <si>
    <t>Essência Do Brasil Perfume Roll On Masculino Cipreste Imperial 10ml Vegano</t>
  </si>
  <si>
    <t>MLB5282314794</t>
  </si>
  <si>
    <t>Perfume Roll On Essência Do Brasil Ho Wood Elegante 10ml - Eau De Parfum Vegano</t>
  </si>
  <si>
    <t>Perfume Patchouli Dark Misterioso Homem 100ml + Roll On 10ml</t>
  </si>
  <si>
    <t>MLB3955169653</t>
  </si>
  <si>
    <t>MLB5282323016</t>
  </si>
  <si>
    <t>Perfume Spray Feminino Essência Do Brasil Sálvia Infinita 10ml Vegano</t>
  </si>
  <si>
    <t>MLB5314929010</t>
  </si>
  <si>
    <t>MLB5282337124</t>
  </si>
  <si>
    <t>Perfume Bergamota Da Itália Masculino 100ml + Spray 10ml</t>
  </si>
  <si>
    <t>MLB3963797591</t>
  </si>
  <si>
    <t>Perfume Roll-on De Limão Tahiti Essência Do Brasil Para Homem 10ml Vegano</t>
  </si>
  <si>
    <t>MLB5326997626</t>
  </si>
  <si>
    <t>MLB5282348390</t>
  </si>
  <si>
    <t>Perfume Eau De Parfum Masculino Ylang Ylang Exuberante Roll-on Essência Do Brasil De 10ml</t>
  </si>
  <si>
    <t>MLB5282361572</t>
  </si>
  <si>
    <t>Perfume Roll-on Louro Nobre Romano Masculino Essência Do Brasil, 10ml</t>
  </si>
  <si>
    <t>MLB5282373198</t>
  </si>
  <si>
    <t>MLB3963727431</t>
  </si>
  <si>
    <t>Perfume Feminino Essência Do Brasil Roll On Artemísia 10ml Natural</t>
  </si>
  <si>
    <t>MLB5282374500</t>
  </si>
  <si>
    <t>Perfume Mandarina Verde Feminino 10ml Vegano Essência Do Brasil Spray</t>
  </si>
  <si>
    <t>MLB5282386836</t>
  </si>
  <si>
    <t>Eau De Parfum Essência Do Brasil Ylang Ylang Exuberante Masculino 10 Ml</t>
  </si>
  <si>
    <t>MLB3963797611</t>
  </si>
  <si>
    <t>MLB5282398744</t>
  </si>
  <si>
    <t>Perfume Roll-on Essência Do Brasil Gerânio Elegante Para Homem 10ml</t>
  </si>
  <si>
    <t>MLB5282399442</t>
  </si>
  <si>
    <t>Eau De Parfum Essência Do Brasil Funcho Doce Delicado Feminino 10ml</t>
  </si>
  <si>
    <t>MLB5282412120</t>
  </si>
  <si>
    <t>Perfume Roll On Patchouli Dark Misterioso Essência Do Brasil 10ml</t>
  </si>
  <si>
    <t>MLB5533191600</t>
  </si>
  <si>
    <t>MLB5282425176</t>
  </si>
  <si>
    <t>Perfume Roll On Essência Do Brasil Lavandim Energia Natural 10ml Vegano</t>
  </si>
  <si>
    <t>MLB5285061770</t>
  </si>
  <si>
    <t>Eau De Parfum Essência Do Brasil Sálvia Infinita Feminino 100ml + Roll On 10ml</t>
  </si>
  <si>
    <t>MLB5287306214</t>
  </si>
  <si>
    <t>Perfume Feminino Essência Do Brasil Funcho Doce 10ml Roll-on</t>
  </si>
  <si>
    <t>MLB5287306756</t>
  </si>
  <si>
    <t>Perfume Spray Essência Do Brasil Masculino 10ml Basilicão Natural Vegano</t>
  </si>
  <si>
    <t>MLB5287306886</t>
  </si>
  <si>
    <t>Perfume Roll On Mandarina Verde Masculino 10ml Essência Do Brasil Vegano</t>
  </si>
  <si>
    <t>MLB5287307296</t>
  </si>
  <si>
    <t>Perfume Essência Do Brasil Laranja Doce Brilhante Feminino Spray 10ml Natural</t>
  </si>
  <si>
    <t>MLB5287308010</t>
  </si>
  <si>
    <t>Perfume Laranja Amarga Solar Essençia Do Brasil Spray Vegano 10ml</t>
  </si>
  <si>
    <t>Perfume Patchouli Ocean Masculino 100ml - Frescor Profundo</t>
  </si>
  <si>
    <t>MLB4404253982</t>
  </si>
  <si>
    <t>MLB4045055036</t>
  </si>
  <si>
    <t>MLB5287318028</t>
  </si>
  <si>
    <t>Eau De Parfum Essência Do Brasil Feminino Roll On 10ml May Chang Natural</t>
  </si>
  <si>
    <t>MLB5287318044</t>
  </si>
  <si>
    <t>Perfume Roll On Masculino Essência Do Brasil Menta Refrescante 10ml Natural</t>
  </si>
  <si>
    <t>Perfume Patchouli Nomad Masculino 100ml - Espírito Livre</t>
  </si>
  <si>
    <t>MLB4410633234</t>
  </si>
  <si>
    <t>MLB5287321572</t>
  </si>
  <si>
    <t>Essência Do Brasil Perfume Laranja Doce Brilhante Masculino Spray 10ml Natural</t>
  </si>
  <si>
    <t>MLB3453558485</t>
  </si>
  <si>
    <t>MLB5287332772</t>
  </si>
  <si>
    <t>Essência Do Brasil Eau De Parfum Masculino Lavandim Energia 10ml Vegano</t>
  </si>
  <si>
    <t>MLB5287334008</t>
  </si>
  <si>
    <t>Perfume Roll On Essência Do Brasil Patchouli Dark Masculino 10ml Vegano</t>
  </si>
  <si>
    <t>MLB4687163083</t>
  </si>
  <si>
    <t>MLB5287345654</t>
  </si>
  <si>
    <t>Eau De Parfum Masculino Essência Do Brasil Laranja Doce Brilhante 100ml + Óleo</t>
  </si>
  <si>
    <t>MLB5287356472</t>
  </si>
  <si>
    <t>Essência Do Brasil Perfume Roll On Laranja Amarga Solar Masculino Vegano 10ml</t>
  </si>
  <si>
    <t>Perfume Yuzu Intenso Masculino 50ml - Cítrico Gourmand</t>
  </si>
  <si>
    <t>MLB4687174281</t>
  </si>
  <si>
    <t>MLB5287356790</t>
  </si>
  <si>
    <t>MLB4835178001</t>
  </si>
  <si>
    <t>Essência Do Brasil Perfume Roll On Sálvia Infinita Vegano 10ml</t>
  </si>
  <si>
    <t>Perfume Yuzu Intenso Masculino 100ml - Cítrico Gourmand</t>
  </si>
  <si>
    <t>MLB4687220387</t>
  </si>
  <si>
    <t>MLB5287357190</t>
  </si>
  <si>
    <t>Eau De Parfum Basilicão Masculino Essência Do Brasil, Roll-on De 10 Ml</t>
  </si>
  <si>
    <t>MLB6964554546</t>
  </si>
  <si>
    <t>Perfume Yuzu Sport Masculino 50ml - Cítrico Herbal</t>
  </si>
  <si>
    <t>MLB4846133219</t>
  </si>
  <si>
    <t>MLB5287359420</t>
  </si>
  <si>
    <t>Perfume Essência Do Brasil May Chang China Feminino Natural Vegano 10ml</t>
  </si>
  <si>
    <t>MLB4687220385</t>
  </si>
  <si>
    <t>MLB5287369518</t>
  </si>
  <si>
    <t>Eau De Parfum Essência Do Brasil Limão Siciliano Radiante 10ml Feminino</t>
  </si>
  <si>
    <t>MLB5287372192</t>
  </si>
  <si>
    <t>Perfume Eau De Parfum Wintergreen 10ml Essência Do Brasil Vegano</t>
  </si>
  <si>
    <t>MLB5287373088</t>
  </si>
  <si>
    <t>Perfume Essência Do Brasil Copaíba Amazônica Masculino 100ml + Roll On 10ml</t>
  </si>
  <si>
    <t>MLB5287373478</t>
  </si>
  <si>
    <t>Perfume Eau De Parfum Masculino Essência Do Brasil Cipreste Imperial Spray 10ml</t>
  </si>
  <si>
    <t>MLB5287381886</t>
  </si>
  <si>
    <t>Perfume Roll On Lavanda Da França Essência Do Brasil 10ml Natural</t>
  </si>
  <si>
    <t>MLB5287397028</t>
  </si>
  <si>
    <t>Perfume Feminino Spray 10ml Essência Do Brasil Artemísia Marroquina Natural</t>
  </si>
  <si>
    <t>MLB5287398302</t>
  </si>
  <si>
    <t>Perfume Laranja Doce Brilhante Homem 100ml + Roll On 10ml</t>
  </si>
  <si>
    <t>MLB5287409610</t>
  </si>
  <si>
    <t>Eau De Parfum Essência Do Brasil Eucalipto Refrescante Para Homem 10ml</t>
  </si>
  <si>
    <t>Perfume Cravo Intenso Masculino 50ml - Natural E Vegano</t>
  </si>
  <si>
    <t>MLB5251902828</t>
  </si>
  <si>
    <t>MLB5287410060</t>
  </si>
  <si>
    <t>Eau De Parfum Essência Do Brasil Mandarina Verde Masculino 100ml Com Óleo Roll-on 10ml</t>
  </si>
  <si>
    <t>MLB5291638478</t>
  </si>
  <si>
    <t>Perfume Patchouli Dark Misterioso Masculino 50ml - Natural</t>
  </si>
  <si>
    <t>MLB5287424652</t>
  </si>
  <si>
    <t>MLB5251915914</t>
  </si>
  <si>
    <t>Essência Do Brasil Eau De Parfum Masculino Hortelã Brava Spray 10ml</t>
  </si>
  <si>
    <t>MLB6604314418</t>
  </si>
  <si>
    <t>MLB5287436098</t>
  </si>
  <si>
    <t>Perfume Copaíba Amazônica Homem 100ml + Óleo Essencial 10ml</t>
  </si>
  <si>
    <t>Ano de lançamento preenchido (deveria ficar em branco); Anúncio sem descrição; Documento de Notificação/Comunicação prévia na Anvisa não preenchido</t>
  </si>
  <si>
    <t>Perfume Limão Tahiti Masculino 50ml - Natural E Vegano</t>
  </si>
  <si>
    <t>Anúncio sem descrição: Descrição vazia | Ano de lançamento preenchido (deveria ficar em branco): Ano de lançamento preenchido ("2023") - regra do negócio é deixar em branco | Documento de Notificação/Comunicação prévia na Anvisa não preenchido: Número de Notificação/Comunicação prévia na Anvisa não preenchido</t>
  </si>
  <si>
    <t>MLB5251954680</t>
  </si>
  <si>
    <t>MLB5287460172</t>
  </si>
  <si>
    <t>MLB5318716206</t>
  </si>
  <si>
    <t>Perfume Eau De Parfum Roll On Essência Do Brasil Feminino 10ml Vegano</t>
  </si>
  <si>
    <t>Perfume Manjerona Herbal Masculino 50ml - Natural E Vegano</t>
  </si>
  <si>
    <t>MLB5251980740</t>
  </si>
  <si>
    <t>MLB5287476366</t>
  </si>
  <si>
    <t>Perfume Roll On Orégano Gourmand Masculino 10ml Essência Do Brasil</t>
  </si>
  <si>
    <t>MLB5359717042</t>
  </si>
  <si>
    <t>MLB5287488114</t>
  </si>
  <si>
    <t>MLB5251993524</t>
  </si>
  <si>
    <t>Eau De Parfum Essência Do Brasil Ylang Ylang Exuberante Feminino 10ml</t>
  </si>
  <si>
    <t>MLB5287489214</t>
  </si>
  <si>
    <t>Eau De Parfum Essência Do Brasil Homem Limão Siciliano Spray 10ml</t>
  </si>
  <si>
    <t>Perfume Lavanda Da França Feminino 100ml + Spray 10ml Vegano</t>
  </si>
  <si>
    <t>MLB5297162292</t>
  </si>
  <si>
    <t>MLB5287489376</t>
  </si>
  <si>
    <t>MLB3963773297</t>
  </si>
  <si>
    <t>Eau De Parfum Masculino Roll On Essência Do Brasil Tangerina Radiante 10ml</t>
  </si>
  <si>
    <t>Perfume Capim Limão Masculino 100ml + Roll On 10ml Natural</t>
  </si>
  <si>
    <t>MLB5314917702</t>
  </si>
  <si>
    <t>MLB5287498908</t>
  </si>
  <si>
    <t>Perfume Masculino Bergamota Da Itália 10ml Essência Do Brasil Spray</t>
  </si>
  <si>
    <t>MLB3955194595</t>
  </si>
  <si>
    <t>MLB5287501198</t>
  </si>
  <si>
    <t>Perfume Spray Essência Do Brasil Orégano Gourmand Masculino 10ml</t>
  </si>
  <si>
    <t>MLB5287512316</t>
  </si>
  <si>
    <t>Perfume Roll On Lavanda Da França Masculino 10ml Essência Do Brasil</t>
  </si>
  <si>
    <t>MLB5533204690</t>
  </si>
  <si>
    <t>MLB5287515152</t>
  </si>
  <si>
    <t>Perfume Lavandim Energia Feminino E Óleo Essencial Para Mulher  Essência Do Brasil</t>
  </si>
  <si>
    <t>Perfume Sinergia 18 - Lima, Sálvia Sclarea, Cedro 10ml</t>
  </si>
  <si>
    <t>MLB5561443724</t>
  </si>
  <si>
    <t>MLB5287524932</t>
  </si>
  <si>
    <t>Eau De Parfum Masculino Essência Do Brasil Copaíba Amazônica 10ml Vegano</t>
  </si>
  <si>
    <t>MLB6688969260</t>
  </si>
  <si>
    <t>MLB5287526044</t>
  </si>
  <si>
    <t>Larimar 8-12mm Para Pingente 50 Gramas - Ponte Vecchio Joias</t>
  </si>
  <si>
    <t>Perfume Essência Do Brasil Eau De Parfum Fem. Ho Wood Natural Vegano 10ml</t>
  </si>
  <si>
    <t>MLB5959704014</t>
  </si>
  <si>
    <t>MLB7147434332</t>
  </si>
  <si>
    <t>MLB5287526752</t>
  </si>
  <si>
    <t>Essência Do Brasil Perfume Roll On Eucalipto Refrescante Masculino 10ml Natural</t>
  </si>
  <si>
    <t>Perfume Sinergia 4 - Capim-limão, Manjericão, Olíbano 10ml</t>
  </si>
  <si>
    <t>MLB6128601234</t>
  </si>
  <si>
    <t>MLB5287528286</t>
  </si>
  <si>
    <t>MLB5561546938</t>
  </si>
  <si>
    <t>Perfume Eau De Parfum Feminino Essência Do Brasil Petitgrain Vibrante Vegano 10ml</t>
  </si>
  <si>
    <t>MLB5287538394</t>
  </si>
  <si>
    <t>Perfume Roll-on Essência Do Brasil Lavandim Energia, Eau De Parfum Masculino 10ml</t>
  </si>
  <si>
    <t>MLB5287540946</t>
  </si>
  <si>
    <t>Perfume Masculino Essência Do Brasil 100ml Mirra Com Óleo Essencial Amadeirado</t>
  </si>
  <si>
    <t>MLB7021513064</t>
  </si>
  <si>
    <t>Perfume Eau De Parfum Essência Do Brasil Mandarina Verde Masculino Vegano 10ml</t>
  </si>
  <si>
    <t>MLB6717967516</t>
  </si>
  <si>
    <t>MLB5287541018</t>
  </si>
  <si>
    <t>Profumo 198 - Feminino 65ml Jasmim, Almíscar, Baunilha Volume Da Unidade 65 Ml</t>
  </si>
  <si>
    <t>MLB1488157160</t>
  </si>
  <si>
    <t>MLB5287541982</t>
  </si>
  <si>
    <t>Eau De Parfum Masculino Essência Do Brasil Roll On Cravo Intenso Vegano 10ml</t>
  </si>
  <si>
    <t>MLB5287551722</t>
  </si>
  <si>
    <t>MLB1488624842</t>
  </si>
  <si>
    <t>Perfume Spray Ho Wood Elegante Masculino 10ml Natural Vegano</t>
  </si>
  <si>
    <t>MLB5287551966</t>
  </si>
  <si>
    <t>Perfume Roll On Laranja Amarga Solar Essência Do Brasil 10ml Vegano</t>
  </si>
  <si>
    <t>MLB5287552420</t>
  </si>
  <si>
    <t>Perfume Anis Estrelado Feminino Essência Do Brasil 100ml Com Óleo Essencial</t>
  </si>
  <si>
    <t>Perfume Feminino Lótus Royal 60ml + Brinco Brilhante</t>
  </si>
  <si>
    <t>MLB2009203167</t>
  </si>
  <si>
    <t>MLB5288476220</t>
  </si>
  <si>
    <t>Perfume Feminino Natural Roll On Limão Siciliano 10ml Essência Do Brasil</t>
  </si>
  <si>
    <t>MLB7195442620</t>
  </si>
  <si>
    <t>MLB5288540952</t>
  </si>
  <si>
    <t>Perfume Masculino Imperatore 100ml</t>
  </si>
  <si>
    <t>MLB2123387490</t>
  </si>
  <si>
    <t>Perfume Roll On Essência Do Brasil Petitgrain Vibrante 10ml Natural</t>
  </si>
  <si>
    <t>MLB4001477181</t>
  </si>
  <si>
    <t>MLB5288579792</t>
  </si>
  <si>
    <t>Perfume Roll-on Feminino Essência Do Brasil De Gerânio E Ylang Ylang</t>
  </si>
  <si>
    <t>MLB5288592384</t>
  </si>
  <si>
    <t>MLB4476193116</t>
  </si>
  <si>
    <t>Perfume Masculino Spray Essência Do Brasil Lavanda 10ml Natural</t>
  </si>
  <si>
    <t>MLB5288592680</t>
  </si>
  <si>
    <t>Perfume Eau De Parfum Masculino Essência Do Brasil Tangerina Radiante 10ml</t>
  </si>
  <si>
    <t>MLB7179015766</t>
  </si>
  <si>
    <t>MLB5288644172</t>
  </si>
  <si>
    <t>Perfume Spray Capim Limão Masculino 10ml Natural E Vegano Essência Do Brasil</t>
  </si>
  <si>
    <t>MLB5288644632</t>
  </si>
  <si>
    <t>Perfume Roll-on Olíbano Sagrado Masculino Essência Do Brasil, 10ml</t>
  </si>
  <si>
    <t>MLB5288644922</t>
  </si>
  <si>
    <t>Perfume Essência Do Brasil Copaíba Amazônica Vegano 100ml + Spray</t>
  </si>
  <si>
    <t>MLB5288645064</t>
  </si>
  <si>
    <t>Perfume Roll On Laranja Doce Brilhante Feminino 10ml Essência Do Brasil</t>
  </si>
  <si>
    <t>MLB5288656842</t>
  </si>
  <si>
    <t>Essência Do Brasil Limão Siciliano Radiante Roll On 10ml Natural</t>
  </si>
  <si>
    <t>MLB5288669476</t>
  </si>
  <si>
    <t>Essência Do Brasil Eau De Parfum Feminino Laranja Amarga 10ml Natural</t>
  </si>
  <si>
    <t>MLB5288670620</t>
  </si>
  <si>
    <t>Eau De Parfum Masculino Essência Do Brasil Roll On Hortelã Brava 10ml</t>
  </si>
  <si>
    <t>MLB5288681978</t>
  </si>
  <si>
    <t>Perfume Roll On Feminino Natural Vegano Mandarina Verde Essência Do Brasil 10ml</t>
  </si>
  <si>
    <t>MLB5288682314</t>
  </si>
  <si>
    <t>Eau De Parfum Essência Do Brasil Lavandim Energia, Um Perfume Feminino 10 Ml</t>
  </si>
  <si>
    <t>MLB5288682872</t>
  </si>
  <si>
    <t>Perfume Roll On Essência Do Brasil Olíbano Sagrado 10ml Natural Vegano</t>
  </si>
  <si>
    <t>MLB5288690342</t>
  </si>
  <si>
    <t>Eau De Parfum Feminino Lavanda Da França 10ml Vegano Essência Do Brasil</t>
  </si>
  <si>
    <t>MLB5288690710</t>
  </si>
  <si>
    <t>Perfume Feminino Essência Do Brasil Anis Estrelado Natural Vegano 10ml</t>
  </si>
  <si>
    <t>MLB5291569926</t>
  </si>
  <si>
    <t>Perfume Flor De Jasmim &amp; Bergamota Feminino 100ml Essência Do Brasil</t>
  </si>
  <si>
    <t>MLB5295259098</t>
  </si>
  <si>
    <t>Perfume Essência Do Brasil Cedro &amp; Gengibre Masculino 100ml + Mini 10ml</t>
  </si>
  <si>
    <t>Perfume Feminino Dama Da Noite + Brinco Prata Ponto Luz 6mm</t>
  </si>
  <si>
    <t>MLB2781565563</t>
  </si>
  <si>
    <t>MLB5297277066</t>
  </si>
  <si>
    <t>MLB4223004282</t>
  </si>
  <si>
    <t>Perfume Bergamota Da Itália Masculino Com Roll-on</t>
  </si>
  <si>
    <t>Perfume Feminino Opium De Chine + Brinco Prata Ponto Luz 6mm</t>
  </si>
  <si>
    <t>MLB2781565576</t>
  </si>
  <si>
    <t>MLB5310907838</t>
  </si>
  <si>
    <t>MLB3595800171</t>
  </si>
  <si>
    <t>Perfume Feminino Alfazema &amp; Dama Da Noite 100ml Essência Do Brasil</t>
  </si>
  <si>
    <t>Título com mais de 60 caracteres: Título com 66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</si>
  <si>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Perfume Feminino Nefertiti + Brinco Prata Pérola</t>
  </si>
  <si>
    <t>MLB2781565582</t>
  </si>
  <si>
    <t>MLB3579771109</t>
  </si>
  <si>
    <t>Perfume Feminino Dama Da Noite + Brinco Prata Estrela</t>
  </si>
  <si>
    <t>MLB2781571452</t>
  </si>
  <si>
    <t>MLB4410542866</t>
  </si>
  <si>
    <t>Perfume Feminino Opium De Chine + Brinco Prata Coração</t>
  </si>
  <si>
    <t>MLB2781576946</t>
  </si>
  <si>
    <t>MLB5316194446</t>
  </si>
  <si>
    <t>MLB3580935665</t>
  </si>
  <si>
    <t>Título com mais de 60 caracteres: Título com 74 caracteres (limite ML=60)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</si>
  <si>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Perfume Feminino Opium De Chine + Brinco Prata Pérola</t>
  </si>
  <si>
    <t>MLB2781583159</t>
  </si>
  <si>
    <t>MLB5316195414</t>
  </si>
  <si>
    <t>Perfume Essência Do Brasil Erva Doce &amp; Capim Limão 100ml Feminino</t>
  </si>
  <si>
    <t>MLB4243519370</t>
  </si>
  <si>
    <t>Perfume Feminino Madame Paris + Brinco Prata Coração</t>
  </si>
  <si>
    <t>MLB2781595455</t>
  </si>
  <si>
    <t>MLB3521745147</t>
  </si>
  <si>
    <t>MLB5321069894</t>
  </si>
  <si>
    <t>Perfume Feminino Nefertiti + Brinco Prata Coração</t>
  </si>
  <si>
    <t>MLB2781595465</t>
  </si>
  <si>
    <t>Perfume Masculino Essência Do Brasil Tangerina Radiante Eau De Parfum 100ml E Óleo Essencial 10ml</t>
  </si>
  <si>
    <t>MLB3580885331</t>
  </si>
  <si>
    <t>MLB5321082696</t>
  </si>
  <si>
    <t>Perfume Masculino Eros 100ml + Cítricos D'italia 30ml</t>
  </si>
  <si>
    <t>Perfume Laranja Amarga Solar Masculino Essência Do Brasil Com Spray 10ml</t>
  </si>
  <si>
    <t>MLB2781601985</t>
  </si>
  <si>
    <t>MLB4410658784</t>
  </si>
  <si>
    <t>MLB5321096924</t>
  </si>
  <si>
    <t>Perfume Feminino Madame Paris + Brinco Prata Pérola</t>
  </si>
  <si>
    <t>Perfume Feminino Essência Do Brasil Olíbano E Ylang Ylang De 100 Ml Com Mini Perfume</t>
  </si>
  <si>
    <t>MLB2781620053</t>
  </si>
  <si>
    <t>Título com mais de 60 caracteres: Título com 84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</si>
  <si>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MLB3515600805</t>
  </si>
  <si>
    <t>MLB5321174270</t>
  </si>
  <si>
    <t>Perfume Feminino Opium De Chine + Brinco Prata Estrela</t>
  </si>
  <si>
    <t>MLB2781625895</t>
  </si>
  <si>
    <t>Perfume Funcho Doce Delicado Feminino 100ml + Spray 10ml</t>
  </si>
  <si>
    <t>MLB4217375498</t>
  </si>
  <si>
    <t>MLB5321238040</t>
  </si>
  <si>
    <t>Eau De Parfum Petitgrain Vibrante Feminino Essência Do Brasil Com Roll On 10ml</t>
  </si>
  <si>
    <t>MLB5328412094</t>
  </si>
  <si>
    <t>Perfume Masculino Olíbano Sagrado Essência Do Brasil, Com Roll-on 10ml</t>
  </si>
  <si>
    <t>MLB5334480890</t>
  </si>
  <si>
    <t>Eau De Parfum Masculino Essência Do Brasil Patchouli Dark Misterioso 10ml Spray</t>
  </si>
  <si>
    <t>MLB5334507524</t>
  </si>
  <si>
    <t>Essência Do Brasil Perfume Rosas Vermelhas Eau De Toilette 100ml</t>
  </si>
  <si>
    <t>MLB5334533326</t>
  </si>
  <si>
    <t>Eau De Toilette Essência Do Brasil Bergamota 15 Para Ele E Ela, Vegano E Cruelty Free</t>
  </si>
  <si>
    <t>MLB5336176284</t>
  </si>
  <si>
    <t>Eau De Toilette Feminino Essência Do Brasil Rosa Amarela Canela 100ml</t>
  </si>
  <si>
    <t>MLB5336251962</t>
  </si>
  <si>
    <t>Perfume Lavandim Energia Feminino 100ml + Spray 10ml Natural</t>
  </si>
  <si>
    <t>MLB5336266466</t>
  </si>
  <si>
    <t>Perfume Gerânio Elegante Mulher 100ml + Roll On 10ml Natural</t>
  </si>
  <si>
    <t>MLB5336340866</t>
  </si>
  <si>
    <t>Perfume Eau De Parfum Lavandim Energia Feminino E Roll On 10ml</t>
  </si>
  <si>
    <t>MLB5336376656</t>
  </si>
  <si>
    <t>Eau De Parfum Olíbano Sagrado Masculino Essência Do Brasil 10 Ml</t>
  </si>
  <si>
    <t>MLB5337346066</t>
  </si>
  <si>
    <t>Perfume Mandarina Verde Masculino 100ml + Spray 10ml Natural</t>
  </si>
  <si>
    <t>MLB5339760754</t>
  </si>
  <si>
    <t>Perfume Ho Wood Elegante Masculino 100ml Com Spray De Viagem 10ml</t>
  </si>
  <si>
    <t>MLB5339771358</t>
  </si>
  <si>
    <t>Essência Do Brasil Perfume Spray Grapefruit Vibrante Masculino 10ml</t>
  </si>
  <si>
    <t>MLB5339798504</t>
  </si>
  <si>
    <t>Perfume Masculino Eau De Parfum Louro Nobre Romano 100ml + Roll On</t>
  </si>
  <si>
    <t>MLB5339811686</t>
  </si>
  <si>
    <t>Perfume May Chang Da China Feminino 100ml Essência Do Brasil Spray Natural</t>
  </si>
  <si>
    <t>MLB5339859822</t>
  </si>
  <si>
    <t>Kit 3 Perfumes Spray 10ml Feminino - Floral Doce Delicado</t>
  </si>
  <si>
    <t>MLB3432567437</t>
  </si>
  <si>
    <t>Perfume Lavandim Energia Masculino 100ml Com Óleo Essencial Em Roll-on</t>
  </si>
  <si>
    <t>MLB4464791510</t>
  </si>
  <si>
    <t>MLB5339870228</t>
  </si>
  <si>
    <t>Perfume Laranja Doce Brilhante Feminino 100ml + Roll On 10ml</t>
  </si>
  <si>
    <t>Kit 3 Perfumes Spray 10ml Feminino - Oriental Marcante</t>
  </si>
  <si>
    <t>MLB3432579303</t>
  </si>
  <si>
    <t>MLB5339898454</t>
  </si>
  <si>
    <t>MLB4476180338</t>
  </si>
  <si>
    <t>Perfume Ylang Ylang Exuberante Masculino Essência Do Brasil Com Óleo Roll-on</t>
  </si>
  <si>
    <t>MLB5339950198</t>
  </si>
  <si>
    <t>Perfume Gerânio Elegante Feminino 100ml + Spray 10ml Natural</t>
  </si>
  <si>
    <t>MLB5339962362</t>
  </si>
  <si>
    <t>Perfume Feminino Limão Siciliano Radiante E Óleo Essencial</t>
  </si>
  <si>
    <t>MLB5339987252</t>
  </si>
  <si>
    <t>Eau De Parfum Essência Do Brasil Artemísia Marroquina 100ml + Óleo Roll-on</t>
  </si>
  <si>
    <t>MLB5346638500</t>
  </si>
  <si>
    <t>Perfume Lavanda Da França Homem 100ml + Roll On 10ml Natural</t>
  </si>
  <si>
    <t>MLB5349267848</t>
  </si>
  <si>
    <t>Perfume Capim Limão Masculino Com Spray De 10ml - Essência Do Brasil</t>
  </si>
  <si>
    <t>MLB5350864880</t>
  </si>
  <si>
    <t>Perfume Anis Estrelado Feminino 100ml + Roll On 10ml Natural</t>
  </si>
  <si>
    <t>MLB5350879466</t>
  </si>
  <si>
    <t>Perfume Louro Nobre Romano Masculino Essência Do Brasil 100ml + Óleo 10ml</t>
  </si>
  <si>
    <t>MLB5350905160</t>
  </si>
  <si>
    <t>Eau De Parfum Laranja Amarga Solar Feminino Essência Do Brasil Com Roll On De 10ml</t>
  </si>
  <si>
    <t>MLB5350938232</t>
  </si>
  <si>
    <t>Perfume Masculino Essência Do Brasil Olíbano Sagrado 100ml + Spray 10ml</t>
  </si>
  <si>
    <t>MLB5351944988</t>
  </si>
  <si>
    <t>Perfume Lavanda Da França Homem 100ml + Spray 10ml Natural</t>
  </si>
  <si>
    <t>MLB5352034378</t>
  </si>
  <si>
    <t>Perfume Mandarina Verde Homem 100ml + Roll On 10ml Natural</t>
  </si>
  <si>
    <t>Perfume Deep Flower Feminino 100ml - Extrait De Parfum</t>
  </si>
  <si>
    <t>MLB3471765128</t>
  </si>
  <si>
    <t>MLB5352034418</t>
  </si>
  <si>
    <t>MLB4445667754</t>
  </si>
  <si>
    <t>Perfume Feminino Ho Wood Elegante Natural C/ Spray De 10ml Essência Do Brasil</t>
  </si>
  <si>
    <t>MLB5352071436</t>
  </si>
  <si>
    <t>Perfume Basilicão Masculino De 100ml Com Spray De Viagem 10ml</t>
  </si>
  <si>
    <t>MLB5355069086</t>
  </si>
  <si>
    <t>Perfume Lavandim Energia Homem 100ml + Roll On 10ml Natural</t>
  </si>
  <si>
    <t>MLB5358132274</t>
  </si>
  <si>
    <t>Perfume Patchouli Misterioso Mulher 100ml + Óleo Essencial</t>
  </si>
  <si>
    <t>MLB5358181142</t>
  </si>
  <si>
    <t>Perfume Orégano Gourmand Homem 100ml + Roll On 10ml Natural</t>
  </si>
  <si>
    <t>MLB5358202368</t>
  </si>
  <si>
    <t>Perfume Mandarina Verde Feminino 100ml + Spray 10ml Natural</t>
  </si>
  <si>
    <t>MLB5369903314</t>
  </si>
  <si>
    <t>Eau De Toilette Feminino Essência Do Brasil Profumo 378 Lírio Rosa Violeta 65ml</t>
  </si>
  <si>
    <t>MLB5370600066</t>
  </si>
  <si>
    <t>Eau De Toilette Feminino Essência Do Brasil Profumo 272 65ml Chocolate Avelã</t>
  </si>
  <si>
    <t>MLB5370676894</t>
  </si>
  <si>
    <t>Essência Do Brasil Eau De Toilette Unissex 65ml Almíscar Rosa Patchouli</t>
  </si>
  <si>
    <t>MLB5370752138</t>
  </si>
  <si>
    <t>Perfume Essência Do Brasil Patchouli 100ml + Jasmine 30ml Spray Feminino</t>
  </si>
  <si>
    <t>MLB5380922470</t>
  </si>
  <si>
    <t>Perfume Feminino Essência Do Brasil Profumo 027 Peônia Lírio Eau De Toilette 65ml</t>
  </si>
  <si>
    <t>MLB5381002432</t>
  </si>
  <si>
    <t>Eau De Parfum Essência Do Brasil Limão Siciliano Radiante Masculino Com Óleo Essencial</t>
  </si>
  <si>
    <t>MLB5381302580</t>
  </si>
  <si>
    <t>Eau De Parfum Essência Do Brasil Grapefruit Vibrante Masculino Com Spray Para Viagem</t>
  </si>
  <si>
    <t>MLB5382254560</t>
  </si>
  <si>
    <t>Perfume Laranja Doce Brilhante Feminino 100ml + Spray 10ml</t>
  </si>
  <si>
    <t>MLB5382416486</t>
  </si>
  <si>
    <t>Eau De Parfum Patchouli Dark Misterioso Feminino Essência Do Brasil, Com Roll-on 10 Ml</t>
  </si>
  <si>
    <t>MLB5382552230</t>
  </si>
  <si>
    <t>Eau De Parfum Essência Do Brasil May Chang Feminino 100ml + Roll On</t>
  </si>
  <si>
    <t>MLB5382864116</t>
  </si>
  <si>
    <t>Eau De Parfum Essência Do Brasil Lavandim Energia Masculino Com Spray De Bolso</t>
  </si>
  <si>
    <t>MLB5382979936</t>
  </si>
  <si>
    <t>Perfume Feminino Erva Doce Natural 100ml Essência Do Brasil</t>
  </si>
  <si>
    <t>MLB5383035932</t>
  </si>
  <si>
    <t>Perfume Mandarina Verde Mulher 100ml + Roll On 10ml Natural</t>
  </si>
  <si>
    <t>MLB5383036724</t>
  </si>
  <si>
    <t>Perfume Essência Do Brasil Masculino Eau De Parfum Bergamota 100ml + Óleo Roll-on</t>
  </si>
  <si>
    <t>MLB5384553510</t>
  </si>
  <si>
    <t>Eau De Parfum Essência Do Brasil Eucalipto Refrescante Para Homens 100ml Com Spray Portátil De 10ml</t>
  </si>
  <si>
    <t>MLB5384664916</t>
  </si>
  <si>
    <t>Louro Nobre Romano Masculino 100ml + Spray 10ml Essência Do Brasil</t>
  </si>
  <si>
    <t>MLB5384679624</t>
  </si>
  <si>
    <t>Eau De Parfum Masculino Essência Do Brasil Patchouli Misterioso 100ml + Roll-on</t>
  </si>
  <si>
    <t>MLB5403471622</t>
  </si>
  <si>
    <t>Perfume Capim Limão Masculino 50 Ml Natural E Vegano</t>
  </si>
  <si>
    <t>MLB5409171372</t>
  </si>
  <si>
    <t>Perfume Amadeirado Masculino Patchouli Natural 100ml Essência Do Brasil</t>
  </si>
  <si>
    <t>MLB5409197200</t>
  </si>
  <si>
    <t>Essência Do Brasil Perfume Masculino Patchouli 65ml Almíscar Café Spray</t>
  </si>
  <si>
    <t>MLB5409742062</t>
  </si>
  <si>
    <t>Perfume Masculino Essência Do Brasil Com Almíscar Selvagem E Oceanus</t>
  </si>
  <si>
    <t>MLB5409742564</t>
  </si>
  <si>
    <t>Perfume Feminino Essência Do Brasil Pure Instinct 100ml E Flor De Jasmim 50ml</t>
  </si>
  <si>
    <t>MLB5409751068</t>
  </si>
  <si>
    <t>Perfume Feminino Essência Do Brasil Pure Instinct 100ml E Dama Da Noite 50ml</t>
  </si>
  <si>
    <t>MLB5409751350</t>
  </si>
  <si>
    <t>Perfume Feminino Essência Do Brasil Volcan D'amour E Dama Da Noite</t>
  </si>
  <si>
    <t>MLB5409751504</t>
  </si>
  <si>
    <t>Perfume Masculino Patchouli 100ml + Seduction 50ml Essência Do Brasil</t>
  </si>
  <si>
    <t>MLB5409753566</t>
  </si>
  <si>
    <t>Essência Do Brasil Perfume Masculino Attraction 100ml + Seduction 50ml Edt</t>
  </si>
  <si>
    <t>Título com mais de 60 caracteres: Título com 74 caracteres (limite ML=60) | Anúncio sem descrição: Descrição vazia | Tipo de perfume cadastrado diverge do que está no título/nome: Campo "Tipo de perfume" = "Parfum", mas título/nome menciona ['Eau de toilette'] | Documento de Notificação/Comunicação prévia na Anvisa não preenchido: Número de Notificação/Comunicação prévia na Anvisa não preenchido</t>
  </si>
  <si>
    <t>MLB5409753862</t>
  </si>
  <si>
    <t>Perfume Masculino Essência Do Brasil Attraction 100ml + Dark Code 50ml</t>
  </si>
  <si>
    <t>MLB5409753902</t>
  </si>
  <si>
    <t>Perfume Feminino Essência Do Brasil Com Attraction 100ml E Opium De Chine 50ml</t>
  </si>
  <si>
    <t>MLB5409763388</t>
  </si>
  <si>
    <t>Perfume Feminino Essência Do Brasil Attraction 100ml + Afrodite 50ml</t>
  </si>
  <si>
    <t>MLB5409765448</t>
  </si>
  <si>
    <t>Perfume Masculino Golf Black 100ml + Dark Tabac 50ml</t>
  </si>
  <si>
    <t>MLB5409765606</t>
  </si>
  <si>
    <t>Perfume Masculino Essência Do Brasil Dark Code 100ml + Seduction 50ml</t>
  </si>
  <si>
    <t>MLB5409765748</t>
  </si>
  <si>
    <t>Perfume Masculino Essência Do Brasil Golf Black 100ml + Blue 50ml</t>
  </si>
  <si>
    <t>MLB5409765932</t>
  </si>
  <si>
    <t>Perfume Feminino Essência Do Brasil Dama Da Noite 100ml + Flor De Jasmim 50ml</t>
  </si>
  <si>
    <t>MLB5409775844</t>
  </si>
  <si>
    <t>Perfume Essência Do Brasil Feminino Volcan D'amour 100ml + Opium De Chine 50ml</t>
  </si>
  <si>
    <t>MLB5409788982</t>
  </si>
  <si>
    <t>Perfume Feminino Essência Do Brasil Dama Da Noite 100ml + Afrodite 50ml</t>
  </si>
  <si>
    <t>MLB5409801598</t>
  </si>
  <si>
    <t>Perfume Essência Do Brasil Feminino Volcan D'amour 100ml + Afrodite 50ml</t>
  </si>
  <si>
    <t>MLB5409814606</t>
  </si>
  <si>
    <t>Perfume Feminino Essência Do Brasil Attraction 100ml + Flor Jasmim 50ml</t>
  </si>
  <si>
    <t>MLB5409817224</t>
  </si>
  <si>
    <t>Perfume Masculino Essência Do Brasil Com Dark Tabac 100ml E Golf Black 50ml</t>
  </si>
  <si>
    <t>MLB3950225999</t>
  </si>
  <si>
    <t>MLB5409827050</t>
  </si>
  <si>
    <t>Perfume Masculino Essência Do Brasil Patchouli 100ml + Oceanus 50ml</t>
  </si>
  <si>
    <t>MLB5409827798</t>
  </si>
  <si>
    <t>MLB3950238989</t>
  </si>
  <si>
    <t>Perfume Masculino Essência Do Brasil Com Oceanus 100ml E Golf Blue 50ml</t>
  </si>
  <si>
    <t>MLB5409830012</t>
  </si>
  <si>
    <t>Essência Do Brasil Perfume Masculino Dark Tabac 100ml + Seduction 50ml</t>
  </si>
  <si>
    <t>MLB3955119039</t>
  </si>
  <si>
    <t>MLB5409839810</t>
  </si>
  <si>
    <t>Perfume Masculino Essência Do Brasil Seduction (100ml) E Golf Black (50ml)</t>
  </si>
  <si>
    <t>MLB3955131715</t>
  </si>
  <si>
    <t>MLB5409840070</t>
  </si>
  <si>
    <t>Perfume Feminino Essência Do Brasil Dama Da Noite 100ml + Opium De Chine 50ml</t>
  </si>
  <si>
    <t>Perfume Lavanda Da França Feminino 100ml + Roll On 10ml</t>
  </si>
  <si>
    <t>MLB3955131717</t>
  </si>
  <si>
    <t>MLB5409842646</t>
  </si>
  <si>
    <t>Perfume Masculino Essência Do Brasil Dark Code 100ml E Golf Blue 50ml</t>
  </si>
  <si>
    <t>MLB4042882613</t>
  </si>
  <si>
    <t>MLB5409843192</t>
  </si>
  <si>
    <t>Perfume Masculino Essência Do Brasil Com Golf Black E Seduction</t>
  </si>
  <si>
    <t>MLB3955144705</t>
  </si>
  <si>
    <t>MLB5409852452</t>
  </si>
  <si>
    <t>Perfume Masculino Essência Do Brasil Seduction 100ml Oceanus 50ml</t>
  </si>
  <si>
    <t>MLB3955144709</t>
  </si>
  <si>
    <t>MLB5409853192</t>
  </si>
  <si>
    <t>Perfume Masculino Essência Do Brasil Seduction 100ml + Dark Tabac</t>
  </si>
  <si>
    <t>MLB3955157249</t>
  </si>
  <si>
    <t>MLB5409855072</t>
  </si>
  <si>
    <t>Perfume Masculino Essência Do Brasil Attraction 100ml + Golf Blue 50ml</t>
  </si>
  <si>
    <t>MLB3955169651</t>
  </si>
  <si>
    <t>MLB5409855248</t>
  </si>
  <si>
    <t>Perfume Essência Do Brasil Com Almíscar Selvagem E Golf Black Masculino</t>
  </si>
  <si>
    <t>MLB5409855342</t>
  </si>
  <si>
    <t>Perfume Feminino Essência Do Brasil Afrodite 100ml + Dama Da Noite 50ml</t>
  </si>
  <si>
    <t>MLB3955181843</t>
  </si>
  <si>
    <t>MLB5409865334</t>
  </si>
  <si>
    <t>De Perfumes Masculinos Essência Do Brasil Com Oceanus E Golf Black</t>
  </si>
  <si>
    <t>MLB3955181845</t>
  </si>
  <si>
    <t>MLB5409888926</t>
  </si>
  <si>
    <t>Perfume Masculino Essência Do Brasil Com Golf Blue E Dark Tabac</t>
  </si>
  <si>
    <t>MLB3955181849</t>
  </si>
  <si>
    <t>MLB5409900990</t>
  </si>
  <si>
    <t>Essência Do Brasil Com Perfume Seduction E Golf Blue Masculino</t>
  </si>
  <si>
    <t>MLB3955194597</t>
  </si>
  <si>
    <t>MLB5409927174</t>
  </si>
  <si>
    <t>Parfum Masculino Essência Do Brasil Com Golf Blue 100ml E Dark Code 50ml</t>
  </si>
  <si>
    <t>Perfume Ho Wood Elegante Mulher 100ml + Roll On 10ml Natural</t>
  </si>
  <si>
    <t>MLB5409940096</t>
  </si>
  <si>
    <t>MLB3955194605</t>
  </si>
  <si>
    <t>Perfume Essência Do Brasil Masculino Patchouli 100ml + Golf Blue 50ml</t>
  </si>
  <si>
    <t>MLB5832055192</t>
  </si>
  <si>
    <t>MLB5409952640</t>
  </si>
  <si>
    <t>Perfume Amadeirado Masculino Essência Do Brasil Patchouli 100ml Dark Tabac 50ml</t>
  </si>
  <si>
    <t>MLB3955194607</t>
  </si>
  <si>
    <t>MLB5409952778</t>
  </si>
  <si>
    <t>Perfume Feminino Essência Do Brasil Afrodite 100ml + Flor De Jasmim 50ml</t>
  </si>
  <si>
    <t>Perfume Menta Refrescante Homem 100ml + Roll On 10ml Natural</t>
  </si>
  <si>
    <t>MLB3955209877</t>
  </si>
  <si>
    <t>MLB5410806104</t>
  </si>
  <si>
    <t>Perfume Feminino Essência Do Brasil Cravo Flor &amp; Canela 100ml + Mini Perfume 10ml</t>
  </si>
  <si>
    <t>MLB4266191423</t>
  </si>
  <si>
    <t>Título com mais de 60 caracteres: Título com 81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</si>
  <si>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MLB5412338324</t>
  </si>
  <si>
    <t>MLB3955209881</t>
  </si>
  <si>
    <t>Perfume Feminino Essência Do Brasil Opium De Chine 100ml + Dama Da Noite 50ml</t>
  </si>
  <si>
    <t>MLB5412504370</t>
  </si>
  <si>
    <t>Essência Do Brasil Perfume Masc. Almíscar Selvagem E Dark Tabac 150ml</t>
  </si>
  <si>
    <t>MLB3955209883</t>
  </si>
  <si>
    <t>MLB5412504378</t>
  </si>
  <si>
    <t>Perfume Feminino Afrodite 100ml + Opium De Chine 50ml</t>
  </si>
  <si>
    <t>MLB3955231271</t>
  </si>
  <si>
    <t>MLB5412595586</t>
  </si>
  <si>
    <t>Perfume Masculino Patchouli 100ml + Golf Black 50ml</t>
  </si>
  <si>
    <t>MLB3963736785</t>
  </si>
  <si>
    <t>MLB5412595596</t>
  </si>
  <si>
    <t>Perfume Feminino Essência Do Brasil Opium De Chine 100ml + Flor De Jasmim 50ml</t>
  </si>
  <si>
    <t>MLB5412608434</t>
  </si>
  <si>
    <t>Perfume Masculino Essência Do Brasil Golf Blue 100ml Black 50ml</t>
  </si>
  <si>
    <t>MLB3963748863</t>
  </si>
  <si>
    <t>MLB5412634374</t>
  </si>
  <si>
    <t>Perfume Masculino Essência Do Brasil Golf Black 100ml + Oceanus 50ml</t>
  </si>
  <si>
    <t>MLB3963748891</t>
  </si>
  <si>
    <t>MLB5412686380</t>
  </si>
  <si>
    <t>Perfume Masculino Essência Do Brasil Oceanus 100ml + Dark Tabac 50ml</t>
  </si>
  <si>
    <t>MLB5412686390</t>
  </si>
  <si>
    <t>MLB3963761617</t>
  </si>
  <si>
    <t>Perfume Masculino Essência Do Brasil Golf Blue E Oceanus</t>
  </si>
  <si>
    <t>MLB5412712476</t>
  </si>
  <si>
    <t>Perfume Masculino Essência Do Brasil Almíscar Selvagem 100ml + Dark Code 50ml</t>
  </si>
  <si>
    <t>MLB3963773311</t>
  </si>
  <si>
    <t>MLB5412723806</t>
  </si>
  <si>
    <t>Perfume Masculino Essência Do Brasil Oceanus 100ml + Dark Code 50ml</t>
  </si>
  <si>
    <t>MLB3963797599</t>
  </si>
  <si>
    <t>MLB5412723812</t>
  </si>
  <si>
    <t>Essência Do Brasil Perfume Masculino Amadeirado Dark Tabac 100ml + Golf Blue 50ml</t>
  </si>
  <si>
    <t>MLB5412736842</t>
  </si>
  <si>
    <t>MLB3963810433</t>
  </si>
  <si>
    <t>Perfume Feminino Essência Do Brasil Opium De Chine 100ml + Afrodite 50ml</t>
  </si>
  <si>
    <t>MLB5412736854</t>
  </si>
  <si>
    <t>Perfume Masculino Essência Do Brasil Dark Code 100ml Golf Black 50ml</t>
  </si>
  <si>
    <t>MLB3963810435</t>
  </si>
  <si>
    <t>MLB5412749718</t>
  </si>
  <si>
    <t>Perfume Feminino Essência Do Brasil Pure Instinct 100ml + Afrodite 50ml</t>
  </si>
  <si>
    <t>MLB3963822541</t>
  </si>
  <si>
    <t>MLB5412762696</t>
  </si>
  <si>
    <t>Perfume Masculino Essência Do Brasil Golf Blue 100ml + Seduction 50ml</t>
  </si>
  <si>
    <t>MLB5413520660</t>
  </si>
  <si>
    <t>Perfume Parfum Tangerina Radiante 50ml Essência Do Brasil Vegano</t>
  </si>
  <si>
    <t>MLB3963833333</t>
  </si>
  <si>
    <t>MLB5415198450</t>
  </si>
  <si>
    <t>Perfume Masculino Essência Do Brasil Eucalipto E Capim Limão 100 Ml</t>
  </si>
  <si>
    <t>MLB3963833339</t>
  </si>
  <si>
    <t>MLB5421473220</t>
  </si>
  <si>
    <t>Perfume Essência Do Brasil Lima-limão Cítrico 100ml + 10ml Edt</t>
  </si>
  <si>
    <t>Título com mais de 60 caracteres: Título com 62 caracteres (limite ML=60) | Anúncio sem descrição: Descrição vazia | Tipo de perfume cadastrado diverge do que está no título/nome: Campo "Tipo de perfume" = "Parfum", mas título/nome menciona ['Eau de toilette'] | País de origem diferente de "Brasil": País de origem = "(vazio)", deveria ser "Brasil" | Documento de Notificação/Comunicação prévia na Anvisa não preenchido: Número de Notificação/Comunicação prévia na Anvisa não preenchido</t>
  </si>
  <si>
    <t>Perfume Funcho Doce Delicado Mulher 100ml + Óleo Essencial</t>
  </si>
  <si>
    <t>MLB3964548145</t>
  </si>
  <si>
    <t>MLB5423616436</t>
  </si>
  <si>
    <t>Perfume Dama Da Noite 100ml +colar Ponto De Luz Banhado Ouro Volume Da Unidade 100 Ml</t>
  </si>
  <si>
    <t>MLB4264254041</t>
  </si>
  <si>
    <t>MLB3964586995</t>
  </si>
  <si>
    <t>MLB5462552456</t>
  </si>
  <si>
    <t>Perfume Essência Do Brasil Olíbano &amp; Mirra 100ml Masculino Arabe</t>
  </si>
  <si>
    <t>MLB5865447128</t>
  </si>
  <si>
    <t>MLB5473280528</t>
  </si>
  <si>
    <t>Perfume Parfum Essência Do Brasil Ho Wood Feminino 100ml + Óleo Essencial Roll-on</t>
  </si>
  <si>
    <t>MLB5262053100</t>
  </si>
  <si>
    <t>MLB5504252138</t>
  </si>
  <si>
    <t>Perfume Lavandim Energia Feminino 50ml - Natural E Vegano</t>
  </si>
  <si>
    <t>Perfume Feminino Artemísia Marroquina Eau De Parfum Essência Do Brasil 50ml</t>
  </si>
  <si>
    <t>MLB4042973857</t>
  </si>
  <si>
    <t>Título com mais de 60 caracteres: Título com 75 caracteres (limite ML=60) | Anúncio sem descrição: Descrição vazia | Ano de lançamento preenchido (deveria ficar em branco): Ano de lançamento preenchido ("2023") - regra do negócio é deixar em branco | Documento de Notificação/Comunicação prévia na Anvisa não preenchido: Número de Notificação/Comunicação prévia na Anvisa não preenchido</t>
  </si>
  <si>
    <t>MLB5251890248</t>
  </si>
  <si>
    <t>MLB5504365072</t>
  </si>
  <si>
    <t>Perfume Eau De Parfum Masculino Cipreste Imperial Essência Do Brasil 50ml</t>
  </si>
  <si>
    <t>MLB5506803592</t>
  </si>
  <si>
    <t>Parfum Feminino Essência Do Brasil Sálvia Infinita 100ml + Óleo Essencial 10ml</t>
  </si>
  <si>
    <t>MLB5262040676</t>
  </si>
  <si>
    <t>MLB5506869166</t>
  </si>
  <si>
    <t>Parfum Essência Do Brasil Bergamota E Cravo 100ml Feminino</t>
  </si>
  <si>
    <t>MLB5508104610</t>
  </si>
  <si>
    <t>Perfume Masculino Essência Do Brasil Laranja Amarga Solar 100ml + Óleo Essencial</t>
  </si>
  <si>
    <t>MLB5508664668</t>
  </si>
  <si>
    <t>Perfume Laranja Amarga Solar Feminino 50ml</t>
  </si>
  <si>
    <t>MLB5508665792</t>
  </si>
  <si>
    <t>Perfume Essência Do Brasil Violeta Elixir 100ml Extrait De Parfum 40% Óleos</t>
  </si>
  <si>
    <t>MLB5561443726</t>
  </si>
  <si>
    <t>Título com mais de 60 caracteres: Título com 75 caracteres (limite ML=60) | Tipo de perfume cadastrado diverge do que está no título/nome: Campo "Tipo de perfume" = "Elixir", mas título/nome menciona ['Parfum', 'Extrait de parfum'] | Documento de Notificação/Comunicação prévia na Anvisa não preenchido: Número de Notificação/Comunicação prévia na Anvisa não preenchido</t>
  </si>
  <si>
    <t>MLB5508670728</t>
  </si>
  <si>
    <t>Essência Do Brasil Perfume Laranja Doce Elixir 100ml Extrait De Parfum</t>
  </si>
  <si>
    <t>Título com mais de 60 caracteres: Título com 70 caracteres (limite ML=60) | Tipo de perfume cadastrado diverge do que está no título/nome: Campo "Tipo de perfume" = "Deo cologne", mas título/nome menciona ['Parfum', 'Extrait de parfum'] | Documento de Notificação/Comunicação prévia na Anvisa não preenchido: Número de Notificação/Comunicação prévia na Anvisa não preenchido</t>
  </si>
  <si>
    <t>MLB5508677946</t>
  </si>
  <si>
    <t>Perfume Parfum Essência Do Brasil Olíbano Sagrado Feminino 10ml Natural Vegano</t>
  </si>
  <si>
    <t>MLB5508679228</t>
  </si>
  <si>
    <t>Perfume Extrait De Parfum Essência Do Brasil Aloés Elixir 100ml</t>
  </si>
  <si>
    <t>Título com mais de 60 caracteres: Título com 63 caracteres (limite ML=60) | Tipo de perfume cadastrado diverge do que está no título/nome: Campo "Tipo de perfume" = "Elixir", mas título/nome menciona ['Parfum', 'Extrait de parfum'] | Documento de Notificação/Comunicação prévia na Anvisa não preenchido: Número de Notificação/Comunicação prévia na Anvisa não preenchido</t>
  </si>
  <si>
    <t>MLB5508704092</t>
  </si>
  <si>
    <t>MLB5533568640</t>
  </si>
  <si>
    <t>Perfume Alfazema Elixir 100ml Essência Do Brasil Extrait 40% Óleos</t>
  </si>
  <si>
    <t>Título com mais de 60 caracteres: Título com 66 caracteres (limite ML=60) | Tipo de perfume cadastrado diverge do que está no título/nome: Campo "Tipo de perfume" = "Elixir", mas título/nome menciona ['Parfum', 'Extrait de parfum'] | Documento de Notificação/Comunicação prévia na Anvisa não preenchido: Número de Notificação/Comunicação prévia na Anvisa não preenchido</t>
  </si>
  <si>
    <t>Perfume Yuzu Floral Feminino 100ml - Cítrico Floral</t>
  </si>
  <si>
    <t>MLB4687174269</t>
  </si>
  <si>
    <t>MLB5508704444</t>
  </si>
  <si>
    <t>Perfume Lilás Elixir 100ml Extrait De Parfum Essência Do Brasil 40% Óleos</t>
  </si>
  <si>
    <t>MLB4846133207</t>
  </si>
  <si>
    <t>Título com mais de 60 caracteres: Título com 73 caracteres (limite ML=60) | Tipo de perfume cadastrado diverge do que está no título/nome: Campo "Tipo de perfume" = "Elixir", mas título/nome menciona ['Parfum', 'Extrait de parfum'] | Documento de Notificação/Comunicação prévia na Anvisa não preenchido: Número de Notificação/Comunicação prévia na Anvisa não preenchido</t>
  </si>
  <si>
    <t>MLB5508705328</t>
  </si>
  <si>
    <t>MLB4687174273</t>
  </si>
  <si>
    <t>Perfume Essência Do Brasil Girassol Absolu De 100ml  Extrait De Parfum</t>
  </si>
  <si>
    <t>MLB5508711030</t>
  </si>
  <si>
    <t>Perfume Spray Yuzu Sport Masculino 10ml - Cítrico Herbal</t>
  </si>
  <si>
    <t>MLB4687174277</t>
  </si>
  <si>
    <t>Eau De Parfum Essência Do Brasil Ylang Ylang Exuberante Masculino 100ml</t>
  </si>
  <si>
    <t>Documento de Notificação/Comunicação prévia na Anvisa não preenchido; Gênero cadastrado diverge do gênero indicado no título; Título com mais de 60 caracteres</t>
  </si>
  <si>
    <t>Título com mais de 60 caracteres: Título com 71 caracteres (limite ML=60) | Documento de Notificação/Comunicação prévia na Anvisa não preenchido: Número de Notificação/Comunicação prévia na Anvisa não preenchido | Gênero cadastrado diverge do gênero indicado no título: Título indica um gênero mas campo Gênero está "Feminino" - risco do cliente comprar errado</t>
  </si>
  <si>
    <t>MLB7142423110</t>
  </si>
  <si>
    <t>MLB5508729542</t>
  </si>
  <si>
    <t>Eau De Parfum Essência Do Brasil Laranja Doce Brilhante Para Homem 50 Ml</t>
  </si>
  <si>
    <t>MLB6791723324</t>
  </si>
  <si>
    <t>MLB5508729994</t>
  </si>
  <si>
    <t>Perfume Extrait De Parfum 100ml Essência Do Brasil Petitgrain Elixir Spray</t>
  </si>
  <si>
    <t>Perfume Yuzu Sport Masculino 100ml - Cítrico Herbal</t>
  </si>
  <si>
    <t>MLB4846185007</t>
  </si>
  <si>
    <t>Título com mais de 60 caracteres: Título com 74 caracteres (limite ML=60) | Tipo de perfume cadastrado diverge do que está no título/nome: Campo "Tipo de perfume" = "Elixir", mas título/nome menciona ['Parfum', 'Extrait de parfum'] | Documento de Notificação/Comunicação prévia na Anvisa não preenchido: Número de Notificação/Comunicação prévia na Anvisa não preenchido</t>
  </si>
  <si>
    <t>MLB6791723322</t>
  </si>
  <si>
    <t>MLB5508740884</t>
  </si>
  <si>
    <t>Eau De Parfum Essência Do Brasil Copaíba Amazônica Masculino 50 Ml</t>
  </si>
  <si>
    <t>MLB5508759068</t>
  </si>
  <si>
    <t>Perfume Extrait De Parfum Essência Do Brasil Cássia Elixir 100ml</t>
  </si>
  <si>
    <t>Título com mais de 60 caracteres: Título com 64 caracteres (limite ML=60) | Tipo de perfume cadastrado diverge do que está no título/nome: Campo "Tipo de perfume" = "Eau de parfum", mas título/nome menciona ['Parfum', 'Extrait de parfum'] | Documento de Notificação/Comunicação prévia na Anvisa não preenchido: Número de Notificação/Comunicação prévia na Anvisa não preenchido</t>
  </si>
  <si>
    <t>MLB5508766946</t>
  </si>
  <si>
    <t>Essência Do Brasil Perfume Limão 22 - 100ml Vegano E Cruelty Free</t>
  </si>
  <si>
    <t>MLB5508770828</t>
  </si>
  <si>
    <t>Perfume Essência Do Brasil Lírios Elixir 100ml Extrait De Parfum 40% Óleos</t>
  </si>
  <si>
    <t>MLB5510410020</t>
  </si>
  <si>
    <t>Perfume Lavanda Da França Feminino 50ml, Por Essência Do Brasil</t>
  </si>
  <si>
    <t>MLB5510512494</t>
  </si>
  <si>
    <t>Perfume Essência Do Brasil Tangerina Radiante Masculino 100ml Com Spray Portátil</t>
  </si>
  <si>
    <t>MLB5510694412</t>
  </si>
  <si>
    <t>Perfume Masculino Natural De Bergamota 100ml</t>
  </si>
  <si>
    <t>Anúncio sem descrição; Documento de Notificação/Comunicação prévia na Anvisa não preenchido; Marca cadastrada incorreta/inconsistente; País de origem diferente de "Brasil"</t>
  </si>
  <si>
    <t>Anúncio sem descrição: Descrição vazia | Marca cadastrada incorreta/inconsistente: Marca "Perfume" difere da marca própria esperada "Essência do Brasil" | País de origem diferente de "Brasil": País de origem = "(vazio)", deveria ser "Brasil" | Documento de Notificação/Comunicação prévia na Anvisa não preenchido: Número de Notificação/Comunicação prévia na Anvisa não preenchido</t>
  </si>
  <si>
    <t>MLB5511581652</t>
  </si>
  <si>
    <t>Perfume Cravo Intenso &amp; Canela 100ml Parfum Essência Do Brasil Presente</t>
  </si>
  <si>
    <t>MLB5534803120</t>
  </si>
  <si>
    <t>Perfume Dark Tabac 100ml E Carteira Essência Do Brasil Masculino Edt</t>
  </si>
  <si>
    <t>MLB5536599808</t>
  </si>
  <si>
    <t>Parfum Masculino Perfume Gerânio &amp; Sândalo Plus 100ml Essência Do Brasil</t>
  </si>
  <si>
    <t>Título com mais de 60 caracteres: Título com 72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</si>
  <si>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MLB5536612950</t>
  </si>
  <si>
    <t>Perfume Masculino Parfum Ares 100ml Essência Do Brasil Spray</t>
  </si>
  <si>
    <t>MLB5536925160</t>
  </si>
  <si>
    <t>Perfume Eau De Toilette Unissex Com Manjerona, Laranja Doce E Vetiver 100ml</t>
  </si>
  <si>
    <t>Perfume Limão Siciliano Radiante Feminino 50ml - Natural</t>
  </si>
  <si>
    <t>MLB5251890252</t>
  </si>
  <si>
    <t>MLB5537171596</t>
  </si>
  <si>
    <t>Parfum Masculino Essência Do Brasil Flor De Laranjeira 50 Ml</t>
  </si>
  <si>
    <t>MLB7075803174</t>
  </si>
  <si>
    <t>Perfume Menta Refrescante Masculino 50ml - Natural E Vegano</t>
  </si>
  <si>
    <t>MLB5251941886</t>
  </si>
  <si>
    <t>MLB5537172478</t>
  </si>
  <si>
    <t>Parfum Essência Do Brasil Feminino De Aniz E Almíscar Oriental 100ml</t>
  </si>
  <si>
    <t>MLB5561638990</t>
  </si>
  <si>
    <t>MLB5262040674</t>
  </si>
  <si>
    <t>MLB5538576370</t>
  </si>
  <si>
    <t>Perfume Eau De Toilette Unissex Essência Do Brasil Sinergia 17 Com Laranja Doce, Gerânio E Jasmim 100ml</t>
  </si>
  <si>
    <t>Título com mais de 60 caracteres: Título com 103 caracteres (limite ML=60) | Anúncio sem descrição: Descrição vazia | Documento de Notificação/Comunicação prévia na Anvisa não preenchido: Número de Notificação/Comunicação prévia na Anvisa não preenchido</t>
  </si>
  <si>
    <t>MLB5273647468</t>
  </si>
  <si>
    <t>MLB5538581552</t>
  </si>
  <si>
    <t>Essência Do Brasil Perfume Sinergia 8 Pinho Sândalo Manjericão 100ml</t>
  </si>
  <si>
    <t>MLB5273647482</t>
  </si>
  <si>
    <t>MLB5538783166</t>
  </si>
  <si>
    <t>Perfume Unissex Sinergia 21 Essência Do Brasil De Petitgrain, Menta E Manjerona 100ml</t>
  </si>
  <si>
    <t>MLB5538783630</t>
  </si>
  <si>
    <t>Perfume Sinergia 13 Essência Do Brasil Com Artemísia, Zimbro E Manjericão, 100ml</t>
  </si>
  <si>
    <t>MLB5539004504</t>
  </si>
  <si>
    <t>Perfume Sinergia 16 - Limão, Manjericão, Pimenta-preta 100ml</t>
  </si>
  <si>
    <t>MLB5539367578</t>
  </si>
  <si>
    <t>Perfume Masculino Dark Tabac 100ml + Nécessaire Essência Do Brasil</t>
  </si>
  <si>
    <t>Perfume Sinergia 10 - Olíbano, Tangerina, Erva-doce 100ml</t>
  </si>
  <si>
    <t>MLB5533191606</t>
  </si>
  <si>
    <t>MLB5539394988</t>
  </si>
  <si>
    <t>Essência Do Brasil Perfume Sinergia 6 Palmarosa Laranja 100ml Unissex</t>
  </si>
  <si>
    <t>MLB5539945246</t>
  </si>
  <si>
    <t>Perfume Sinergia 23 - Cipreste, Toranja, Lavanda 100ml</t>
  </si>
  <si>
    <t>MLB5533191608</t>
  </si>
  <si>
    <t>MLB5541863852</t>
  </si>
  <si>
    <t>MLB5541591846</t>
  </si>
  <si>
    <t>Perfume Sinergia 12 Essência Do Brasil, Um Eau De Toilette Unissex De 100ml</t>
  </si>
  <si>
    <t>MLB5533217860</t>
  </si>
  <si>
    <t>Perfume Sinergia 17 - Laranja Doce, Gerânio, Jasmim 10ml</t>
  </si>
  <si>
    <t>MLB5560943870</t>
  </si>
  <si>
    <t>MLB5541884834</t>
  </si>
  <si>
    <t>Eau De Toilette Essência Do Brasil Sinergia 18 De Lima, Sálvia E Cedro, 100ml</t>
  </si>
  <si>
    <t>MLB5573428812</t>
  </si>
  <si>
    <t>MLB5543645268</t>
  </si>
  <si>
    <t>Perfume Sinergia 23 - Cipreste, Toranja, Lavanda 10ml</t>
  </si>
  <si>
    <t>Perfume Sinergia 7 Essência Do Brasil Com Bergamota, Copaíba E Vetiver 100ml</t>
  </si>
  <si>
    <t>MLB5561482494</t>
  </si>
  <si>
    <t>MLB5573602680</t>
  </si>
  <si>
    <t>MLB5544425210</t>
  </si>
  <si>
    <t>Perfume Eau De Toilette Sinergia 1 Essência Do Brasil De Lavanda, Bergamota E Ylang-ylang</t>
  </si>
  <si>
    <t>MLB5561423054</t>
  </si>
  <si>
    <t>Eau De Toilette Feminino Essência Do Brasil Profumo 082 Cedro Bambu 65ml</t>
  </si>
  <si>
    <t>MLB5561573836</t>
  </si>
  <si>
    <t>Perfume Masculino Essência Do Brasil Patchouli Coffee Almíscar 100ml</t>
  </si>
  <si>
    <t>MLB3208359882</t>
  </si>
  <si>
    <t>MLB5561579216</t>
  </si>
  <si>
    <t>Perfume Masculino Essência Do Brasil Attar E Patchouli Sport 100ml</t>
  </si>
  <si>
    <t>MLB5561580990</t>
  </si>
  <si>
    <t>Perfume Feminino Essência Do Brasil Opium De Chine 100ml Floral Oriental</t>
  </si>
  <si>
    <t>MLB5561611498</t>
  </si>
  <si>
    <t>Perfume Masculino Essência Do Brasil Com Arabian E Eros 100 Ml</t>
  </si>
  <si>
    <t>MLB5561611544</t>
  </si>
  <si>
    <t>Perfumes Masculinos Essência Do Brasil, Almíscar Selvagem E Eros, 100ml</t>
  </si>
  <si>
    <t>MLB5561619224</t>
  </si>
  <si>
    <t>Eau De Parfum Essência Do Brasil Gerânio 20 De 60ml Vegano Para Sem Gênero</t>
  </si>
  <si>
    <t>MLB5561631694</t>
  </si>
  <si>
    <t>Perfume Cravo Absolu Essência Do Brasil 100ml Eau De Parfum Spray</t>
  </si>
  <si>
    <t>MLB5561631936</t>
  </si>
  <si>
    <t>Perfume Artesano Anis 12 Essência Do Brasil Vegano E Cruelty Free 60 Ml</t>
  </si>
  <si>
    <t>Título com mais de 60 caracteres: Título com 71 caracteres (limite ML=60) | País de origem diferente de "Brasil": País de origem = "Espanha", deveria ser "Brasil" | Ano de lançamento preenchido (deveria ficar em branco): Ano de lançamento preenchido ("2004") - regra do negócio é deixar em branco | Documento de Notificação/Comunicação prévia na Anvisa não preenchido: Número de Notificação/Comunicação prévia na Anvisa não preenchido</t>
  </si>
  <si>
    <t>Pingente Prata 950 + Ouro Cornalina - Legítima P. Vecchio</t>
  </si>
  <si>
    <t>MLB5561632748</t>
  </si>
  <si>
    <t>MLB4042788713</t>
  </si>
  <si>
    <t>Perfume Essência Do Brasil Com Patchouli Ocean E Eros Masculino, 100ml</t>
  </si>
  <si>
    <t>MLB3259705297</t>
  </si>
  <si>
    <t>MLB5561638606</t>
  </si>
  <si>
    <t>Perfume Masculino Essência Do Brasil Patchouli Timeless Ocean 100ml</t>
  </si>
  <si>
    <t>MLB5561664770</t>
  </si>
  <si>
    <t>Perfume Masculino Essência Do Brasil Attar + Arabian 100ml Eau De Parfum</t>
  </si>
  <si>
    <t>MLB5561664950</t>
  </si>
  <si>
    <t>Kit Perfume Masculino Essência Do Brasil: Patchouli Clássico E Ocean 100ml</t>
  </si>
  <si>
    <t>MLB3208309443</t>
  </si>
  <si>
    <t>MLB5561677228</t>
  </si>
  <si>
    <t>Brinco Ametista Oval Natural Banhado Em Ouro 18k - P Vecchio</t>
  </si>
  <si>
    <t>MLB4986447116</t>
  </si>
  <si>
    <t>Perfume Essência Do Brasil Spray Gerânio 10ml Vegano Natural Feminino</t>
  </si>
  <si>
    <t>MLB4042892535</t>
  </si>
  <si>
    <t>MLB5561728230</t>
  </si>
  <si>
    <t>Perfume Feminino Mol 08 Extrait De Parfum 30ml</t>
  </si>
  <si>
    <t>MLB5567278832</t>
  </si>
  <si>
    <t>Perfume Sinergia 7 Essência Do Brasil Eau De Toilette Bergamota, Copaíba E Vetiver 10ml</t>
  </si>
  <si>
    <t>MLB5573613188</t>
  </si>
  <si>
    <t>Eau De Toilette Essência Do Brasil Sinergia 6 Palmarosa 10ml Recarregável</t>
  </si>
  <si>
    <t>Perfume Feminino Liberty 100ml + Jasmine 30ml</t>
  </si>
  <si>
    <t>MLB2605970412</t>
  </si>
  <si>
    <t>MLB6071587688</t>
  </si>
  <si>
    <t>MLB5573846412</t>
  </si>
  <si>
    <t>Perfume Sinergia 12 Essência Do Brasil Eau De Toilette 10ml Com Benjoim, Cedro E Manjerona Vegano</t>
  </si>
  <si>
    <t>MLB3556101011</t>
  </si>
  <si>
    <t>MLB5573989210</t>
  </si>
  <si>
    <t>Pingente Prata Com Quartzo Rosa Metalizado Bruto P. Vecchio</t>
  </si>
  <si>
    <t>MLB4278481658</t>
  </si>
  <si>
    <t>Eau De Toilette Essência Do Brasil Sinergia 14 10ml Sândalo Ylang-ylang Bergamota</t>
  </si>
  <si>
    <t>MLB5738444794</t>
  </si>
  <si>
    <t>MLB5573995690</t>
  </si>
  <si>
    <t>Perfume Sinergia 13 Artemísia Zimbro Manjericão Essência Do Brasil 10ml</t>
  </si>
  <si>
    <t>Pingente Prata 925 Granada Quadrada - Natural E Legítima</t>
  </si>
  <si>
    <t>MLB3208328240</t>
  </si>
  <si>
    <t>MLB5574157696</t>
  </si>
  <si>
    <t>MLB3893047439</t>
  </si>
  <si>
    <t>Eau De Toilette Essência Do Brasil Sinergia 8 Pinho Sibéria Manjericão Sândalo 10ml</t>
  </si>
  <si>
    <t>MLB5577405852</t>
  </si>
  <si>
    <t>Eau De Toilette Essência Do Brasil Sinergia 16 Limão 10ml Unissex</t>
  </si>
  <si>
    <t>Colar Prata 925 Opala Rosa - Natural Legítima P. Vecchio</t>
  </si>
  <si>
    <t>MLB5577523552</t>
  </si>
  <si>
    <t>MLB3739095293</t>
  </si>
  <si>
    <t>Essência Do Brasil Sinergia 10 Eau De Toilette Com Olíbano E Tangerina (10ml)</t>
  </si>
  <si>
    <t>MLB3208328249</t>
  </si>
  <si>
    <t>MLB5579650300</t>
  </si>
  <si>
    <t>Perfume Masculino Essência Do Brasil Patchouli Clássico Arabian 100ml</t>
  </si>
  <si>
    <t>MLB5579669824</t>
  </si>
  <si>
    <t>Perfume Pinho Da Sibéria Masculino Amadeirado 100ml Essência Do Brasil</t>
  </si>
  <si>
    <t>Pingente Prata 950 Sodalita Polida Natural P. Vecchio Joias</t>
  </si>
  <si>
    <t>MLB4046355692</t>
  </si>
  <si>
    <t>MLB5600765562</t>
  </si>
  <si>
    <t>MLB4085639277</t>
  </si>
  <si>
    <t>Perfume Essência Do Brasil Verbena &amp; Alfazema 100ml Spray Parfum</t>
  </si>
  <si>
    <t>MLB5403445926</t>
  </si>
  <si>
    <t>MLB5662498786</t>
  </si>
  <si>
    <t>Eau De Parfum Masculino Essência Do Brasil Arabian Patchouli Ocean 100ml</t>
  </si>
  <si>
    <t>MLB5662844828</t>
  </si>
  <si>
    <t>Perfume Masculino 100ml Patchouli Coffee + Arabian Essência Do Brasil</t>
  </si>
  <si>
    <t>Perfume Roll On Cedro Do Himalaia 10ml - Masculino</t>
  </si>
  <si>
    <t>MLB1958054333</t>
  </si>
  <si>
    <t>MLB3580971079</t>
  </si>
  <si>
    <t>MLB5738548276</t>
  </si>
  <si>
    <t>Eau De Parfum Essência Do Brasil Arabian E Patchouli Dark Para Homem</t>
  </si>
  <si>
    <t>Pingente Banhado Em Ouro 18k Gota De Quartzo Rosa Natural</t>
  </si>
  <si>
    <t>MLB3563017383</t>
  </si>
  <si>
    <t>MLB5759682708</t>
  </si>
  <si>
    <t>Perfume Feminino Grapefruit Vibrante Essência Do Brasil, 100 Ml</t>
  </si>
  <si>
    <t>MLB3534681649</t>
  </si>
  <si>
    <t>MLB5759720814</t>
  </si>
  <si>
    <t>Eau De Parfum Feminino Essência Do Brasil Premium Night 100ml Com Feromônios</t>
  </si>
  <si>
    <t>MLB5761597936</t>
  </si>
  <si>
    <t>Perfume Essência Do Brasil Flor De Jasmim &amp; Hortelã 100ml Parfum Masculino</t>
  </si>
  <si>
    <t>MLB1950422602</t>
  </si>
  <si>
    <t>MLB5770736364</t>
  </si>
  <si>
    <t>Perfume Parfum Feminino Essência Do Brasil Natural Erva Doce 50ml Spray</t>
  </si>
  <si>
    <t>MLB5799473498</t>
  </si>
  <si>
    <t>Perfume Feminino Parfum Essência Do Brasil Flor De Laranjeira 100ml</t>
  </si>
  <si>
    <t>Perfume Sândalo Plus &amp; Gengibre 100ml Feminino + Presente</t>
  </si>
  <si>
    <t>MLB1488641538</t>
  </si>
  <si>
    <t>MLB5805011656</t>
  </si>
  <si>
    <t>Perfume Essência Do Brasil Rosa Branca &amp; Pau Rosa 100ml Eau De Toilette Masculino Floral</t>
  </si>
  <si>
    <t>MLB6689202644</t>
  </si>
  <si>
    <t>MLB5812006098</t>
  </si>
  <si>
    <t>Colar Prata 925 + Ouro Sodalita Em Gota Legítima P. Vecchio</t>
  </si>
  <si>
    <t>MLB3259705387</t>
  </si>
  <si>
    <t>Perfume Feminino Essência Do Brasil Profumo 220 65ml Lírio Lilás Bergamota</t>
  </si>
  <si>
    <t>MLB3259717495</t>
  </si>
  <si>
    <t>MLB5827731428</t>
  </si>
  <si>
    <t>Perfume Masculino Natural Capim Cheiroso 50ml Volume Da Unidade 50 Ml</t>
  </si>
  <si>
    <t>MLB5828992506</t>
  </si>
  <si>
    <t>MLB5759643634</t>
  </si>
  <si>
    <t>Perfume Aromático Essência Do Brasil Alecrim &amp; Sálvia 100ml Spray Feminino</t>
  </si>
  <si>
    <t>MLB5829428378</t>
  </si>
  <si>
    <t>Perfume Essência Do Brasil Cedro &amp; Tangerina Cítrica Masculino 100ml</t>
  </si>
  <si>
    <t>MLB5829435344</t>
  </si>
  <si>
    <t>Perfume Masculino Essência Do Brasil Lima-limão &amp; Hortelã Com Mini De 10ml</t>
  </si>
  <si>
    <t>MLB5829816982</t>
  </si>
  <si>
    <t>Perfume Canela 16 60ml Essência Do Brasil Vegano E Cruelty Free</t>
  </si>
  <si>
    <t>MLB5829905550</t>
  </si>
  <si>
    <t>Perfume Essência Do Brasil Ho Wood Elegante Masculino 100ml Com Óleo Essencial Roll-on 10ml</t>
  </si>
  <si>
    <t>Pingente Prata 925 Gota Calcedônia Lapidada Ponte Vecchio</t>
  </si>
  <si>
    <t>MLB4783651968</t>
  </si>
  <si>
    <t>MLB5854956742</t>
  </si>
  <si>
    <t>MLB4046355690</t>
  </si>
  <si>
    <t>Colônia Parfum Masculina Essência Do Brasil Herbal Eucalipto 100ml</t>
  </si>
  <si>
    <t>MLB5875122964</t>
  </si>
  <si>
    <t>Parfum Feminino Gardênia 100ml Essência Do Brasil Floral</t>
  </si>
  <si>
    <t>Brinco Turmalina Rosa Natural Em Prata 925 - Ponte Vecchio</t>
  </si>
  <si>
    <t>MLB5895733848</t>
  </si>
  <si>
    <t>MLB5830918522</t>
  </si>
  <si>
    <t>Perfume Parfum Feminino Essência Do Brasil La Vie En Rose 100ml</t>
  </si>
  <si>
    <t>MLB4986498752</t>
  </si>
  <si>
    <t>MLB5930972212</t>
  </si>
  <si>
    <t>Parfum Essência Do Brasil Cravo Intenso &amp; Hortelã 100 Ml Feminino Com Presente</t>
  </si>
  <si>
    <t>Perfume Masculino Rio 100ml - Coleção Metrópoles</t>
  </si>
  <si>
    <t>MLB1490223365</t>
  </si>
  <si>
    <t>Título com mais de 60 caracteres: Título com 78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</si>
  <si>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MLB5937469346</t>
  </si>
  <si>
    <t>MLB1490259925</t>
  </si>
  <si>
    <t>Perfume Masculino Essência Do Brasil Laranjeira &amp; Grapefruit 100ml</t>
  </si>
  <si>
    <t>MLB5941863490</t>
  </si>
  <si>
    <t>Perfume Feminino Essência Do Brasil Profumo 182 65ml Neroli E Dama Da Noite</t>
  </si>
  <si>
    <t>MLB1678117537</t>
  </si>
  <si>
    <t>MLB6003925050</t>
  </si>
  <si>
    <t>Parfum Essência Do Brasil Com Cipreste E Olíbano Para Homem 100 Ml</t>
  </si>
  <si>
    <t>MLB6034510534</t>
  </si>
  <si>
    <t>Perfume Feminino Profumo 409 65ml Sândalo Baunilha Almíscar</t>
  </si>
  <si>
    <t>MLB6053114834</t>
  </si>
  <si>
    <t>Perfume Essência Do Brasil Baunilha E Ylang Ylang Masculino Com Mini Perfume 100 Ml</t>
  </si>
  <si>
    <t>Título com mais de 60 caracteres: Título com 83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</si>
  <si>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Pingente Ametista 13 Quilates Natural - Ponte Vecchio</t>
  </si>
  <si>
    <t>MLB2823332256</t>
  </si>
  <si>
    <t>MLB5177155350</t>
  </si>
  <si>
    <t>Pingente Ametista 2 Quilates Natural - Ponte Vecchio</t>
  </si>
  <si>
    <t>MLB2823345017</t>
  </si>
  <si>
    <t>MLB5177057948</t>
  </si>
  <si>
    <t>MLB6121715666</t>
  </si>
  <si>
    <t>MLB2823395109</t>
  </si>
  <si>
    <t>Perfume Feminino Essência Do Brasil Profumo Com Tuberosa, Mel E Fava-tonka 65ml</t>
  </si>
  <si>
    <t>Pingente Prata 950 + Ouro Calcedônia - Legítima P. Vecchio</t>
  </si>
  <si>
    <t>MLB3259717421</t>
  </si>
  <si>
    <t>MLB3316647582</t>
  </si>
  <si>
    <t>Pingente Prata 950 + Ouro Green Gold Coração - P. Vecchio</t>
  </si>
  <si>
    <t>MLB3316626056</t>
  </si>
  <si>
    <t>MLB5508754974</t>
  </si>
  <si>
    <t>Colar Prata 925 Ametista Oval Legítima - Ponte Vecchio Joias</t>
  </si>
  <si>
    <t>MLB3316634424</t>
  </si>
  <si>
    <t>MLB3817288251</t>
  </si>
  <si>
    <t>MLB4085726449</t>
  </si>
  <si>
    <t>MLB6490533128</t>
  </si>
  <si>
    <t>Perfume Petitgrain E Sândalo 100 Ml Com Mini Perfume De Presente</t>
  </si>
  <si>
    <t>MLB6604424786</t>
  </si>
  <si>
    <t>5 Perfumes Femininos Florais 10ml Spray Coleção Botânica</t>
  </si>
  <si>
    <t>MLB6604561770</t>
  </si>
  <si>
    <t>5 Perfumes Masculinos De Madeiras Nobres 10ml Spray</t>
  </si>
  <si>
    <t>MLB5000371688</t>
  </si>
  <si>
    <t>MLB6630718556</t>
  </si>
  <si>
    <t>Parfum Essência Do Brasil Dama Da Noite E Patchouli Masculino 100 Ml</t>
  </si>
  <si>
    <t>Pingente Banhado Em Ouro Gota De Cristal Natural P. Vecchio</t>
  </si>
  <si>
    <t>MLB3534694329</t>
  </si>
  <si>
    <t>MLB4333251076</t>
  </si>
  <si>
    <t>Pingente Banhado Ouro Quartzo Briolette Lapidado P. Vecchio</t>
  </si>
  <si>
    <t>MLB3817394037</t>
  </si>
  <si>
    <t>MLB4046362902</t>
  </si>
  <si>
    <t>MLB6638072058</t>
  </si>
  <si>
    <t>5 Perfumes Masculinos Especiados Exóticos 10ml Spray</t>
  </si>
  <si>
    <t>MLB6638073994</t>
  </si>
  <si>
    <t>Perfume Parfum Masculino Essência Do Brasil Limão Siciliano 50ml Natural</t>
  </si>
  <si>
    <t>MLB6673400808</t>
  </si>
  <si>
    <t>Perfume Cravo Intenso E Petitgrain Para Mulheres Essência Do Brasil Com Miniatura De 100ml</t>
  </si>
  <si>
    <t>Título com mais de 60 caracteres: Título com 90 caracteres (limite ML=60) | Anúncio sem descrição: Descrição vazia | País de origem diferente de "Brasil": País de origem = "(vazio)", deveria ser "Brasil" | Documento de Notificação/Comunicação prévia na Anvisa não preenchido: Número de Notificação/Comunicação prévia na Anvisa não preenchido</t>
  </si>
  <si>
    <t>618 títulos aparecem em mais de um anúncio (1.244 anúncios ao todo). O Mercado Livre pode duplicar por causa do sistema de catálogo - analisar caso a caso e decidir a ação (manter, mesclar, pausar um deles etc).</t>
  </si>
  <si>
    <t>MLB6717484934</t>
  </si>
  <si>
    <t>Perfume Masculino Essência Do Brasil Patchouli 100ml + Dark Tabac 30ml</t>
  </si>
  <si>
    <t>Título com mais de 60 caracteres: Título com 78 caracteres (limite ML=60) | País de origem diferente de "Brasil": País de origem = "(vazio)", deveria ser "Brasil" | Documento de Notificação/Comunicação prévia na Anvisa não preenchido: Número de Notificação/Comunicação prévia na Anvisa não preenchido</t>
  </si>
  <si>
    <t>MLB6740630714</t>
  </si>
  <si>
    <t>Essência Do Brasil Perfume Patchouli Masculino 50ml Com Óleo Essencial</t>
  </si>
  <si>
    <t>MLB7094202128</t>
  </si>
  <si>
    <t>Eau De Parfum Yuzu Orgânico Essência Do Brasil Para Homens E Mulheres</t>
  </si>
  <si>
    <t>Perfume Essência Do Brasil Almíscar Oriental &amp; Mirra 100ml + Mini 10ml</t>
  </si>
  <si>
    <t>Título com mais de 60 caracteres: Título com 70 caracteres (limite ML=60)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</si>
  <si>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MLB7147434260</t>
  </si>
  <si>
    <t>Perfume Vetiver 29 - 60ml Vegano E Cruelty Free Volume Da Unidade 60 Ml</t>
  </si>
  <si>
    <t>MLB7147434430</t>
  </si>
  <si>
    <t>Perfume Erva Doce &amp; Hortelã 100ml Masculino</t>
  </si>
  <si>
    <t>Descrição repetida em outros anúncios com título diferente (verificar se é boilerplate ou erro): Mesma descrição usada em 81 anúncios com títulos diferentes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</si>
  <si>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MLB7179015610</t>
  </si>
  <si>
    <t>Perfume Extrait De Parfum Essência Do Brasil Flor De Laranjeira 100ml Spray</t>
  </si>
  <si>
    <t>Título com mais de 60 caracteres: Título com 75 caracteres (limite ML=60) | Tipo de perfume cadastrado diverge do que está no título/nome: Campo "Tipo de perfume" = "Eau de parfum", mas título/nome menciona ['Parfum', 'Extrait de parfum'] | País de origem diferente de "Brasil": País de origem = "Importado", deveria ser "Brasil" | Documento de Notificação/Comunicação prévia na Anvisa não preenchido: Número de Notificação/Comunicação prévia na Anvisa não preenchido</t>
  </si>
  <si>
    <t>MLB7179015664</t>
  </si>
  <si>
    <t>Perfume Flor De Maçã Feminino Eau De Toilette Spray 100ml Essência Do Brasil</t>
  </si>
  <si>
    <t>MLB7193066702</t>
  </si>
  <si>
    <t>Perfume Essência Do Brasil Masculino Patchouli Clássico E Nomad 100ml</t>
  </si>
  <si>
    <t>MLB7193069252</t>
  </si>
  <si>
    <t>Essência Do Brasil Extrait De Parfum Rosa Branca Elixir 100ml Floral</t>
  </si>
  <si>
    <t>Título com mais de 60 caracteres: Título com 68 caracteres (limite ML=60) | Tipo de perfume cadastrado diverge do que está no título/nome: Campo "Tipo de perfume" = "Eau de toilette", mas título/nome menciona ['Parfum', 'Extrait de parfum'] | Documento de Notificação/Comunicação prévia na Anvisa não preenchido: Número de Notificação/Comunicação prévia na Anvisa não preenchido</t>
  </si>
  <si>
    <t>MLB7195442438</t>
  </si>
  <si>
    <t>Essência Do Brasil Eau De Parfum Masculino Amadeirado Almíscar 100ml</t>
  </si>
  <si>
    <t>Título com mais de 60 caracteres: Título com 68 caracteres (limite ML=60) | Descrição repetida em outros anúncios com título diferente (verificar se é boilerplate ou erro): Mesma descrição usada em 81 anúncios com títulos diferentes | Ano de lançamento preenchido (deveria ficar em branco): Ano de lançamento preenchido ("2022") - regra do negócio é deixar em branco | Documento de Notificação/Comunicação prévia na Anvisa não preenchido: Número de Notificação/Comunicação prévia na Anvisa não preenchido</t>
  </si>
  <si>
    <t>MLB7195442578</t>
  </si>
  <si>
    <t>Perfume Essência Do Brasil Almíscar Noir Masculino, Com 100 Ml E Mini De 10 Ml</t>
  </si>
  <si>
    <t>MLB1349521808</t>
  </si>
  <si>
    <t>Perfume Masculino Natural Patchouli Imperial Singapura 100ml</t>
  </si>
  <si>
    <t>MLB1349521810</t>
  </si>
  <si>
    <t>Perfume Masculino Natural Capim Cheiroso 100ml</t>
  </si>
  <si>
    <t>MLB1349521811</t>
  </si>
  <si>
    <t>Perfume Feminino Natural Laranja Doce 100ml</t>
  </si>
  <si>
    <t>MLB1349521812</t>
  </si>
  <si>
    <t>Perfume Masculino Natural Menta Adventure 100ml</t>
  </si>
  <si>
    <t>MLB1349521818</t>
  </si>
  <si>
    <t>Perfume Feminino Natural De Aloés 100ml</t>
  </si>
  <si>
    <t>Documento de Notificação/Comunicação prévia na Anvisa não preenchido; País de origem diferente de "Brasil"</t>
  </si>
  <si>
    <t>País de origem diferente de "Brasil": País de origem = "(vazio)", deveria ser "Brasil" | Documento de Notificação/Comunicação prévia na Anvisa não preenchido: Número de Notificação/Comunicação prévia na Anvisa não preenchido</t>
  </si>
  <si>
    <t>MLB1349521821</t>
  </si>
  <si>
    <t>Perfume Masculino Natural Canela 100ml</t>
  </si>
  <si>
    <t>MLB1349521828</t>
  </si>
  <si>
    <t>Perfume Masculino Natural Hortelã 100ml</t>
  </si>
  <si>
    <t>MLB1349521832</t>
  </si>
  <si>
    <t>Perfume Masculino Natural Petitgrain 100ml</t>
  </si>
  <si>
    <t>MLB1349521835</t>
  </si>
  <si>
    <t>Perfume Feminino Natural De Alfazema 100ml</t>
  </si>
  <si>
    <t>MLB1349521836</t>
  </si>
  <si>
    <t>Perfume Masculino Natural Ylang Ylang 100ml</t>
  </si>
  <si>
    <t>MLB1349521840</t>
  </si>
  <si>
    <t>Perfume Feminino Natural Flor De Laranjeira 100ml</t>
  </si>
  <si>
    <t>MLB1349521843</t>
  </si>
  <si>
    <t>Perfume Feminino Natural Sexy Cravo Flor 100ml</t>
  </si>
  <si>
    <t>MLB1349521852</t>
  </si>
  <si>
    <t>Perfume Feminino Natural Notas De Alecrim 100ml</t>
  </si>
  <si>
    <t>MLB1349521853</t>
  </si>
  <si>
    <t>Perfume Feminino Natural Lavanda Suiça 100ml</t>
  </si>
  <si>
    <t>MLB1349521856</t>
  </si>
  <si>
    <t>Perfume Masculino Natural Cedro 100ml</t>
  </si>
  <si>
    <t>MLB1349521865</t>
  </si>
  <si>
    <t>Perfume Feminino Natural De Baunilha 100ml</t>
  </si>
  <si>
    <t>MLB1349521871</t>
  </si>
  <si>
    <t>Perfume Feminino Natural Rosa Amarela 100ml</t>
  </si>
  <si>
    <t>MLB1349521879</t>
  </si>
  <si>
    <t>Perfume Feminino Natural Rosa Branca 100ml</t>
  </si>
  <si>
    <t>MLB1349521921</t>
  </si>
  <si>
    <t>Perfume Masculino Natural De Calamo 100ml</t>
  </si>
  <si>
    <t>MLB1349524193</t>
  </si>
  <si>
    <t>Perfume Masculino Natural Cravo Da Índia Intenso  100ml</t>
  </si>
  <si>
    <t>Ano de lançamento preenchido (deveria ficar em branco); Documento de Notificação/Comunicação prévia na Anvisa não preenchido</t>
  </si>
  <si>
    <t>Ano de lançamento preenchido (deveria ficar em branco): Ano de lançamento preenchido ("1973") - regra do negócio é deixar em branco | Documento de Notificação/Comunicação prévia na Anvisa não preenchido: Número de Notificação/Comunicação prévia na Anvisa não preenchido</t>
  </si>
  <si>
    <t>MLB1349524197</t>
  </si>
  <si>
    <t>Perfume Feminino Natural Gerânio 100ml</t>
  </si>
  <si>
    <t>MLB1349524206</t>
  </si>
  <si>
    <t>Perfume Masculino Natural Black Almíscar Oriental  100ml</t>
  </si>
  <si>
    <t>MLB1349524217</t>
  </si>
  <si>
    <t>Perfume Feminino Natural Magnólia 100ml</t>
  </si>
  <si>
    <t>MLB1349524219</t>
  </si>
  <si>
    <t>Perfume Masculino Natural Olíbano 100ml</t>
  </si>
  <si>
    <t>MLB1349524227</t>
  </si>
  <si>
    <t>Perfume Feminino Natural Verbena 100ml</t>
  </si>
  <si>
    <t>MLB1349524228</t>
  </si>
  <si>
    <t>Perfume Feminino Natural Sálvia 100ml</t>
  </si>
  <si>
    <t>MLB1349524231</t>
  </si>
  <si>
    <t>Perfume Masculino Natural Tangerina Cítrica  100ml</t>
  </si>
  <si>
    <t>MLB1349524235</t>
  </si>
  <si>
    <t>Perfume Feminino Natural Flor De Artemísia 100ml</t>
  </si>
  <si>
    <t>Ano de lançamento preenchido (deveria ficar em branco): Ano de lançamento preenchido ("1996") - regra do negócio é deixar em branco | Documento de Notificação/Comunicação prévia na Anvisa não preenchido: Número de Notificação/Comunicação prévia na Anvisa não preenchido</t>
  </si>
  <si>
    <t>MLB1349524263</t>
  </si>
  <si>
    <t>Perfume Feminino Natural Palmarosa 100ml</t>
  </si>
  <si>
    <t>MLB1349524266</t>
  </si>
  <si>
    <t>Perfume Feminino Natural Lilás 100ml</t>
  </si>
  <si>
    <t>MLB1349527733</t>
  </si>
  <si>
    <t>Perfume Masculino Natural Noz Moscada 100ml</t>
  </si>
  <si>
    <t>MLB1349527738</t>
  </si>
  <si>
    <t>Perfume Feminino Natural Sexy Frutal Rosas Vermelhas 100ml</t>
  </si>
  <si>
    <t>MLB1349527739</t>
  </si>
  <si>
    <t>Perfume Masculino Natural Manjerona 100ml</t>
  </si>
  <si>
    <t>MLB1349527743</t>
  </si>
  <si>
    <t>Perfume Masculino Natural Cipreste 100ml</t>
  </si>
  <si>
    <t>MLB1349527751</t>
  </si>
  <si>
    <t>Perfume Feminino Natural Lima-limão 100ml</t>
  </si>
  <si>
    <t>MLB1349527769</t>
  </si>
  <si>
    <t>Perfume Feminino Natural Lavanda 100ml</t>
  </si>
  <si>
    <t>MLB1349527778</t>
  </si>
  <si>
    <t>Perfume Feminino Natural Flor De Lótus 100ml</t>
  </si>
  <si>
    <t>MLB1349527781</t>
  </si>
  <si>
    <t>Perfume Feminino Natural Camomila Suave 100ml</t>
  </si>
  <si>
    <t>MLB1349527789</t>
  </si>
  <si>
    <t>Perfume Masculino Natural Benjoim 100ml</t>
  </si>
  <si>
    <t>MLB1349527803</t>
  </si>
  <si>
    <t>Perfume Feminino Natural Rosa De Marrocos 100ml</t>
  </si>
  <si>
    <t>MLB1349793320</t>
  </si>
  <si>
    <t>Perfume Masculino Natural Noz Moscada 50ml</t>
  </si>
  <si>
    <t>MLB1349793321</t>
  </si>
  <si>
    <t>Perfume Feminino Natural Petitgrain 50ml</t>
  </si>
  <si>
    <t>MLB1349793325</t>
  </si>
  <si>
    <t>Perfume Feminino Natural Erva Doce 50ml</t>
  </si>
  <si>
    <t>MLB1349793332</t>
  </si>
  <si>
    <t>Perfume Feminino Natural Rosa Amarela 30ml</t>
  </si>
  <si>
    <t>MLB1349793333</t>
  </si>
  <si>
    <t>Perfume Feminino Natural Palmarosa 30ml</t>
  </si>
  <si>
    <t>MLB1349793334</t>
  </si>
  <si>
    <t>Perfume Feminino Natural Aloés 50ml</t>
  </si>
  <si>
    <t>MLB1349793335</t>
  </si>
  <si>
    <t>Perfume Feminino Natural Dama Da Noite 30ml</t>
  </si>
  <si>
    <t>MLB1349793339</t>
  </si>
  <si>
    <t>Perfume Feminino Natural Petitgrain 30ml</t>
  </si>
  <si>
    <t>MLB1349793341</t>
  </si>
  <si>
    <t>Perfume Feminino Natural Rosa Branca 30ml</t>
  </si>
  <si>
    <t>MLB1349793342</t>
  </si>
  <si>
    <t>Perfume Feminino Natural De Baunilha 30ml</t>
  </si>
  <si>
    <t>MLB1349793343</t>
  </si>
  <si>
    <t>Perfume Masculino Natural Limão Siciliano  30ml</t>
  </si>
  <si>
    <t>MLB1349793351</t>
  </si>
  <si>
    <t>Perfume Feminino Natural Violeta 30ml</t>
  </si>
  <si>
    <t>MLB1349793354</t>
  </si>
  <si>
    <t>Perfume Masculino Natural Girassol 30ml</t>
  </si>
  <si>
    <t>MLB1349793367</t>
  </si>
  <si>
    <t>Perfume Feminino Natural Flor De Lótus 50ml</t>
  </si>
  <si>
    <t>MLB1349793368</t>
  </si>
  <si>
    <t>Perfume Masculino Natural Cravo Da Índia Intenso  30ml</t>
  </si>
  <si>
    <t>MLB1349793369</t>
  </si>
  <si>
    <t>Perfume Feminino Natural Aniz 50ml</t>
  </si>
  <si>
    <t>MLB1349793371</t>
  </si>
  <si>
    <t>Perfume Masculino Natural Gengibre 50ml</t>
  </si>
  <si>
    <t>MLB1349793374</t>
  </si>
  <si>
    <t>Perfume Feminino Natural Flor Angélica 50ml</t>
  </si>
  <si>
    <t>MLB1349793376</t>
  </si>
  <si>
    <t>Perfume Feminino Natural Patchouli 50ml</t>
  </si>
  <si>
    <t>MLB1349793380</t>
  </si>
  <si>
    <t>Perfume Masculino Natural Cálamo 30ml</t>
  </si>
  <si>
    <t>MLB1349793382</t>
  </si>
  <si>
    <t>Perfume Masculino Natural Hortelã 50ml</t>
  </si>
  <si>
    <t>MLB1349793387</t>
  </si>
  <si>
    <t>Perfume Masculino Natural Cabedal Cravo Intenso 30ml</t>
  </si>
  <si>
    <t>Ano de lançamento preenchido (deveria ficar em branco); Código universal do produto (GTIN) não preenchido (texto de exemplo do ML ainda lá); Documento de Notificação/Comunicação prévia na Anvisa não preenchido</t>
  </si>
  <si>
    <t>Código universal do produto (GTIN) não preenchido (texto de exemplo do ML ainda lá): Texto de exemplo do template não foi substituído pelo código real | Ano de lançamento preenchido (deveria ficar em branco): Ano de lançamento preenchido ("1973") - regra do negócio é deixar em branco | Documento de Notificação/Comunicação prévia na Anvisa não preenchido: Número de Notificação/Comunicação prévia na Anvisa não preenchido</t>
  </si>
  <si>
    <t>MLB1349793391</t>
  </si>
  <si>
    <t>Perfume Masculino Natural Black Almíscar Oriental  30ml</t>
  </si>
  <si>
    <t>MLB1349793402</t>
  </si>
  <si>
    <t>Perfume Feminino Natural Magnólia 50ml</t>
  </si>
  <si>
    <t>MLB1349793403</t>
  </si>
  <si>
    <t>Perfume Masculino Natural Cedro 30ml</t>
  </si>
  <si>
    <t>MLB1349793417</t>
  </si>
  <si>
    <t>Perfume Masculino Natural Flor De Laranjeira 30ml</t>
  </si>
  <si>
    <t>MLB1349793430</t>
  </si>
  <si>
    <t>Perfume Feminino Natural Violeta 50ml</t>
  </si>
  <si>
    <t>MLB1349796093</t>
  </si>
  <si>
    <t>Perfume Feminino Natural Palmarosa 50ml</t>
  </si>
  <si>
    <t>MLB1349796094</t>
  </si>
  <si>
    <t>Perfume Feminino Natural Lavanda Suiça 30ml</t>
  </si>
  <si>
    <t>MLB1349796103</t>
  </si>
  <si>
    <t>Perfume Feminino Natural Flor De Maçã 30ml</t>
  </si>
  <si>
    <t>MLB1349796104</t>
  </si>
  <si>
    <t>Perfume Feminino Natural Flor De Lótus 30ml</t>
  </si>
  <si>
    <t>MLB1349796121</t>
  </si>
  <si>
    <t>Perfume Feminino Natural Camomila Suave 50ml</t>
  </si>
  <si>
    <t>MLB1349796122</t>
  </si>
  <si>
    <t>Perfume Feminino Natural Rosa Branca 50ml</t>
  </si>
  <si>
    <t>MLB1349796124</t>
  </si>
  <si>
    <t>Perfume Feminino Natural Sexy Frutal Rosas Vermelhas 30ml</t>
  </si>
  <si>
    <t>MLB1349796127</t>
  </si>
  <si>
    <t>Perfume Masculino Natural Grapefruit Splash Cítrico  50ml</t>
  </si>
  <si>
    <t>MLB1349796130</t>
  </si>
  <si>
    <t>Perfume Feminino Natural Lima-limão 50ml</t>
  </si>
  <si>
    <t>MLB1349796138</t>
  </si>
  <si>
    <t>Perfume Feminino Natural Camomila Suave 30ml</t>
  </si>
  <si>
    <t>MLB1349796140</t>
  </si>
  <si>
    <t>Perfume Feminino Natural De Aloés 50ml</t>
  </si>
  <si>
    <t>MLB1349796143</t>
  </si>
  <si>
    <t>Perfume Feminino Natural Lavanda Inglesa 30ml</t>
  </si>
  <si>
    <t>MLB1349796145</t>
  </si>
  <si>
    <t>Perfume Feminino Natural Flor De Artemísia 30ml</t>
  </si>
  <si>
    <t>MLB1349796157</t>
  </si>
  <si>
    <t>Perfume Masculino Natural Eucalipto 30ml</t>
  </si>
  <si>
    <t>MLB1349796160</t>
  </si>
  <si>
    <t>Perfume Masculino Natural Canela 30ml</t>
  </si>
  <si>
    <t>MLB1349796163</t>
  </si>
  <si>
    <t>Perfume Feminino Natural De Aloés 30ml</t>
  </si>
  <si>
    <t>MLB1349796171</t>
  </si>
  <si>
    <t>Perfume Feminino Natural Lima-limão 30ml</t>
  </si>
  <si>
    <t>MLB1349796175</t>
  </si>
  <si>
    <t>Perfume Masculino Natural De Calamo 50ml</t>
  </si>
  <si>
    <t>MLB1349796180</t>
  </si>
  <si>
    <t>Perfume Masculino Natural Benjoim 50ml</t>
  </si>
  <si>
    <t>MLB1349796185</t>
  </si>
  <si>
    <t>Perfume Feminino Natural Rosa De Marrocos 30ml</t>
  </si>
  <si>
    <t>MLB1349796187</t>
  </si>
  <si>
    <t>Perfume Feminino Natural Sálvia 50ml</t>
  </si>
  <si>
    <t>MLB1349796190</t>
  </si>
  <si>
    <t>Perfume Masculino Natural Gengibre 30ml</t>
  </si>
  <si>
    <t>MLB1349796191</t>
  </si>
  <si>
    <t>Perfume Feminino Natural Gerânio 30ml</t>
  </si>
  <si>
    <t>MLB1349796197</t>
  </si>
  <si>
    <t>Perfume Feminino Natural Rosa De Marrocos 50ml</t>
  </si>
  <si>
    <t>MLB1349796207</t>
  </si>
  <si>
    <t>Perfume Feminino Natural Erva Doce 30ml</t>
  </si>
  <si>
    <t>MLB1349796215</t>
  </si>
  <si>
    <t>Perfume Masculino Natural Cravo Amadeirado 30ml</t>
  </si>
  <si>
    <t>MLB1349796221</t>
  </si>
  <si>
    <t>Perfume Masculino Natural Cipreste 30ml</t>
  </si>
  <si>
    <t>MLB1349796225</t>
  </si>
  <si>
    <t>Perfume Masculino Natural Girassol 50ml</t>
  </si>
  <si>
    <t>MLB1349796231</t>
  </si>
  <si>
    <t>Perfume Masculino Natural Petitgrain 30ml</t>
  </si>
  <si>
    <t>MLB1349796236</t>
  </si>
  <si>
    <t>Perfume Feminino Natural Aloés 30ml</t>
  </si>
  <si>
    <t>MLB1349796239</t>
  </si>
  <si>
    <t>Perfume Masculino Natural Cedro 50ml</t>
  </si>
  <si>
    <t>MLB1349796241</t>
  </si>
  <si>
    <t>Perfume Feminino Natural Lavanda 30ml</t>
  </si>
  <si>
    <t>MLB1349796246</t>
  </si>
  <si>
    <t>Perfume Feminino Natural Lavanda Inglesa 50ml</t>
  </si>
  <si>
    <t>MLB1349796247</t>
  </si>
  <si>
    <t>Perfume Masculino Natural Canela 50ml</t>
  </si>
  <si>
    <t>MLB1349796248</t>
  </si>
  <si>
    <t>Perfume Feminino Natural Lavanda Suiça 50ml</t>
  </si>
  <si>
    <t>MLB1349796253</t>
  </si>
  <si>
    <t>Perfume Masculino Natural Canfora 30ml</t>
  </si>
  <si>
    <t>MLB1349796282</t>
  </si>
  <si>
    <t>Perfume Masculino Natural Tangerina Cítrica  50ml</t>
  </si>
  <si>
    <t>MLB1349796283</t>
  </si>
  <si>
    <t>Perfume Feminino Natural Lilás 30ml</t>
  </si>
  <si>
    <t>MLB1349796312</t>
  </si>
  <si>
    <t>Perfume Masculino Natural Patchouli Intenso 50ml</t>
  </si>
  <si>
    <t>MLB1349796323</t>
  </si>
  <si>
    <t>Perfume Feminino Natural Patchouli 30ml</t>
  </si>
  <si>
    <t>MLB1349796325</t>
  </si>
  <si>
    <t>Perfume Feminino Natural Verbena 30ml</t>
  </si>
  <si>
    <t>MLB1349798937</t>
  </si>
  <si>
    <t>Perfume Feminino Natural Erva Cidreira 30ml</t>
  </si>
  <si>
    <t>MLB1349798938</t>
  </si>
  <si>
    <t>Perfume Masculino Natural Menta Adventure 30ml</t>
  </si>
  <si>
    <t>MLB1349798939</t>
  </si>
  <si>
    <t>Perfume Feminino Natural Rosa Amarela 50ml</t>
  </si>
  <si>
    <t>MLB1349798950</t>
  </si>
  <si>
    <t>Perfume Masculino Natural Olíbano 50ml</t>
  </si>
  <si>
    <t>MLB1349798952</t>
  </si>
  <si>
    <t>Perfume Masculino Natural Bergamota 50ml</t>
  </si>
  <si>
    <t>MLB1349798961</t>
  </si>
  <si>
    <t>Perfume Masculino Natural Petitgrain 50ml</t>
  </si>
  <si>
    <t>MLB1349798963</t>
  </si>
  <si>
    <t>Perfume Masculino Natural Laranja Amarga 30ml</t>
  </si>
  <si>
    <t>MLB1349798967</t>
  </si>
  <si>
    <t>Perfume Masculino Natural Bergamota 30ml</t>
  </si>
  <si>
    <t>MLB1349798968</t>
  </si>
  <si>
    <t>Perfume Feminino Natural Flor De Jasmim 30ml</t>
  </si>
  <si>
    <t>MLB1349798970</t>
  </si>
  <si>
    <t>Perfume Masculino Natural Madeira Nobre 30ml</t>
  </si>
  <si>
    <t>MLB1349798972</t>
  </si>
  <si>
    <t>Perfume Masculino Natural Patchouli Imperial Singapura 50ml</t>
  </si>
  <si>
    <t>MLB1349798977</t>
  </si>
  <si>
    <t>Perfume Feminino Natural Flor De Maçã 50ml</t>
  </si>
  <si>
    <t>MLB1349798979</t>
  </si>
  <si>
    <t>Perfume Masculino Natural Ylang Ylang 30ml</t>
  </si>
  <si>
    <t>MLB1349798980</t>
  </si>
  <si>
    <t>Perfume Masculino Natural Capim Cheiroso 30ml</t>
  </si>
  <si>
    <t>MLB1349798983</t>
  </si>
  <si>
    <t>Perfume Masculino Natural Flor De Laranjeira 50ml</t>
  </si>
  <si>
    <t>MLB1349798989</t>
  </si>
  <si>
    <t>Perfume Masculino Natural Cálamo 50ml</t>
  </si>
  <si>
    <t>MLB1349798996</t>
  </si>
  <si>
    <t>Perfume Masculino Natural Capim Cheiroso 50ml</t>
  </si>
  <si>
    <t>MLB1349798997</t>
  </si>
  <si>
    <t>Perfume Feminino Natural De Alfazema 50ml</t>
  </si>
  <si>
    <t>MLB1349799004</t>
  </si>
  <si>
    <t>Perfume Masculino Natural Black Almíscar Oriental  50ml</t>
  </si>
  <si>
    <t>MLB1349799010</t>
  </si>
  <si>
    <t>Perfume Masculino Natural Noz Moscada 30ml</t>
  </si>
  <si>
    <t>MLB1349799011</t>
  </si>
  <si>
    <t>Perfume Masculino Natural Olíbano 30ml</t>
  </si>
  <si>
    <t>MLB1349799036</t>
  </si>
  <si>
    <t>Perfume Feminino Natural Flor Angélica 30ml</t>
  </si>
  <si>
    <t>MLB1349799037</t>
  </si>
  <si>
    <t>Perfume Feminino Natural Sálvia 30ml</t>
  </si>
  <si>
    <t>MLB1476559912</t>
  </si>
  <si>
    <t>Perfume Personalizado 100ml - Natural - Com Óleo Essencial</t>
  </si>
  <si>
    <t>Código universal do produto (GTIN) não preenchido (texto de exemplo do ML ainda lá); Documento de Notificação/Comunicação prévia na Anvisa não preenchido; País de origem diferente de "Brasil"</t>
  </si>
  <si>
    <t>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</si>
  <si>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MLB1476562044</t>
  </si>
  <si>
    <t>Perfume Natural Masculino Anos 80 - Geração X 100ml - Coleçã</t>
  </si>
  <si>
    <t>MLB1476565598</t>
  </si>
  <si>
    <t>Perfume Natural Masculino Patagônia - Refrescante 100ml - Co</t>
  </si>
  <si>
    <t>MLB1476572123</t>
  </si>
  <si>
    <t>Perfume Natural Masculino Cupido 100ml - Coleção Deuses Roma</t>
  </si>
  <si>
    <t>MLB1476576027</t>
  </si>
  <si>
    <t>Perfume Natural Feminino Vênus 100ml - Coleção Deuses Romano</t>
  </si>
  <si>
    <t>MLB1488124693</t>
  </si>
  <si>
    <t>Perfume Acácia &amp; Flor Angélica 100ml Masculino + Presente</t>
  </si>
  <si>
    <t>MLB1488153748</t>
  </si>
  <si>
    <t>Perfume Aloés &amp; Flor De Jasmim 100ml Masculino + Presente</t>
  </si>
  <si>
    <t>MLB1488153770</t>
  </si>
  <si>
    <t>Perfume Aniz &amp; Almíscar Oriental 100ml Masculino + Presente</t>
  </si>
  <si>
    <t>MLB1488153777</t>
  </si>
  <si>
    <t>Perfume Acácia &amp; Sândalo Plus 100ml Masculino + Presente</t>
  </si>
  <si>
    <t>MLB1488153778</t>
  </si>
  <si>
    <t>Perfume Cássia &amp; Flor De Maçã 100ml Masculino + Presente</t>
  </si>
  <si>
    <t>MLB1488153807</t>
  </si>
  <si>
    <t>Perfume Flor De Jasmim &amp; Hortelã 100ml Masculino + Presente</t>
  </si>
  <si>
    <t>MLB1488153817</t>
  </si>
  <si>
    <t>Perfume Lavanda Suiça &amp; Palmarosa 100ml Masculino + Presente</t>
  </si>
  <si>
    <t>MLB1488153848</t>
  </si>
  <si>
    <t>Perfume Lima-limão &amp; Baunilha 100ml Masculino + Presente</t>
  </si>
  <si>
    <t>MLB1488153852</t>
  </si>
  <si>
    <t>Perfume Lavanda &amp; Bergamota 100ml Masculino + Presente</t>
  </si>
  <si>
    <t>MLB1488153864</t>
  </si>
  <si>
    <t>Perfume Camomila Suave &amp; Canela 100ml Masculino + Presente</t>
  </si>
  <si>
    <t>MLB1488153878</t>
  </si>
  <si>
    <t>Perfume Lavanda Inglesa &amp; Canela 100ml Masculino + Presente</t>
  </si>
  <si>
    <t>MLB1488153882</t>
  </si>
  <si>
    <t>Perfume Lavanda &amp; Ylang Ylang 100ml Masculino + Presente</t>
  </si>
  <si>
    <t>MLB1488153889</t>
  </si>
  <si>
    <t>Perfume Lavanda &amp; Erva Doce 100ml Masculino + Presente</t>
  </si>
  <si>
    <t>MLB1488153896</t>
  </si>
  <si>
    <t>Perfume Lavanda Suiça &amp; Alfazema 100ml Masculino + Presente</t>
  </si>
  <si>
    <t>MLB1488153900</t>
  </si>
  <si>
    <t>Perfume Lilás &amp; Dama Da Noite 100ml Masculino + Presente</t>
  </si>
  <si>
    <t>MLB1488153907</t>
  </si>
  <si>
    <t>Perfume Alfazema &amp; Patchouli 100ml Masculino + Presente</t>
  </si>
  <si>
    <t>MLB1488153909</t>
  </si>
  <si>
    <t>Perfume Lima-limão &amp; Rosa Branca 100ml Masculino + Presente</t>
  </si>
  <si>
    <t>MLB1488153912</t>
  </si>
  <si>
    <t>Perfume Alfazema &amp; Flor De Lótus 100ml Masculino + Presente</t>
  </si>
  <si>
    <t>MLB1488153916</t>
  </si>
  <si>
    <t>Perfume Gerânio &amp; Olíbano 100ml Masculino + Presente</t>
  </si>
  <si>
    <t>MLB1488153925</t>
  </si>
  <si>
    <t>Perfume Lima-limão &amp; Cedro 100ml Masculino + Presente</t>
  </si>
  <si>
    <t>MLB1488153951</t>
  </si>
  <si>
    <t>Perfume Alfazema &amp; Noz Moscada 100ml Masculino + Presente</t>
  </si>
  <si>
    <t>MLB1488153972</t>
  </si>
  <si>
    <t>Perfume Alfazema &amp; Laranja Amarga 100ml Masculino + Presente</t>
  </si>
  <si>
    <t>MLB1488153973</t>
  </si>
  <si>
    <t>Perfume Dama Da Noite &amp; Cedro 100ml Masculino + Presente</t>
  </si>
  <si>
    <t>MLB1488153976</t>
  </si>
  <si>
    <t>Perfume Aniz &amp; Capim Limão 100ml Masculino + Presente</t>
  </si>
  <si>
    <t>MLB1488153982</t>
  </si>
  <si>
    <t>Perfume Dama Da Noite &amp; Cipreste 100ml Masculino + Presente</t>
  </si>
  <si>
    <t>MLB1488153983</t>
  </si>
  <si>
    <t>Perfume Erva Doce &amp; Eucalipto 100ml Masculino + Presente</t>
  </si>
  <si>
    <t>MLB1488153989</t>
  </si>
  <si>
    <t>Perfume Erva Cidreira &amp; Cipreste 100ml Masculino + Presente</t>
  </si>
  <si>
    <t>MLB1488153999</t>
  </si>
  <si>
    <t>Perfume Aniz &amp; Flor De Laranjeira 100ml Masculino + Presente</t>
  </si>
  <si>
    <t>MLB1488154016</t>
  </si>
  <si>
    <t>Perfume Alfazema &amp; Lavanda Suiça 100ml Masculino + Presente</t>
  </si>
  <si>
    <t>MLB1488154026</t>
  </si>
  <si>
    <t>Perfume Alfazema &amp; Ylang Ylang 100ml Masculino + Presente</t>
  </si>
  <si>
    <t>MLB1488154050</t>
  </si>
  <si>
    <t>Perfume Lavanda &amp; Cedro 100ml Masculino + Presente</t>
  </si>
  <si>
    <t>MLB1488154205</t>
  </si>
  <si>
    <t>Perfume Laranja Doce &amp; Pau Rosa 100ml Masculino + Presente</t>
  </si>
  <si>
    <t>MLB1488154213</t>
  </si>
  <si>
    <t>Perfume Aniz &amp; Laranja Doce 100ml Masculino + Presente</t>
  </si>
  <si>
    <t>MLB1488154256</t>
  </si>
  <si>
    <t>Perfume Aniz &amp; Sexy Cravo Flor 100ml Masculino + Presente</t>
  </si>
  <si>
    <t>MLB1488157118</t>
  </si>
  <si>
    <t>Perfume Flor De Jasmim &amp; Pau Rosa 100ml Masculino + Presente</t>
  </si>
  <si>
    <t>MLB1488157142</t>
  </si>
  <si>
    <t>Perfume Flor De Jasmim &amp; Cedro 100ml Masculino + Presente</t>
  </si>
  <si>
    <t>MLB1488157175</t>
  </si>
  <si>
    <t>Perfume Gerânio &amp; Ylang Ylang 100ml Masculino + Presente</t>
  </si>
  <si>
    <t>MLB1488157176</t>
  </si>
  <si>
    <t>Perfume Gerânio &amp; Gengibre 100ml Masculino + Presente</t>
  </si>
  <si>
    <t>MLB1488157205</t>
  </si>
  <si>
    <t>Perfume Flor Angélica &amp; Gardênia 100ml Masculino + Presente</t>
  </si>
  <si>
    <t>MLB1488157230</t>
  </si>
  <si>
    <t>Perfume Aloés &amp; Almíscar Oriental 100ml Masculino + Presente</t>
  </si>
  <si>
    <t>MLB1488157231</t>
  </si>
  <si>
    <t>Perfume Flor De Jasmim &amp; Lavanda 100ml Masculino + Presente</t>
  </si>
  <si>
    <t>MLB1488157232</t>
  </si>
  <si>
    <t>Perfume Laranja Doce &amp; Bergamota 100ml Masculino + Presente</t>
  </si>
  <si>
    <t>MLB1488157236</t>
  </si>
  <si>
    <t>Perfume Flor De Jasmim &amp; Sálvia 100ml Masculino + Presente</t>
  </si>
  <si>
    <t>MLB1488157325</t>
  </si>
  <si>
    <t>Perfume Laranja Doce &amp; Hortelã 100ml Masculino + Presente</t>
  </si>
  <si>
    <t>MLB1488157357</t>
  </si>
  <si>
    <t>Perfume Gerânio &amp; Rosas Vermelhas 100ml Masculino + Presente</t>
  </si>
  <si>
    <t>MLB1488157359</t>
  </si>
  <si>
    <t>Perfume Lavanda &amp; Lavanda Inglesa 100ml Masculino + Presente</t>
  </si>
  <si>
    <t>MLB1488157391</t>
  </si>
  <si>
    <t>Perfume Alfazema &amp; Cravo Da Índia 100ml Masculino + Presente</t>
  </si>
  <si>
    <t>MLB1488157399</t>
  </si>
  <si>
    <t>Perfume Lavanda &amp; Olíbano 100ml Masculino + Presente</t>
  </si>
  <si>
    <t>MLB1488157486</t>
  </si>
  <si>
    <t>Perfume Alfazema &amp; Hortelã 100ml Masculino + Presente</t>
  </si>
  <si>
    <t>MLB1488157494</t>
  </si>
  <si>
    <t>Perfume Erva Doce &amp; Hortelã 100ml Masculino + Presente</t>
  </si>
  <si>
    <t>MLB1488157588</t>
  </si>
  <si>
    <t>Perfume Baunilha &amp; Canela 100ml Masculino + Presente</t>
  </si>
  <si>
    <t>MLB1488157597</t>
  </si>
  <si>
    <t>Perfume Dama Da Noite &amp; Erva Doce 100ml Masculino + Presente</t>
  </si>
  <si>
    <t>MLB1488157843</t>
  </si>
  <si>
    <t>Perfume Lima-limão &amp; Bergamota 100ml Masculino + Presente</t>
  </si>
  <si>
    <t>MLB1488157906</t>
  </si>
  <si>
    <t>Perfume Gerânio &amp; Patchouli 100ml Masculino + Presente</t>
  </si>
  <si>
    <t>MLB1488157972</t>
  </si>
  <si>
    <t>Perfume Lavanda &amp; Hortelã 100ml Masculino + Presente</t>
  </si>
  <si>
    <t>MLB1488161477</t>
  </si>
  <si>
    <t>Perfume Flor De Jasmim &amp; Mirra 100ml Masculino + Presente</t>
  </si>
  <si>
    <t>MLB1488161510</t>
  </si>
  <si>
    <t>Perfume Flor De Maçã &amp; Lima-limão 100ml Masculino + Presente</t>
  </si>
  <si>
    <t>MLB1488161564</t>
  </si>
  <si>
    <t>Perfume Dama Da Noite &amp; Patchouli 100ml Masculino + Presente</t>
  </si>
  <si>
    <t>MLB1488161599</t>
  </si>
  <si>
    <t>Perfume Baunilha &amp; Ylang Ylang 100ml Masculino + Presente</t>
  </si>
  <si>
    <t>MLB1488161649</t>
  </si>
  <si>
    <t>Perfume Lavanda &amp; Benjoim 100ml Masculino + Presente</t>
  </si>
  <si>
    <t>MLB1488161662</t>
  </si>
  <si>
    <t>Perfume Dama Da Noite &amp; Mirra 100ml Masculino + Presente</t>
  </si>
  <si>
    <t>MLB1488161666</t>
  </si>
  <si>
    <t>Perfume Baunilha &amp; Gengibre 100ml Masculino + Presente</t>
  </si>
  <si>
    <t>MLB1488161708</t>
  </si>
  <si>
    <t>Perfume Dama Da Noite &amp; Hortelã 100ml Masculino + Presente</t>
  </si>
  <si>
    <t>MLB1488161717</t>
  </si>
  <si>
    <t>Perfume Alfazema &amp; Erva Doce 100ml Masculino + Presente</t>
  </si>
  <si>
    <t>MLB1488161730</t>
  </si>
  <si>
    <t>Perfume Baunilha &amp; Cravo Da Índia 100ml Masculino + Presente</t>
  </si>
  <si>
    <t>MLB1488161962</t>
  </si>
  <si>
    <t>Perfume Gerânio &amp; Sândalo Plus 100ml Masculino + Presente</t>
  </si>
  <si>
    <t>MLB1488161980</t>
  </si>
  <si>
    <t>Perfume Lima-limão &amp; Patchouli 100ml Masculino + Presente</t>
  </si>
  <si>
    <t>MLB1488254530</t>
  </si>
  <si>
    <t>Perfume Verbena &amp; Lemongrass 100ml Masculino + Presente</t>
  </si>
  <si>
    <t>MLB1488254558</t>
  </si>
  <si>
    <t>Perfume Rosa Branca &amp; Palmarosa 100ml Masculino + Presente</t>
  </si>
  <si>
    <t>MLB1488254572</t>
  </si>
  <si>
    <t>Perfume Rosa Branca &amp; Pau Rosa 100ml Masculino + Presente</t>
  </si>
  <si>
    <t>MLB1488254599</t>
  </si>
  <si>
    <t>Perfume Petitgrain &amp; Bergamota 100ml Masculino + Presente</t>
  </si>
  <si>
    <t>MLB1488254656</t>
  </si>
  <si>
    <t>Perfume Verbena &amp; Ylang Ylang 100ml Masculino + Presente</t>
  </si>
  <si>
    <t>MLB1488254661</t>
  </si>
  <si>
    <t>Perfume Patchouli &amp; Manjerição 100ml Masculino + Presente</t>
  </si>
  <si>
    <t>MLB1488254700</t>
  </si>
  <si>
    <t>Perfume Patchouli &amp; Olíbano 100ml Masculino + Presente</t>
  </si>
  <si>
    <t>MLB1488254710</t>
  </si>
  <si>
    <t>Perfume Patchouli &amp; Mirra 100ml Masculino + Presente</t>
  </si>
  <si>
    <t>MLB1488254732</t>
  </si>
  <si>
    <t>Perfume Cálamo &amp; Sândalo Plus 100ml Masculino + Presente</t>
  </si>
  <si>
    <t>MLB1488254745</t>
  </si>
  <si>
    <t>Perfume Lemongrass &amp; Sândalo Plus 100ml Masculino + Presente</t>
  </si>
  <si>
    <t>MLB1488254753</t>
  </si>
  <si>
    <t>Perfume Bergamota &amp; Madeira Nobre 100ml Masculino + Presente</t>
  </si>
  <si>
    <t>MLB1488254768</t>
  </si>
  <si>
    <t>Perfume Pau Rosa &amp; Rosa Branca 100ml Masculino + Presente</t>
  </si>
  <si>
    <t>MLB1488254794</t>
  </si>
  <si>
    <t>Perfume Bergamota &amp; Ylang Ylang 100ml Masculino + Presente</t>
  </si>
  <si>
    <t>MLB1488254795</t>
  </si>
  <si>
    <t>Perfume Benjoim &amp; Madeira Nobre 100ml Masculino + Presente</t>
  </si>
  <si>
    <t>MLB1488254807</t>
  </si>
  <si>
    <t>Perfume Madeira Nobre &amp; Canela 100ml Masculino + Presente</t>
  </si>
  <si>
    <t>MLB1488254819</t>
  </si>
  <si>
    <t>Perfume Hortelã &amp; Menta Adventure 100ml Masculino + Presente</t>
  </si>
  <si>
    <t>MLB1488254863</t>
  </si>
  <si>
    <t>Perfume Hortelã &amp; Eucalipto 100ml Masculino + Presente</t>
  </si>
  <si>
    <t>MLB1488254866</t>
  </si>
  <si>
    <t>Perfume Cravo Da Índia &amp; Canela 100ml Masculino + Presente</t>
  </si>
  <si>
    <t>MLB1488254883</t>
  </si>
  <si>
    <t>Perfume Cedro &amp; Petitgrain 100ml Masculino + Presente</t>
  </si>
  <si>
    <t>MLB1488254919</t>
  </si>
  <si>
    <t>Perfume Canela &amp; Ylang Ylang 100ml Masculino + Presente</t>
  </si>
  <si>
    <t>MLB1488254934</t>
  </si>
  <si>
    <t>Perfume Bergamota &amp; Cedro 100ml Masculino + Presente</t>
  </si>
  <si>
    <t>MLB1488254948</t>
  </si>
  <si>
    <t>Perfume Verbena &amp; Capim Limão 100ml Masculino + Presente</t>
  </si>
  <si>
    <t>MLB1488254955</t>
  </si>
  <si>
    <t>Perfume Bergamota &amp; Cipreste 100ml Masculino + Presente</t>
  </si>
  <si>
    <t>MLB1488254965</t>
  </si>
  <si>
    <t>Perfume Limão Siciliano &amp; Mirra 100ml Masculino + Presente</t>
  </si>
  <si>
    <t>MLB1488254977</t>
  </si>
  <si>
    <t>Perfume Canela &amp; Mirra 100ml Masculino + Presente</t>
  </si>
  <si>
    <t>MLB1488255122</t>
  </si>
  <si>
    <t>Perfume Petitgrain &amp; Patchouli 100ml Masculino + Presente</t>
  </si>
  <si>
    <t>MLB1488255143</t>
  </si>
  <si>
    <t>Perfume Lemongrass &amp; Bergamota 100ml Masculino + Presente</t>
  </si>
  <si>
    <t>MLB1488255153</t>
  </si>
  <si>
    <t>Perfume Verbena &amp; Olíbano 100ml Masculino + Presente</t>
  </si>
  <si>
    <t>MLB1488255212</t>
  </si>
  <si>
    <t>Perfume Verbena &amp; Bergamota 100ml Masculino + Presente</t>
  </si>
  <si>
    <t>MLB1488257685</t>
  </si>
  <si>
    <t>Perfume Patchouli &amp; Ylang Ylang 100ml Masculino + Presente</t>
  </si>
  <si>
    <t>MLB1488257701</t>
  </si>
  <si>
    <t>Perfume Pau Rosa &amp; Cipreste 100ml Masculino + Presente</t>
  </si>
  <si>
    <t>MLB1488257718</t>
  </si>
  <si>
    <t>Perfume Patchouli &amp; Sálvia 100ml Masculino + Presente</t>
  </si>
  <si>
    <t>MLB1488257731</t>
  </si>
  <si>
    <t>Perfume Sálvia &amp; Limão Siciliano 100ml Masculino + Presente</t>
  </si>
  <si>
    <t>MLB1488257748</t>
  </si>
  <si>
    <t>Perfume Bíblico Benjoim &amp; Mirra 100ml Masculino + Presente</t>
  </si>
  <si>
    <t>MLB1488257758</t>
  </si>
  <si>
    <t>Perfume Palmarosa &amp; Madeira Nobre 100ml Masculino + Presente</t>
  </si>
  <si>
    <t>MLB1488257760</t>
  </si>
  <si>
    <t>Perfume Patchouli &amp; Sândalo Plus 100ml Masculino + Presente</t>
  </si>
  <si>
    <t>MLB1488257793</t>
  </si>
  <si>
    <t>Perfume Patchouli &amp; Pau Rosa 100ml Masculino + Presente</t>
  </si>
  <si>
    <t>MLB1488257810</t>
  </si>
  <si>
    <t>Perfume Hortelã &amp; Limão Siciliano 100ml Masculino + Presente</t>
  </si>
  <si>
    <t>MLB1488257820</t>
  </si>
  <si>
    <t>Perfume Cipreste &amp; Olíbano 100ml Masculino + Presente</t>
  </si>
  <si>
    <t>MLB1488257832</t>
  </si>
  <si>
    <t>Perfume Sálvia &amp; Noz Moscada 100ml Masculino + Presente</t>
  </si>
  <si>
    <t>MLB1488257833</t>
  </si>
  <si>
    <t>Perfume Cedro &amp; Limão Siciliano 100ml Masculino + Presente</t>
  </si>
  <si>
    <t>MLB1488257847</t>
  </si>
  <si>
    <t>Perfume Cravo Da Índia &amp; Hortelã 100ml Masculino + Presente</t>
  </si>
  <si>
    <t>MLB1488257873</t>
  </si>
  <si>
    <t>Perfume Hortelã &amp; Manjerona 100ml Masculino + Presente</t>
  </si>
  <si>
    <t>MLB1488257896</t>
  </si>
  <si>
    <t>Perfume Hortelã &amp; Mirra 100ml Masculino + Presente</t>
  </si>
  <si>
    <t>MLB1488257932</t>
  </si>
  <si>
    <t>Perfume Cedro &amp; Olíbano 100ml Masculino + Presente</t>
  </si>
  <si>
    <t>MLB1488257940</t>
  </si>
  <si>
    <t>Perfume Rosa De Marrocos &amp; Cedro 100ml Masculino + Presente</t>
  </si>
  <si>
    <t>MLB1488257964</t>
  </si>
  <si>
    <t>Perfume Limão Siciliano &amp; Olíbano 100ml Masculino + Presente</t>
  </si>
  <si>
    <t>MLB1488257979</t>
  </si>
  <si>
    <t>Perfume Sândalo Plus &amp; Manjerona 100ml Masculino + Presente</t>
  </si>
  <si>
    <t>MLB1488257999</t>
  </si>
  <si>
    <t>Perfume Bergamota &amp; Capim Limão 100ml Masculino + Presente</t>
  </si>
  <si>
    <t>MLB1488258260</t>
  </si>
  <si>
    <t>Perfume Patchouli &amp; Madeira Nobre 100ml Masculino + Presente</t>
  </si>
  <si>
    <t>MLB1488261227</t>
  </si>
  <si>
    <t>Perfume Verbena &amp; Limão Siciliano 100ml Masculino + Presente</t>
  </si>
  <si>
    <t>MLB1488261270</t>
  </si>
  <si>
    <t>Perfume Palmarosa &amp; Mirra 100ml Masculino + Presente</t>
  </si>
  <si>
    <t>MLB1488261293</t>
  </si>
  <si>
    <t>Perfume Patchouli &amp; Hortelã 100ml Masculino + Presente</t>
  </si>
  <si>
    <t>MLB1488261299</t>
  </si>
  <si>
    <t>Perfume Notas De Alecrim &amp; Cedro 100ml Masculino + Presente</t>
  </si>
  <si>
    <t>MLB1488261365</t>
  </si>
  <si>
    <t>Perfume Patchouli &amp; Bergamota 100ml Masculino + Presente</t>
  </si>
  <si>
    <t>MLB1488261383</t>
  </si>
  <si>
    <t>Perfume Patchouli &amp; Canela 100ml Masculino + Presente</t>
  </si>
  <si>
    <t>MLB1488261423</t>
  </si>
  <si>
    <t>Perfume Almíscar Oriental &amp; Mirra 100ml Masculino + Presente</t>
  </si>
  <si>
    <t>MLB1488261437</t>
  </si>
  <si>
    <t>Perfume Bergamota &amp; Hortelã 100ml Masculino + Presente</t>
  </si>
  <si>
    <t>MLB1488261479</t>
  </si>
  <si>
    <t>Perfume Olíbano &amp; Mirra 100ml Masculino + Presente</t>
  </si>
  <si>
    <t>MLB1488261490</t>
  </si>
  <si>
    <t>Perfume Eucalipto &amp; Capim Limão 100ml Masculino + Presente</t>
  </si>
  <si>
    <t>MLB1488261525</t>
  </si>
  <si>
    <t>Perfume Cedro &amp; Cipreste 100ml Masculino + Presente</t>
  </si>
  <si>
    <t>MLB1488261529</t>
  </si>
  <si>
    <t>Perfume Cedro &amp; Madeira Nobre 100ml Masculino + Presente</t>
  </si>
  <si>
    <t>MLB1488261535</t>
  </si>
  <si>
    <t>Perfume Limão Siciliano &amp; Canela 100ml Masculino + Presente</t>
  </si>
  <si>
    <t>MLB1488261549</t>
  </si>
  <si>
    <t>Perfume Capim Cheiroso &amp; Mirra 100ml Masculino + Presente</t>
  </si>
  <si>
    <t>MLB1488261672</t>
  </si>
  <si>
    <t>Perfume Cedro &amp; Tangerina Cítrica 100ml Masculino + Presente</t>
  </si>
  <si>
    <t>MLB1488261723</t>
  </si>
  <si>
    <t>Perfume Verbena &amp; Manjerona 100ml Masculino + Presente</t>
  </si>
  <si>
    <t>Ano de lançamento preenchido (deveria ficar em branco): Ano de lançamento preenchido ("2006") - regra do negócio é deixar em branco | Documento de Notificação/Comunicação prévia na Anvisa não preenchido: Número de Notificação/Comunicação prévia na Anvisa não preenchido</t>
  </si>
  <si>
    <t>MLB1488623474</t>
  </si>
  <si>
    <t>Perfume Gerânio &amp; Lavanda 100ml Feminino + Presente</t>
  </si>
  <si>
    <t>MLB1488623544</t>
  </si>
  <si>
    <t>Perfume Baunilha &amp; Capim Limão 100ml Feminino + Presente</t>
  </si>
  <si>
    <t>MLB1488623576</t>
  </si>
  <si>
    <t>Perfume Flor De Maçã &amp; Bergamota 100ml Feminino + Presente</t>
  </si>
  <si>
    <t>MLB1488623598</t>
  </si>
  <si>
    <t>Perfume Gerânio &amp; Ylang Ylang 100ml Feminino + Presente</t>
  </si>
  <si>
    <t>MLB1488623701</t>
  </si>
  <si>
    <t>Perfume Baunilha &amp; Noz Moscada 100ml Feminino + Presente</t>
  </si>
  <si>
    <t>MLB1488623705</t>
  </si>
  <si>
    <t>Perfume Baunilha &amp; Grapefruit 100ml Feminino + Presente</t>
  </si>
  <si>
    <t>MLB1488623716</t>
  </si>
  <si>
    <t>Perfume Lilás &amp; Dama Da Noite 100ml Feminino + Presente</t>
  </si>
  <si>
    <t>MLB1488623749</t>
  </si>
  <si>
    <t>Perfume Erva Doce &amp; Canela 100ml Feminino + Presente</t>
  </si>
  <si>
    <t>MLB1488623756</t>
  </si>
  <si>
    <t>Perfume Dama Da Noite &amp; Baunilha 100ml Feminino + Presente</t>
  </si>
  <si>
    <t>MLB1488623765</t>
  </si>
  <si>
    <t>Perfume Alfazema &amp; Erva Doce 100ml Feminino + Presente</t>
  </si>
  <si>
    <t>MLB1488623767</t>
  </si>
  <si>
    <t>Perfume Erva Doce &amp; Flor De Lótus 100ml Feminino + Presente</t>
  </si>
  <si>
    <t>MLB1488623775</t>
  </si>
  <si>
    <t>Perfume Baunilha &amp; Rosa Branca 100ml Feminino + Presente</t>
  </si>
  <si>
    <t>MLB1488623795</t>
  </si>
  <si>
    <t>Perfume Gerânio &amp; Palmarosa 100ml Feminino + Presente</t>
  </si>
  <si>
    <t>MLB1488623830</t>
  </si>
  <si>
    <t>Perfume Erva Doce &amp; Laranja Doce 100ml Feminino + Presente</t>
  </si>
  <si>
    <t>MLB1488623831</t>
  </si>
  <si>
    <t>Perfume Erva Doce &amp; Hortelã 100ml Feminino + Presente</t>
  </si>
  <si>
    <t>MLB1488624781</t>
  </si>
  <si>
    <t>Perfume Aniz &amp; Almíscar Oriental 100ml Feminino + Presente</t>
  </si>
  <si>
    <t>MLB1488624783</t>
  </si>
  <si>
    <t>Perfume Acácia &amp; Almíscar Oriental 100ml Feminino + Presente</t>
  </si>
  <si>
    <t>MLB1488624836</t>
  </si>
  <si>
    <t>Perfume Lavanda &amp; Dama Da Noite 100ml Feminino + Presente</t>
  </si>
  <si>
    <t>MLB1488624840</t>
  </si>
  <si>
    <t>Perfume Lima-limão &amp; Manjerição 100ml Feminino + Presente</t>
  </si>
  <si>
    <t>MLB1488624864</t>
  </si>
  <si>
    <t>Perfume Lavanda &amp; Cravo Da Índia 100ml Feminino + Presente</t>
  </si>
  <si>
    <t>MLB1488624872</t>
  </si>
  <si>
    <t>Perfume Lima-limão &amp; Patchouli 100ml Feminino + Presente</t>
  </si>
  <si>
    <t>MLB1488624875</t>
  </si>
  <si>
    <t>Perfume Lavanda &amp; Baunilha 100ml Feminino + Presente</t>
  </si>
  <si>
    <t>MLB1488624907</t>
  </si>
  <si>
    <t>Perfume Dama Da Noite &amp; Olíbano 100ml Feminino + Presente</t>
  </si>
  <si>
    <t>MLB1488624922</t>
  </si>
  <si>
    <t>Perfume Baunilha &amp; Olíbano 100ml Feminino + Presente</t>
  </si>
  <si>
    <t>MLB1488624962</t>
  </si>
  <si>
    <t>Perfume Lima-limão &amp; Bergamota 100ml Feminino + Presente</t>
  </si>
  <si>
    <t>MLB1488624994</t>
  </si>
  <si>
    <t>Perfume Flor De Jasmim &amp; Bergamota 100ml Feminino + Presente</t>
  </si>
  <si>
    <t>MLB1488625022</t>
  </si>
  <si>
    <t>Perfume Gerânio &amp; Laranja Doce 100ml Feminino + Presente</t>
  </si>
  <si>
    <t>MLB1488625077</t>
  </si>
  <si>
    <t>Perfume Aloés &amp; Mirra 100ml Feminino + Presente</t>
  </si>
  <si>
    <t>MLB1488625085</t>
  </si>
  <si>
    <t>Perfume Dama Da Noite &amp; Palmarosa 100ml Feminino + Presente</t>
  </si>
  <si>
    <t>MLB1488625150</t>
  </si>
  <si>
    <t>Perfume Laranja Doce &amp; Patchouli 100ml Feminino + Presente</t>
  </si>
  <si>
    <t>MLB1488628375</t>
  </si>
  <si>
    <t>Perfume Laranja Doce &amp; Mirra 100ml Feminino + Presente</t>
  </si>
  <si>
    <t>MLB1488628435</t>
  </si>
  <si>
    <t>Perfume Flor De Maçã &amp; Grapefruit 100ml Feminino + Presente</t>
  </si>
  <si>
    <t>MLB1488628549</t>
  </si>
  <si>
    <t>Perfume Gerânio &amp; Limão Siciliano 100ml Feminino + Presente</t>
  </si>
  <si>
    <t>MLB1488628612</t>
  </si>
  <si>
    <t>Perfume Alfazema &amp; Olíbano 100ml Feminino + Presente</t>
  </si>
  <si>
    <t>MLB1488628693</t>
  </si>
  <si>
    <t>Perfume Flor De Jasmim &amp; Cedro 100ml Feminino + Presente</t>
  </si>
  <si>
    <t>MLB1488628725</t>
  </si>
  <si>
    <t>Perfume Baunilha &amp; Hortelã 100ml Feminino + Presente</t>
  </si>
  <si>
    <t>MLB1488628756</t>
  </si>
  <si>
    <t>Perfume Baunilha &amp; Limão Siciliano 100ml Feminino + Presente</t>
  </si>
  <si>
    <t>MLB1488628767</t>
  </si>
  <si>
    <t>Perfume Erva Cidreira &amp; Palmarosa 100ml Feminino + Presente</t>
  </si>
  <si>
    <t>MLB1488628794</t>
  </si>
  <si>
    <t>Perfume Dama Da Noite &amp; Canela 100ml Feminino + Presente</t>
  </si>
  <si>
    <t>MLB1488628841</t>
  </si>
  <si>
    <t>Perfume Lima-limão &amp; Mirra 100ml Feminino + Presente</t>
  </si>
  <si>
    <t>MLB1488628847</t>
  </si>
  <si>
    <t>Perfume Magnólia &amp; Ylang Ylang 100ml Feminino + Presente</t>
  </si>
  <si>
    <t>MLB1488628851</t>
  </si>
  <si>
    <t>Perfume Dama Da Noite &amp; Gardênia 100ml Feminino + Presente</t>
  </si>
  <si>
    <t>MLB1488628857</t>
  </si>
  <si>
    <t>Perfume Baunilha &amp; Ylang Ylang 100ml Feminino + Presente</t>
  </si>
  <si>
    <t>MLB1488628871</t>
  </si>
  <si>
    <t>Perfume Flor De Maçã &amp; Patchouli 100ml Feminino + Presente</t>
  </si>
  <si>
    <t>MLB1488628891</t>
  </si>
  <si>
    <t>Perfume Lavanda Inglesa &amp; Cedro 100ml Feminino + Presente</t>
  </si>
  <si>
    <t>MLB1488628896</t>
  </si>
  <si>
    <t>Perfume Lavanda &amp; Mirra 100ml Feminino + Presente</t>
  </si>
  <si>
    <t>MLB1488628911</t>
  </si>
  <si>
    <t>Perfume Lavanda &amp; Patchouli 100ml Feminino + Presente</t>
  </si>
  <si>
    <t>MLB1488628961</t>
  </si>
  <si>
    <t>Perfume Alfazema &amp; Mirra 100ml Feminino + Presente</t>
  </si>
  <si>
    <t>MLB1488628964</t>
  </si>
  <si>
    <t>Perfume Dama Da Noite &amp; Patchouli 100ml Feminino + Presente</t>
  </si>
  <si>
    <t>MLB1488628989</t>
  </si>
  <si>
    <t>Perfume Gardênia &amp; Flor De Jasmim 100ml Feminino + Presente</t>
  </si>
  <si>
    <t>MLB1488629007</t>
  </si>
  <si>
    <t>Perfume Dama Da Noite &amp; Cedro 100ml Feminino + Presente</t>
  </si>
  <si>
    <t>MLB1488637177</t>
  </si>
  <si>
    <t>Perfume Flor Angélica &amp; Maçã 100ml Feminino + Presente</t>
  </si>
  <si>
    <t>MLB1488637206</t>
  </si>
  <si>
    <t>Perfume Lótus &amp; Lima-limão 100ml Feminino + Presente</t>
  </si>
  <si>
    <t>MLB1488637217</t>
  </si>
  <si>
    <t>Perfume Notas De Alecrim &amp; Cedro 100ml Feminino + Presente</t>
  </si>
  <si>
    <t>MLB1488637350</t>
  </si>
  <si>
    <t>Perfume Cedro &amp; Canela 100ml Feminino + Presente</t>
  </si>
  <si>
    <t>MLB1488637364</t>
  </si>
  <si>
    <t>Perfume Laranja Amarga &amp; Olíbano 100ml Feminino + Presente</t>
  </si>
  <si>
    <t>MLB1488637384</t>
  </si>
  <si>
    <t>Perfume Girassol &amp; Sândalo Plus 100ml Feminino + Presente</t>
  </si>
  <si>
    <t>MLB1488637407</t>
  </si>
  <si>
    <t>Perfume Bergamota &amp; Cravo Da Índia 100ml Feminino + Presente</t>
  </si>
  <si>
    <t>MLB1488637411</t>
  </si>
  <si>
    <t>Perfume Almíscar Oriental &amp; Mirra 100ml Feminino + Presente</t>
  </si>
  <si>
    <t>MLB1488637414</t>
  </si>
  <si>
    <t>Perfume Benjoim &amp; Ylang Ylang 100ml Feminino + Presente</t>
  </si>
  <si>
    <t>MLB1488637415</t>
  </si>
  <si>
    <t>Perfume Cravo Da Índia &amp; Canela 100ml Feminino + Presente</t>
  </si>
  <si>
    <t>MLB1488637438</t>
  </si>
  <si>
    <t>Perfume Canfora &amp; Hortelã 100ml Feminino + Presente</t>
  </si>
  <si>
    <t>MLB1488637478</t>
  </si>
  <si>
    <t>Perfume Canela &amp; Manjerição 100ml Feminino + Presente</t>
  </si>
  <si>
    <t>Código universal do produto (GTIN) não preenchido (texto de exemplo do ML ainda lá): Texto de exemplo do template não foi substituído pelo código real | País de origem diferente de "Brasil": País de origem = "Importado", deveria ser "Brasil" | Documento de Notificação/Comunicação prévia na Anvisa não preenchido: Número de Notificação/Comunicação prévia na Anvisa não preenchido</t>
  </si>
  <si>
    <t>MLB1488637483</t>
  </si>
  <si>
    <t>Perfume Ylang Ylang &amp; Mirra 100ml Feminino + Presente</t>
  </si>
  <si>
    <t>MLB1488637496</t>
  </si>
  <si>
    <t>Perfume Notas De Alecrim &amp; Canela 100ml Feminino + Presente</t>
  </si>
  <si>
    <t>MLB1488637515</t>
  </si>
  <si>
    <t>Perfume Petitgrain &amp; Patchouli 100ml Feminino + Presente</t>
  </si>
  <si>
    <t>MLB1488637550</t>
  </si>
  <si>
    <t>Perfume Patchouli &amp; Ylang Ylang 100ml Feminino + Presente</t>
  </si>
  <si>
    <t>MLB1488637587</t>
  </si>
  <si>
    <t>Perfume Canela &amp; Olíbano 100ml Feminino + Presente</t>
  </si>
  <si>
    <t>MLB1488637620</t>
  </si>
  <si>
    <t>Perfume Patchouli &amp; Mirra 100ml Feminino + Presente</t>
  </si>
  <si>
    <t>MLB1488641369</t>
  </si>
  <si>
    <t>Perfume Rosa Branca &amp; Ylang Ylang 100ml Feminino + Presente</t>
  </si>
  <si>
    <t>MLB1488641392</t>
  </si>
  <si>
    <t>Perfume Verbena &amp; Grapefruit 100ml Feminino + Presente</t>
  </si>
  <si>
    <t>MLB1488641396</t>
  </si>
  <si>
    <t>Perfume Notas De Alecrim &amp; Lavanda 100ml Feminino + Presente</t>
  </si>
  <si>
    <t>MLB1488641405</t>
  </si>
  <si>
    <t>Perfume Sexy Cravo Flor &amp; Canela 100ml Feminino + Presente</t>
  </si>
  <si>
    <t>MLB1488641435</t>
  </si>
  <si>
    <t>Perfume Verbena &amp; Eucalipto 100ml Feminino + Presente</t>
  </si>
  <si>
    <t>MLB1488641436</t>
  </si>
  <si>
    <t>Perfume Verbena &amp; Limão Siciliano 100ml Feminino + Presente</t>
  </si>
  <si>
    <t>MLB1488641439</t>
  </si>
  <si>
    <t>Perfume Violeta &amp; Cedro 100ml Feminino + Presente</t>
  </si>
  <si>
    <t>MLB1488641488</t>
  </si>
  <si>
    <t>Perfume Patchouli &amp; Gengibre 100ml Feminino + Presente</t>
  </si>
  <si>
    <t>MLB1488641506</t>
  </si>
  <si>
    <t>Perfume Patchouli &amp; Cravo Da Índia 100ml Feminino + Presente</t>
  </si>
  <si>
    <t>MLB1488641507</t>
  </si>
  <si>
    <t>Perfume Cedro &amp; Cravo Da Índia 100ml Feminino + Presente</t>
  </si>
  <si>
    <t>MLB1488641528</t>
  </si>
  <si>
    <t>Perfume Patchouli &amp; Laranja Amarga 100ml Feminino + Presente</t>
  </si>
  <si>
    <t>MLB1488641554</t>
  </si>
  <si>
    <t>Perfume Notas De Alecrim &amp; Sálvia 100ml Feminino + Presente</t>
  </si>
  <si>
    <t>MLB1488641567</t>
  </si>
  <si>
    <t>Perfume Almíscar Oriental &amp; Canela 100ml Feminino + Presente</t>
  </si>
  <si>
    <t>MLB1488641573</t>
  </si>
  <si>
    <t>Perfume Patchouli &amp; Bergamota 100ml Feminino + Presente</t>
  </si>
  <si>
    <t>MLB1488641578</t>
  </si>
  <si>
    <t>Perfume Hortelã &amp; Manjerição 100ml Feminino + Presente</t>
  </si>
  <si>
    <t>MLB1488641583</t>
  </si>
  <si>
    <t>Perfume Limão Siciliano &amp; Canela 100ml Feminino + Presente</t>
  </si>
  <si>
    <t>MLB1488641608</t>
  </si>
  <si>
    <t>Perfume Bergamota &amp; Capim Limão 100ml Feminino + Presente</t>
  </si>
  <si>
    <t>MLB1488641618</t>
  </si>
  <si>
    <t>Perfume Patchouli &amp; Sândalo Plus 100ml Feminino + Presente</t>
  </si>
  <si>
    <t>MLB1488641655</t>
  </si>
  <si>
    <t>Perfume Olíbano &amp; Petitgrain 100ml Feminino + Presente</t>
  </si>
  <si>
    <t>MLB1488641732</t>
  </si>
  <si>
    <t>Perfume Olíbano &amp; Ylang Ylang 100ml Feminino + Presente</t>
  </si>
  <si>
    <t>MLB1488641757</t>
  </si>
  <si>
    <t>Perfume Rosa Branca &amp; Benjoim 100ml Feminino + Presente</t>
  </si>
  <si>
    <t>MLB1488641765</t>
  </si>
  <si>
    <t>Perfume Rosa Amarela &amp; Canela 100ml Feminino + Presente</t>
  </si>
  <si>
    <t>MLB1488641779</t>
  </si>
  <si>
    <t>Perfume Palmarosa &amp; Gerânio 100ml Feminino + Presente</t>
  </si>
  <si>
    <t>MLB1488641781</t>
  </si>
  <si>
    <t>Perfume Palmarosa &amp; Sálvia 100ml Feminino + Presente</t>
  </si>
  <si>
    <t>MLB1488641783</t>
  </si>
  <si>
    <t>Perfume Pau Rosa &amp; Bergamota 100ml Feminino + Presente</t>
  </si>
  <si>
    <t>MLB1488641824</t>
  </si>
  <si>
    <t>Perfume Bergamota &amp; Laranja Amarga 100ml Feminino + Presente</t>
  </si>
  <si>
    <t>MLB1488641844</t>
  </si>
  <si>
    <t>Perfume Ylang Ylang &amp; Capim Limão 100ml Feminino + Presente</t>
  </si>
  <si>
    <t>MLB1488641872</t>
  </si>
  <si>
    <t>Perfume Notas De Alecrim &amp; Mirra 100ml Feminino + Presente</t>
  </si>
  <si>
    <t>MLB1488641905</t>
  </si>
  <si>
    <t>Perfume Laranja Doce &amp; Cipreste 100ml Feminino + Presente</t>
  </si>
  <si>
    <t>MLB1488641906</t>
  </si>
  <si>
    <t>Perfume Hortelã &amp; Canela 100ml Feminino + Presente</t>
  </si>
  <si>
    <t>MLB1488644081</t>
  </si>
  <si>
    <t>Perfume Petitgrain &amp; Sândalo Plus 100ml Feminino + Presente</t>
  </si>
  <si>
    <t>MLB1488644085</t>
  </si>
  <si>
    <t>Perfume Lírios Dourados &amp; Baunilha 100ml Feminino + Presente</t>
  </si>
  <si>
    <t>MLB1488644158</t>
  </si>
  <si>
    <t>Perfume Verbena &amp; Ylang Ylang 100ml Feminino + Presente</t>
  </si>
  <si>
    <t>MLB1488644196</t>
  </si>
  <si>
    <t>Perfume Cedro &amp; Noz Moscada 100ml Feminino + Presente</t>
  </si>
  <si>
    <t>MLB1488644205</t>
  </si>
  <si>
    <t>Perfume Lemongrass &amp; Madeira Nobre 100ml Feminino + Presente</t>
  </si>
  <si>
    <t>MLB1488644229</t>
  </si>
  <si>
    <t>Perfume Verbena &amp; Sândalo Plus 100ml Feminino + Presente</t>
  </si>
  <si>
    <t>MLB1488644243</t>
  </si>
  <si>
    <t>Perfume Patchouli &amp; Pau Rosa 100ml Feminino + Presente</t>
  </si>
  <si>
    <t>MLB1488644266</t>
  </si>
  <si>
    <t>Perfume Notas De Alecrim &amp; Hortelã 100ml Feminino + Presente</t>
  </si>
  <si>
    <t>MLB1488644269</t>
  </si>
  <si>
    <t>Perfume Laranja Doce &amp; Erva Doce 100ml Feminino + Presente</t>
  </si>
  <si>
    <t>MLB1488644278</t>
  </si>
  <si>
    <t>Perfume Benjoim &amp; Sândalo Plus 100ml Feminino + Presente</t>
  </si>
  <si>
    <t>MLB1488644284</t>
  </si>
  <si>
    <t>Perfume Artemísia &amp; Flor Angélica 100ml Feminino + Presente</t>
  </si>
  <si>
    <t>MLB1488644387</t>
  </si>
  <si>
    <t>Perfume Sândalo Plus &amp; Olíbano 100ml Feminino + Presente</t>
  </si>
  <si>
    <t>MLB1488644407</t>
  </si>
  <si>
    <t>Perfume Canela &amp; Ylang Ylang 100ml Feminino + Presente</t>
  </si>
  <si>
    <t>MLB1488644431</t>
  </si>
  <si>
    <t>Perfume Canela &amp; Gengibre 100ml Feminino + Presente</t>
  </si>
  <si>
    <t>MLB1488644450</t>
  </si>
  <si>
    <t>Perfume Cedro &amp; Madeira Nobre 100ml Feminino + Presente</t>
  </si>
  <si>
    <t>MLB1488644473</t>
  </si>
  <si>
    <t>Perfume Violeta &amp; Canela 100ml Feminino + Presente</t>
  </si>
  <si>
    <t>MLB1488644547</t>
  </si>
  <si>
    <t>Perfume Manjerona &amp; Manjerição 100ml Feminino + Presente</t>
  </si>
  <si>
    <t>MLB1488644657</t>
  </si>
  <si>
    <t>Perfume Patchouli &amp; Cipreste 100ml Feminino + Presente</t>
  </si>
  <si>
    <t>MLB1490223291</t>
  </si>
  <si>
    <t>Perfume Masculino Il Mare 100ml - Coleção Itália</t>
  </si>
  <si>
    <t>MLB1490223297</t>
  </si>
  <si>
    <t>Perfume Masculino Shukran 100ml - Coleção Árabes</t>
  </si>
  <si>
    <t>MLB1490223299</t>
  </si>
  <si>
    <t>Perfume Feminino Atena 100ml - Coleção Deuses Gregos</t>
  </si>
  <si>
    <t>MLB1490223414</t>
  </si>
  <si>
    <t>Perfume Doce Masculino 100ml</t>
  </si>
  <si>
    <t>MLB1490223513</t>
  </si>
  <si>
    <t>Perfume Masculino Sakura - Japão 100ml - Coleção Continentes</t>
  </si>
  <si>
    <t>MLB1490223623</t>
  </si>
  <si>
    <t>Perfume Madeira Do Oriente Masculino 100ml</t>
  </si>
  <si>
    <t>MLB1490223636</t>
  </si>
  <si>
    <t>Perfume Glamour Feminino 100ml</t>
  </si>
  <si>
    <t>MLB1490230760</t>
  </si>
  <si>
    <t>Perfume Masculino Zeus 100ml - Coleção Deuses Gregos</t>
  </si>
  <si>
    <t>MLB1490230767</t>
  </si>
  <si>
    <t>Perfume Masculino Apolo 100ml - Coleção Deuses Gregos</t>
  </si>
  <si>
    <t>MLB1490230770</t>
  </si>
  <si>
    <t>Perfume Masculino Portofino 100ml - Coleção Itália</t>
  </si>
  <si>
    <t>MLB1490230772</t>
  </si>
  <si>
    <t>Perfume Cítrico Feminino 100ml</t>
  </si>
  <si>
    <t>MLB1490231212</t>
  </si>
  <si>
    <t>Perfume Amadeirado Feminino 100ml</t>
  </si>
  <si>
    <t>MLB1490232367</t>
  </si>
  <si>
    <t>Perfume Masculino Cupido 100ml - Coleção Deuses Romanos</t>
  </si>
  <si>
    <t>MLB1490232376</t>
  </si>
  <si>
    <t>Perfume Feminino Madame 100ml - Coleção França</t>
  </si>
  <si>
    <t>MLB1490232381</t>
  </si>
  <si>
    <t>Perfume Masculino Cairo 100ml - Coleção Árabes</t>
  </si>
  <si>
    <t>MLB1490232384</t>
  </si>
  <si>
    <t>Perfume Doce Feminino 100ml</t>
  </si>
  <si>
    <t>MLB1490232392</t>
  </si>
  <si>
    <t>Perfume Floral Feminino 100ml</t>
  </si>
  <si>
    <t>MLB1490232400</t>
  </si>
  <si>
    <t>Perfume Masculino Hércules 100ml - Coleção Deuses Romanos</t>
  </si>
  <si>
    <t>MLB1490232408</t>
  </si>
  <si>
    <t>Perfume Masculino Calabria 100ml - Coleção Itália</t>
  </si>
  <si>
    <t>MLB1490232444</t>
  </si>
  <si>
    <t>Perfume Feminino Afrodite 100ml - Coleção Deuses Gregos</t>
  </si>
  <si>
    <t>MLB1490232477</t>
  </si>
  <si>
    <t>Perfume Masculino Júpiter 100ml - Coleção Deuses Romanos</t>
  </si>
  <si>
    <t>MLB1490232505</t>
  </si>
  <si>
    <t>Perfume Cítrico Masculino 100ml</t>
  </si>
  <si>
    <t>MLB1490232513</t>
  </si>
  <si>
    <t>Perfume Eden Jardim Feminino 100ml</t>
  </si>
  <si>
    <t>MLB1490232535</t>
  </si>
  <si>
    <t>Perfume Paris Floral Feminino 100ml</t>
  </si>
  <si>
    <t>MLB1490232547</t>
  </si>
  <si>
    <t>Perfume Athena Feminino 100ml - Coleção Grécia</t>
  </si>
  <si>
    <t>MLB1490232625</t>
  </si>
  <si>
    <t>Perfume Amadeirado Masculino</t>
  </si>
  <si>
    <t>MLB1490232821</t>
  </si>
  <si>
    <t>Perfume La Vie En Rose Feminino 100ml</t>
  </si>
  <si>
    <t>MLB1490258337</t>
  </si>
  <si>
    <t>Perfume Masculino Amadeirado Cítrico 100ml</t>
  </si>
  <si>
    <t>MLB1490258430</t>
  </si>
  <si>
    <t>Perfume Feminino Doce Amadeirado 100ml</t>
  </si>
  <si>
    <t>MLB1490259880</t>
  </si>
  <si>
    <t>Perfume Aqua Masculino 100ml</t>
  </si>
  <si>
    <t>MLB1490287084</t>
  </si>
  <si>
    <t>Perfume Masculino Raízes Da África 100ml</t>
  </si>
  <si>
    <t>MLB1490287088</t>
  </si>
  <si>
    <t>Perfume Masculino Anos 80 - Geração X 100ml</t>
  </si>
  <si>
    <t>MLB1490287090</t>
  </si>
  <si>
    <t>Perfume Masculino Oriente - Quente 100ml</t>
  </si>
  <si>
    <t>MLB1490290269</t>
  </si>
  <si>
    <t>Perfume Masculino Anos Dourados - Década De 60 100ml</t>
  </si>
  <si>
    <t>MLB1499757313</t>
  </si>
  <si>
    <t>Presente Para Dia Dos Pais: Perfume Masculino Hortelã 100ml</t>
  </si>
  <si>
    <t>MLB1499757351</t>
  </si>
  <si>
    <t>Perfume Feminino Rosa Amarela 100ml + Perfume De Bolso 10ml</t>
  </si>
  <si>
    <t>MLB1499757358</t>
  </si>
  <si>
    <t>Perfume Feminino Flor Angélica 100ml + Perfume De Bolso 10ml</t>
  </si>
  <si>
    <t>MLB1499757368</t>
  </si>
  <si>
    <t>Perfume Feminino Lavanda 100ml + Perfume De Bolso 10ml</t>
  </si>
  <si>
    <t>MLB1499757375</t>
  </si>
  <si>
    <t>Perfume Saudável Feminino Flor De Laranjeira 100ml - Natural</t>
  </si>
  <si>
    <t>MLB1499757388</t>
  </si>
  <si>
    <t>Perfume Feminino Dama Da Noite 100ml + Perfume De Bolso 10ml</t>
  </si>
  <si>
    <t>MLB1499757405</t>
  </si>
  <si>
    <t>Perfume Saudável Feminino Camomila Suave 100ml - Natural</t>
  </si>
  <si>
    <t>MLB1499757419</t>
  </si>
  <si>
    <t>Perfume Masculino Sândalo Plus 100ml + Perfume De Bolso 10ml</t>
  </si>
  <si>
    <t>MLB1499757429</t>
  </si>
  <si>
    <t>Perfume Feminino Verbena 100ml + Perfume De Bolso 10ml</t>
  </si>
  <si>
    <t>MLB1499757481</t>
  </si>
  <si>
    <t>Perfume Saudável Masculino Cravo Amadeirado 100ml - Natural</t>
  </si>
  <si>
    <t>MLB1499757497</t>
  </si>
  <si>
    <t>Perfume Elegante Feminino Lima-limão 100ml + Perfume 10ml</t>
  </si>
  <si>
    <t>MLB1499757506</t>
  </si>
  <si>
    <t>Perfume Saudável Feminino Flor Angélica 100ml - Natural</t>
  </si>
  <si>
    <t>MLB1499760478</t>
  </si>
  <si>
    <t>Perfume Saudável Feminino Rosa Branca 100ml - Natural</t>
  </si>
  <si>
    <t>MLB1499760483</t>
  </si>
  <si>
    <t>Presente Para Dia Dos Pais: Perfume Masculino Benjoim 100ml</t>
  </si>
  <si>
    <t>MLB1499760486</t>
  </si>
  <si>
    <t>Presente Para Ele: Perfume Natural Masculino Almíscar 100ml</t>
  </si>
  <si>
    <t>MLB1499760490</t>
  </si>
  <si>
    <t>Perfume Nacional Feminino Flor De Maçã 100ml + Perfume 10ml</t>
  </si>
  <si>
    <t>MLB1499760518</t>
  </si>
  <si>
    <t>Presente Para Namorada: Perfume Feminino Flor De Maçã 100ml</t>
  </si>
  <si>
    <t>MLB1499760546</t>
  </si>
  <si>
    <t>Presente Para Namorado: Perfume Masculino Manjerona 100ml</t>
  </si>
  <si>
    <t>MLB1499760554</t>
  </si>
  <si>
    <t>Perfume Saudável Feminino Flor De Maçã 100ml - Natural</t>
  </si>
  <si>
    <t>MLB1499760633</t>
  </si>
  <si>
    <t>Perfume Saudável Feminino Lavanda 100ml - Natural</t>
  </si>
  <si>
    <t>MLB1499760650</t>
  </si>
  <si>
    <t>Perfume Saudável Feminino Lavanda Inglesa 100ml - Natural</t>
  </si>
  <si>
    <t>MLB1499764153</t>
  </si>
  <si>
    <t>Perfume Masculino Almíscar 100ml + Perfume De Bolso 10ml</t>
  </si>
  <si>
    <t>MLB1499764165</t>
  </si>
  <si>
    <t>Perfume Saudável Masculino Sândalo Plus 100ml - Natural</t>
  </si>
  <si>
    <t>MLB1499764225</t>
  </si>
  <si>
    <t>Perfume Feminino Gardênia 100ml + Perfume De Bolso 10ml</t>
  </si>
  <si>
    <t>MLB1499764286</t>
  </si>
  <si>
    <t>Perfume Feminino Flor De Lótus 100ml + Perfume De Bolso 10ml</t>
  </si>
  <si>
    <t>MLB1499764287</t>
  </si>
  <si>
    <t>Perfume Saudável Masculino Mango Tropical 100ml - Natural</t>
  </si>
  <si>
    <t>MLB1499767596</t>
  </si>
  <si>
    <t>Presente Para Namorado: Perfume Mango Tropical 100ml</t>
  </si>
  <si>
    <t>MLB1499768519</t>
  </si>
  <si>
    <t>Presente Para Namorado: Perfume Limão Siciliano 100ml</t>
  </si>
  <si>
    <t>MLB1499772501</t>
  </si>
  <si>
    <t>Presente Para Namorado: Perfume Patchouli De Singapura 100ml</t>
  </si>
  <si>
    <t>MLB1499772508</t>
  </si>
  <si>
    <t>Presente Para Namorado: Perfume Flor De Laranjeira 100ml</t>
  </si>
  <si>
    <t>MLB1499772509</t>
  </si>
  <si>
    <t>Presente Para Namorado: Perfume Tangerina Cítrica 100ml</t>
  </si>
  <si>
    <t>MLB1499772546</t>
  </si>
  <si>
    <t>Presente Para Namorada: Perfume Rosas Vermelhas 100ml</t>
  </si>
  <si>
    <t>MLB1517765011</t>
  </si>
  <si>
    <t>Perfume Masculino Patchouli Imperial Singapura 50ml - Oferta</t>
  </si>
  <si>
    <t>MLB1517795151</t>
  </si>
  <si>
    <t>Perfume Masculino Limão Siciliano 50ml - Natural De Nicho</t>
  </si>
  <si>
    <t>MLB1517801993</t>
  </si>
  <si>
    <t>Perfume Feminino Sexy Frutal Rosas Vermelhas 50ml - Natural</t>
  </si>
  <si>
    <t>MLB1517812691</t>
  </si>
  <si>
    <t xml:space="preserve">Perfume Feminino Flor De Maçã 50ml - Com Óleo Essencial </t>
  </si>
  <si>
    <t>MLB1517821522</t>
  </si>
  <si>
    <t>Perfume Feminino Dama Da Noite 50ml - Com Óleo Essencial</t>
  </si>
  <si>
    <t>MLB1517822647</t>
  </si>
  <si>
    <t>Perfume Natural De Mirra Masculino 50ml - Com Óleo Essencial</t>
  </si>
  <si>
    <t>MLB1519571736</t>
  </si>
  <si>
    <t>Perfume Feminino Rouge Royal 100ml - Floral Com Rosas</t>
  </si>
  <si>
    <t>MLB1519571825</t>
  </si>
  <si>
    <t>Perfume Floral Paris 100ml - Feminino Floral Fresco Luxo</t>
  </si>
  <si>
    <t>MLB1519571851</t>
  </si>
  <si>
    <t>Perfume Feminino Lavanda Silvestre 100ml - Floral Herbal</t>
  </si>
  <si>
    <t>MLB1519571993</t>
  </si>
  <si>
    <t xml:space="preserve">Perfume Prelude 100ml - Feminino Oriental Ambarado Sexy </t>
  </si>
  <si>
    <t>MLB1519579778</t>
  </si>
  <si>
    <t>Perfume Lord 100ml - Masculino Amadeirado Elegante Top 2022</t>
  </si>
  <si>
    <t>MLB1519579879</t>
  </si>
  <si>
    <t xml:space="preserve">Perfume Silences 100ml Feminino Sexy - Cheiro De Rica </t>
  </si>
  <si>
    <t>MLB1519579956</t>
  </si>
  <si>
    <t>Perfume Masculino Tai Winds 100ml - Herbal Refrescante</t>
  </si>
  <si>
    <t>MLB1519580754</t>
  </si>
  <si>
    <t>Perfume Afrodisíaco Brut Absolu 100ml - Masculino Oriental</t>
  </si>
  <si>
    <t>MLB1519580792</t>
  </si>
  <si>
    <t>Perfume Feminino Nuit D'eté (noite De Verão) 100ml - Floral</t>
  </si>
  <si>
    <t>MLB1519580821</t>
  </si>
  <si>
    <t>Perfume Com Feromônios Thor 100ml Masculino - Verde Herbal</t>
  </si>
  <si>
    <t>MLB1519588018</t>
  </si>
  <si>
    <t>Perfume Masculino Lime 100ml - Cítrico Herbal Mediterrâneo</t>
  </si>
  <si>
    <t>MLB1519850176</t>
  </si>
  <si>
    <t>Perfume Oriental Tabu Tabu 50ml - Masculino - Coleção Ícones</t>
  </si>
  <si>
    <t>MLB1521297253</t>
  </si>
  <si>
    <t>Perfume Masculino Natural Patchouli Imperial Singapura 10ml</t>
  </si>
  <si>
    <t>MLB1521320430</t>
  </si>
  <si>
    <t>Perfume Masculino Natural Black Almíscar Oriental  10ml</t>
  </si>
  <si>
    <t>MLB1677128463</t>
  </si>
  <si>
    <t>Perfume Masculino Manjerona 100ml - Feito Com Óleo Essencial</t>
  </si>
  <si>
    <t>MLB1677144371</t>
  </si>
  <si>
    <t>Perfume Feminino Gerânio 100ml - Feito Com Óleo Essencial</t>
  </si>
  <si>
    <t>MLB1677144399</t>
  </si>
  <si>
    <t>Perfume Masculino Cedro 100ml - Feito Com Óleo Essencial</t>
  </si>
  <si>
    <t>MLB1677144401</t>
  </si>
  <si>
    <t>Perfume Feminino Patchouli 100ml - Feito Com Óleo Essencial</t>
  </si>
  <si>
    <t>MLB1677144664</t>
  </si>
  <si>
    <t>Perfume Feminino Anis 100ml - Feito Com Óleo Essencial</t>
  </si>
  <si>
    <t>MLB1677144681</t>
  </si>
  <si>
    <t>Perfume Masculino Canela 100ml - Feito Com Óleo Essencial</t>
  </si>
  <si>
    <t>MLB1677148378</t>
  </si>
  <si>
    <t>Perfume Masculino Almíscar 100ml - Feito Com Óleo Essencial</t>
  </si>
  <si>
    <t>MLB1677148467</t>
  </si>
  <si>
    <t>Perfume Masculino Tangerina 100ml - Feito Com Óleo Essencial</t>
  </si>
  <si>
    <t>MLB1677148483</t>
  </si>
  <si>
    <t>Perfume Masculino Manga 100ml - Feito Com Óleo Essencial</t>
  </si>
  <si>
    <t>MLB1677148728</t>
  </si>
  <si>
    <t>Perfume Feminino Gardênia 100ml - Feito Com Óleo Essencial</t>
  </si>
  <si>
    <t>MLB1677148739</t>
  </si>
  <si>
    <t>Perfume Feminino Sálvia 100ml - Feito Com Óleo Essencial</t>
  </si>
  <si>
    <t>Campo Marca em branco: Marca não preenchida | Código universal do produto (GTIN) não preenchido (texto de exemplo do ML ainda lá): Texto de exemplo do template não foi substituído pelo código real | Documento de Notificação/Comunicação prévia na Anvisa não preenchido: Número de Notificação/Comunicação prévia na Anvisa não preenchido</t>
  </si>
  <si>
    <t>MLB1677149964</t>
  </si>
  <si>
    <t>Perfume Feminino Laranja Doce 100ml - Com Óleo Essencial</t>
  </si>
  <si>
    <t>MLB1677149966</t>
  </si>
  <si>
    <t>Perfume Feminino Dama Da Noite 100ml - Com Óleo Essencial</t>
  </si>
  <si>
    <t>MLB1677149980</t>
  </si>
  <si>
    <t>Perfume Feminino Lírios Dourados 100ml - Com Óleo Essencial</t>
  </si>
  <si>
    <t>MLB1677151871</t>
  </si>
  <si>
    <t>Perfume Masculino Eucalipto 100ml - Feito Com Óleo Essencial</t>
  </si>
  <si>
    <t>MLB1677151882</t>
  </si>
  <si>
    <t>Perfume Masculino Mirra 100ml - Feito Com Óleo Essencial</t>
  </si>
  <si>
    <t>MLB1677151891</t>
  </si>
  <si>
    <t>Perfume Feminino Cravo Flor 100ml - Feito Com Óleo Essencial</t>
  </si>
  <si>
    <t>MLB1677152251</t>
  </si>
  <si>
    <t>Perfume Feminino Magnólia 100ml - Feito Com Óleo Essencial</t>
  </si>
  <si>
    <t>MLB1677153653</t>
  </si>
  <si>
    <t>Perfume Feminino Notas De Alecrim 100ml - Com Óleo Essencial</t>
  </si>
  <si>
    <t>MLB1677153668</t>
  </si>
  <si>
    <t>Perfume Feminino Rosa Branca 100ml - Com Óleo Essencial</t>
  </si>
  <si>
    <t>MLB1677153674</t>
  </si>
  <si>
    <t>Perfume Masculino Madeira Nobre 100ml - Com Óleo Essencial</t>
  </si>
  <si>
    <t>MLB1678116374</t>
  </si>
  <si>
    <t>Perfume Especiado Com Óleo Essencial De Manjericão - 100ml</t>
  </si>
  <si>
    <t>MLB1678116394</t>
  </si>
  <si>
    <t>Perfume Com Óleo Essencial De Almíscar - 100ml</t>
  </si>
  <si>
    <t>Campo Marca em branco; Documento de Notificação/Comunicação prévia na Anvisa não preenchido; País de origem diferente de "Brasil"</t>
  </si>
  <si>
    <t>Campo Marca em branco: Marca não preenchida | País de origem diferente de "Brasil": País de origem = "(vazio)", deveria ser "Brasil" | Documento de Notificação/Comunicação prévia na Anvisa não preenchido: Número de Notificação/Comunicação prévia na Anvisa não preenchido</t>
  </si>
  <si>
    <t>MLB1678117529</t>
  </si>
  <si>
    <t>Perfume Floral Com Óleo Essencial De Flor De Jasmim - 100ml</t>
  </si>
  <si>
    <t>Campo Marca em branco; Código universal do produto (GTIN) não preenchido (texto de exemplo do ML ainda lá); Documento de Notificação/Comunicação prévia na Anvisa não preenchido; País de origem diferente de "Brasil"</t>
  </si>
  <si>
    <t>Campo Marca em branco: Marca não preenchida | Código universal do produto (GTIN) não preenchido (texto de exemplo do ML ainda lá): Texto de exemplo do template não foi substituído pelo código real | País de origem diferente de "Brasil": País de origem = "(vazio)", deveria ser "Brasil" | Documento de Notificação/Comunicação prévia na Anvisa não preenchido: Número de Notificação/Comunicação prévia na Anvisa não preenchido</t>
  </si>
  <si>
    <t>MLB1678117535</t>
  </si>
  <si>
    <t>Perfume Floral Com Óleo Essencial De Flor Angélica - 100ml</t>
  </si>
  <si>
    <t>MLB1678117536</t>
  </si>
  <si>
    <t>Perfume Floral Com Óleo Essencial De Lírios Dourados - 100ml</t>
  </si>
  <si>
    <t>MLB1678119663</t>
  </si>
  <si>
    <t>Perfume Floral Com Óleo Essencial De Gardênia - 100ml</t>
  </si>
  <si>
    <t>MLB1678124206</t>
  </si>
  <si>
    <t>Perfume Floral Com Óleo Essencial De Lilás - 100ml</t>
  </si>
  <si>
    <t>MLB1678124208</t>
  </si>
  <si>
    <t>Perfume Floral Com Óleo Essencial De Flor De Maçã - 100ml</t>
  </si>
  <si>
    <t>MLB1678124209</t>
  </si>
  <si>
    <t>Perfume Floral Com Óleo Essencial De Camomila Suave - 100ml</t>
  </si>
  <si>
    <t>MLB1678124213</t>
  </si>
  <si>
    <t>Perfume Floral Com Óleo Essencial De Aloés - 100ml</t>
  </si>
  <si>
    <t>MLB1678124227</t>
  </si>
  <si>
    <t>Perfume Floral Com Óleo Essencial De Flor De Lótus - 100ml</t>
  </si>
  <si>
    <t>MLB1678124242</t>
  </si>
  <si>
    <t>Perfume Floral Com Óleo Essencial De Magnólia - 100ml</t>
  </si>
  <si>
    <t>MLB1678124246</t>
  </si>
  <si>
    <t>Perfume Floral Com Óleo Essencial De Palmarosa - 100ml</t>
  </si>
  <si>
    <t>MLB1782912795</t>
  </si>
  <si>
    <t>Perfume Golf Black 60ml - Masculino - Golf Polo Club</t>
  </si>
  <si>
    <t>MLB1786345430</t>
  </si>
  <si>
    <t>Perfume Ibiza 60ml - Masculino - Coleção Espanha</t>
  </si>
  <si>
    <t>MLB1786371163</t>
  </si>
  <si>
    <t>Perfume Del Mar 60ml - Masculino - Refrescante</t>
  </si>
  <si>
    <t>MLB1823620662</t>
  </si>
  <si>
    <t>Perfume Dolce Vita Men 100ml - Masculino</t>
  </si>
  <si>
    <t>MLB1865403280</t>
  </si>
  <si>
    <t>Perfume Au Liban 100ml - Óleos Amadeirados Do Oriente Médio</t>
  </si>
  <si>
    <t>MLB1953134132</t>
  </si>
  <si>
    <t>Perfume Alphamale 100ml Masculino - Com Feromônio</t>
  </si>
  <si>
    <t>MLB1956075506</t>
  </si>
  <si>
    <t>Perfume Sicily Nobile 70ml - Óleos Essen. Cítricos Italianos</t>
  </si>
  <si>
    <t>MLB1958023812</t>
  </si>
  <si>
    <t>Perfume Roll On Patchouli 10ml - Masculino</t>
  </si>
  <si>
    <t>MLB1958045923</t>
  </si>
  <si>
    <t>Perfume Roll On Jasmim 10ml - Feminino Floral</t>
  </si>
  <si>
    <t>MLB1958048061</t>
  </si>
  <si>
    <t>Kit 3 Perfumes Roll On Dama Da Noite, Jasmim E Lírios - 10ml</t>
  </si>
  <si>
    <t>MLB1958053714</t>
  </si>
  <si>
    <t>Perfume Roll On Almíscar Selvagem 10ml - Masculino</t>
  </si>
  <si>
    <t>MLB1958104781</t>
  </si>
  <si>
    <t>Perfume Roll On Lírios 10ml - Feminino Floral</t>
  </si>
  <si>
    <t>MLB1963631776</t>
  </si>
  <si>
    <t>Perfume Melaleuca 100ml - Feminino - Natural Oferta</t>
  </si>
  <si>
    <t>MLB1987725945</t>
  </si>
  <si>
    <t>Perfume Dama Da Noite 100ml  Extrait De Parfum 40% Óleos</t>
  </si>
  <si>
    <t>MLB1987725947</t>
  </si>
  <si>
    <t>Perfume Açafrão Absolu  100ml - Extrait De Parfum 40% Óleos</t>
  </si>
  <si>
    <t>MLB1987725948</t>
  </si>
  <si>
    <t>Perfume Lemongrass Absolu 100ml - Extrait De Parfum 40% Óleo</t>
  </si>
  <si>
    <t>MLB1987725950</t>
  </si>
  <si>
    <t>Perfume Alfazema Elixir 100ml  Extrait De Parfum 40% Óleos</t>
  </si>
  <si>
    <t>MLB1987725952</t>
  </si>
  <si>
    <t>Perfume Laranja Amarga Absolu 100ml - Extrait De Parfum</t>
  </si>
  <si>
    <t>MLB1987725953</t>
  </si>
  <si>
    <t>Perfume Girassol Absolu 100ml - Extrait De Parfum 40% Óleos</t>
  </si>
  <si>
    <t>MLB1987725957</t>
  </si>
  <si>
    <t>Perfume Verbena Elixir 100ml  Extrait De Parfum 40% Óleos</t>
  </si>
  <si>
    <t>MLB1987725962</t>
  </si>
  <si>
    <t>Perfume Cítrico Absolu 100ml - Extrait De Parfum 40% Óleos</t>
  </si>
  <si>
    <t>MLB1987725965</t>
  </si>
  <si>
    <t>Perfume Aloés Elixir 100ml  Extrait De Parfum 40% Óleos</t>
  </si>
  <si>
    <t>MLB1987725968</t>
  </si>
  <si>
    <t>Perfume Pau Rosa Elixir 100ml  Extrait De Parfum 40% Óleos</t>
  </si>
  <si>
    <t>MLB1987725969</t>
  </si>
  <si>
    <t>Perfume Benjoim Absolu 100ml - Extrait De Parfum 40% Óleos</t>
  </si>
  <si>
    <t>MLB1987725970</t>
  </si>
  <si>
    <t>Perfume Flor De Artemísia 100ml  Extrait De Parfum 40% Óleo</t>
  </si>
  <si>
    <t>MLB1987725973</t>
  </si>
  <si>
    <t>Perfume Ylang Ylang Absolu 100ml -extrait De Parfum 40% Óleo</t>
  </si>
  <si>
    <t>MLB1987725974</t>
  </si>
  <si>
    <t>Perfume Flor De Maçã Elixir 100ml  Extrait De Parfum Floral</t>
  </si>
  <si>
    <t>MLB1987725977</t>
  </si>
  <si>
    <t>Perfume Lilás Elixir 100ml  Extrait De Parfum 40% Óleos</t>
  </si>
  <si>
    <t>MLB1987725978</t>
  </si>
  <si>
    <t>Perfume Baunilha Elixir 100ml  Extrait De Parfum 40% Óleos</t>
  </si>
  <si>
    <t>MLB1987730293</t>
  </si>
  <si>
    <t>Perfume Flor De Jasmim Elixir 100ml  Extrait De Parfum</t>
  </si>
  <si>
    <t>MLB1987730298</t>
  </si>
  <si>
    <t>Perfume Alecrim Elixir 100ml  Extrait De Parfum 40% Óleos</t>
  </si>
  <si>
    <t>MLB1987730303</t>
  </si>
  <si>
    <t>Perfume Petitgrain Elixir 100ml Extrait De Parfum 40% Óleos</t>
  </si>
  <si>
    <t>MLB1987730304</t>
  </si>
  <si>
    <t>Perfume Cravo Flor Elixir 100ml  Extrait De Parfum 40% Óleo</t>
  </si>
  <si>
    <t>MLB1987730319</t>
  </si>
  <si>
    <t>Perfume Flor De Laranjeira Absolu 100ml - Extrait De Parfum</t>
  </si>
  <si>
    <t>MLB1987730321</t>
  </si>
  <si>
    <t>Perfume Lírios Elixir 100ml  Extrait De Parfum 40% Óleos</t>
  </si>
  <si>
    <t>MLB1987730327</t>
  </si>
  <si>
    <t>Perfume Bergamota Absolu 100ml - Extrait De Parfum 40% Óleos</t>
  </si>
  <si>
    <t>MLB1987730332</t>
  </si>
  <si>
    <t>Perfume Manjerona Absolu 100ml - Extrait De Parfum 40% Óleos</t>
  </si>
  <si>
    <t>MLB1987730337</t>
  </si>
  <si>
    <t>Perfume Rosa Branca Elixir 100ml  Extrait De Parfum Floral</t>
  </si>
  <si>
    <t>MLB1987730338</t>
  </si>
  <si>
    <t>Perfume Grapefruit Absolu 100ml - Extrait De Parfum 40% Óleo</t>
  </si>
  <si>
    <t>MLB1987730343</t>
  </si>
  <si>
    <t>Perfume Laranja Doce Elixir 100ml  Extrait De Parfum</t>
  </si>
  <si>
    <t>MLB1987730348</t>
  </si>
  <si>
    <t>Perfume Anis Elixir 100ml Extrait De Parfum 40% Óleo Floral</t>
  </si>
  <si>
    <t>MLB1987730354</t>
  </si>
  <si>
    <t>Perfume Lavanda Elixir 100ml  Extrait De Parfum 40% Óleos</t>
  </si>
  <si>
    <t>MLB1987730360</t>
  </si>
  <si>
    <t>Perfume Gerânio Elixir 100ml  Extrait De Parfum 40% Óleos</t>
  </si>
  <si>
    <t>MLB1987730365</t>
  </si>
  <si>
    <t>Perfume Flor Angélica Elixir 100ml  Extrait De Parfum</t>
  </si>
  <si>
    <t>MLB1987730371</t>
  </si>
  <si>
    <t>Perfume Limão Siciliano Absolu 100ml - Extrait De Parfum</t>
  </si>
  <si>
    <t>MLB1987730376</t>
  </si>
  <si>
    <t>Perfume Flor De Lótus Elixir 100ml Extrait De Parfum Floral</t>
  </si>
  <si>
    <t>MLB1987730377</t>
  </si>
  <si>
    <t>Perfume Erva Cidreira Elixir 100ml Extrait De Parfum Herbal</t>
  </si>
  <si>
    <t>Ano de lançamento preenchido (deveria ficar em branco): Ano de lançamento preenchido ("2024") - regra do negócio é deixar em branco | Documento de Notificação/Comunicação prévia na Anvisa não preenchido: Número de Notificação/Comunicação prévia na Anvisa não preenchido</t>
  </si>
  <si>
    <t>MLB1987730381</t>
  </si>
  <si>
    <t>Perfume Acácia Elixir 100ml  Extrait De Parfum 40% Óleos</t>
  </si>
  <si>
    <t>MLB1987730383</t>
  </si>
  <si>
    <t>Perfume Hortelã Absolu 100ml - Extrait De Parfum 40% Óleos</t>
  </si>
  <si>
    <t>MLB1987732740</t>
  </si>
  <si>
    <t>Perfume Canela Absolu 100ml - Extrait De Parfum 40% Óleos</t>
  </si>
  <si>
    <t>MLB1987732755</t>
  </si>
  <si>
    <t>Perfume Gardênia Elixir 100ml  Extrait De Parfum 40% Óleos</t>
  </si>
  <si>
    <t>MLB1987732756</t>
  </si>
  <si>
    <t>Perfume Tangerina Absolu 100ml - Extrait De Parfum 40% Óleos</t>
  </si>
  <si>
    <t>MLB1987732758</t>
  </si>
  <si>
    <t>Perfume Violeta Elixir 100ml  Extrait De Parfum 40% Óleos</t>
  </si>
  <si>
    <t>MLB1987732760</t>
  </si>
  <si>
    <t>Perfume Cedro Absolu 100ml - Extrait De Parfum 40% Óleos</t>
  </si>
  <si>
    <t>MLB1987732765</t>
  </si>
  <si>
    <t>Perfume Cálamo Absolu 100ml - Extrait De Parfum 40% Óleos</t>
  </si>
  <si>
    <t>MLB1987732766</t>
  </si>
  <si>
    <t>Perfume Menta Absolu  100ml - Extrait De Parfum 40% Óleos</t>
  </si>
  <si>
    <t>MLB1987732768</t>
  </si>
  <si>
    <t>Perfume Magnólia Elixir 100ml  Extrait De Parfum 40% Óleos</t>
  </si>
  <si>
    <t>MLB1987732771</t>
  </si>
  <si>
    <t>Perfume Rosas Vermelhas Elixir 100ml  Extrait De Parfum</t>
  </si>
  <si>
    <t>MLB1987736141</t>
  </si>
  <si>
    <t>Perfume Camomila Elixir 100ml  Extrait De Parfum 40% Óleos</t>
  </si>
  <si>
    <t>MLB1987736152</t>
  </si>
  <si>
    <t>Perfume Cravo Absolu 100ml - Extrait De Parfum 40% Óleos</t>
  </si>
  <si>
    <t>MLB1987736182</t>
  </si>
  <si>
    <t>Perfume Palmarosa Elixir 100ml  Extrait De Parfum 40% Óleos</t>
  </si>
  <si>
    <t>MLB1987736185</t>
  </si>
  <si>
    <t>Perfume Lima-limão 100ml  Extrait De Parfum 40% Óleos</t>
  </si>
  <si>
    <t>MLB2009102122</t>
  </si>
  <si>
    <t>Perfume Feminino Jasmin Imperial 60ml - Floral</t>
  </si>
  <si>
    <t>MLB2009144257</t>
  </si>
  <si>
    <t>Perfume Feminino Lírio Do Vale 60ml - Floral</t>
  </si>
  <si>
    <t>MLB2009169911</t>
  </si>
  <si>
    <t>Perfume Feminino Lótus Royal 60ml - Floral</t>
  </si>
  <si>
    <t>MLB2009194907</t>
  </si>
  <si>
    <t>Perfume Feminino Jasmin Imperial 60ml + Brinco Brilhante</t>
  </si>
  <si>
    <t>MLB2009206208</t>
  </si>
  <si>
    <t>Perfume Feminino D'italia 60ml - Cítrico +  Brinco Brilhante</t>
  </si>
  <si>
    <t>MLB2009230410</t>
  </si>
  <si>
    <t>Perfume Blend Feminino Rosas 60ml + Brinco Brilhante</t>
  </si>
  <si>
    <t>MLB2009306313</t>
  </si>
  <si>
    <t>Perfume Blend Feminino Rosas 60ml + Brinco Pérola</t>
  </si>
  <si>
    <t>MLB2009316466</t>
  </si>
  <si>
    <t>Perfume Feminino D'italia 60ml + Brinco Pérola</t>
  </si>
  <si>
    <t>MLB2009335869</t>
  </si>
  <si>
    <t>Perfume Feminino Jasmin Imperial 60ml + Brinco Pérola</t>
  </si>
  <si>
    <t>MLB2026560122</t>
  </si>
  <si>
    <t>Perfume Almíscar Noir 100ml + Mini Perfume 10ml</t>
  </si>
  <si>
    <t>MLB2053916441</t>
  </si>
  <si>
    <t>Perfume Mariner 100ml - Essência Importada + Óleo Essencial</t>
  </si>
  <si>
    <t>MLB2053935836</t>
  </si>
  <si>
    <t>Perfume Hero 100ml - Essência Importada + Óleo Essencial</t>
  </si>
  <si>
    <t>MLB2078199184</t>
  </si>
  <si>
    <t>Perfume Feminino Monalisa 100ml - Floral Amadeirado Intenso</t>
  </si>
  <si>
    <t>MLB2102905908</t>
  </si>
  <si>
    <t>Perfume Minotauro 100ml - Masculino + Mini Perfume 10ml</t>
  </si>
  <si>
    <t>MLB2112749759</t>
  </si>
  <si>
    <t>Perfume Floral Jasmine Natural Feminino 30ml</t>
  </si>
  <si>
    <t>MLB2112754958</t>
  </si>
  <si>
    <t>Perfume Flowers Feminino Natural Floral 30ml</t>
  </si>
  <si>
    <t>MLB2112779818</t>
  </si>
  <si>
    <t>Perfume Feminino Natural Afrodite Floral Frutal 30ml</t>
  </si>
  <si>
    <t>MLB2112829778</t>
  </si>
  <si>
    <t>Perfume Luna Rossa Feminino Natural Floral 30ml</t>
  </si>
  <si>
    <t>MLB2112841833</t>
  </si>
  <si>
    <t>Perfume Liberty Floral (doce) Feminino Natural 30ml</t>
  </si>
  <si>
    <t>MLB2112844245</t>
  </si>
  <si>
    <t>Perfume Minotauro 100ml - Masculino</t>
  </si>
  <si>
    <t>MLB2112849534</t>
  </si>
  <si>
    <t>Perfume Roses Clássico Feminino Floral Natural 30ml</t>
  </si>
  <si>
    <t>MLB2123319368</t>
  </si>
  <si>
    <t>Perfume Masculino Amber 100ml</t>
  </si>
  <si>
    <t>MLB2123319369</t>
  </si>
  <si>
    <t>Perfume Masculino Pinho Da Sibéria 100ml</t>
  </si>
  <si>
    <t>MLB2123332106</t>
  </si>
  <si>
    <t>Perfume Masculino Oud Madeira 100ml</t>
  </si>
  <si>
    <t>MLB2123351443</t>
  </si>
  <si>
    <t>Perfume Masculino Spartacus 100ml</t>
  </si>
  <si>
    <t>MLB2123364018</t>
  </si>
  <si>
    <t>Perfume Masculino Sândalo 100ml</t>
  </si>
  <si>
    <t>MLB2123370347</t>
  </si>
  <si>
    <t>Perfume Masculino Madeira E Pimenta 100ml</t>
  </si>
  <si>
    <t>MLB2123370348</t>
  </si>
  <si>
    <t>Perfume Masculino Cipreste Da Toscana 100ml</t>
  </si>
  <si>
    <t>MLB2123370351</t>
  </si>
  <si>
    <t>Perfume Masculino - Sultan 100ml</t>
  </si>
  <si>
    <t>MLB2123387489</t>
  </si>
  <si>
    <t>Perfume Masculino Cítrico Di Capri 100ml</t>
  </si>
  <si>
    <t>MLB2125878701</t>
  </si>
  <si>
    <t>Kit Perfume Afrodite 100ml + Bolsa Elegante (ed Limitada)</t>
  </si>
  <si>
    <t>MLB2125918100</t>
  </si>
  <si>
    <t>Kit Perfume Patchouli Feminino 100ml + Bolsa (ed Limitada)</t>
  </si>
  <si>
    <t>MLB2128820129</t>
  </si>
  <si>
    <t>Kit Perfume Mariner 100ml + Boné Marinheiro</t>
  </si>
  <si>
    <t>MLB2134854595</t>
  </si>
  <si>
    <t xml:space="preserve">Perfume Tabac Patchouli Masculino 100ml </t>
  </si>
  <si>
    <t>MLB2151275251</t>
  </si>
  <si>
    <t>Perfume Masculino Melaleuca Da Austrália 100ml</t>
  </si>
  <si>
    <t>MLB2151281156</t>
  </si>
  <si>
    <t>Perfume Feminino Erva Doce Da Espanha 100ml</t>
  </si>
  <si>
    <t>MLB2151281991</t>
  </si>
  <si>
    <t>Perfume Masculino Pau Rosa Da China 100ml</t>
  </si>
  <si>
    <t>MLB2151287163</t>
  </si>
  <si>
    <t>Perfume Feminino Artemísia Do Marrocos 100ml</t>
  </si>
  <si>
    <t>MLB2151307288</t>
  </si>
  <si>
    <t>Perfume Feminino Gerânio Do Egito 100ml</t>
  </si>
  <si>
    <t>MLB2151312509</t>
  </si>
  <si>
    <t>Perfume Masculino Anis Da China 100ml</t>
  </si>
  <si>
    <t>MLB2151319285</t>
  </si>
  <si>
    <t>Perfume Masculino Copaíba Da Amazônia 100ml</t>
  </si>
  <si>
    <t>MLB2151324789</t>
  </si>
  <si>
    <t>Perfume Masculino Alecrim Do Marrocos 100ml</t>
  </si>
  <si>
    <t>MLB2151332252</t>
  </si>
  <si>
    <t>Perfume Masculino Menta Da Índia 100ml</t>
  </si>
  <si>
    <t>MLB2151348112</t>
  </si>
  <si>
    <t>Perfume Masculino Petitgrain Do Paraguai 100ml</t>
  </si>
  <si>
    <t>MLB2151386856</t>
  </si>
  <si>
    <t>Perfume Masculino Pimenta Do Brasil 100ml</t>
  </si>
  <si>
    <t>MLB2167570829</t>
  </si>
  <si>
    <t>Perfume Pimenta 26 - 100ml Vegano E Cruelty Free</t>
  </si>
  <si>
    <t>MLB2185114018</t>
  </si>
  <si>
    <t>Kit Perfumes Anos 70 Masculinos - Patchouli + Almíscar 100ml</t>
  </si>
  <si>
    <t>MLB2185240407</t>
  </si>
  <si>
    <t>Kit Perfume Masculino Patchouli 100ml + Essência D Patchouli</t>
  </si>
  <si>
    <t>MLB2185391396</t>
  </si>
  <si>
    <t>Kit Perfume Feminino Flor De Angélica 100ml + Essência Casa</t>
  </si>
  <si>
    <t>MLB2185413204</t>
  </si>
  <si>
    <t xml:space="preserve">Kit Perfume Feminino Flor Angélica 100ml + Difusor P/ Casa </t>
  </si>
  <si>
    <t>MLB2185448297</t>
  </si>
  <si>
    <t>Kit Perfume Masculino Patchouli 100ml + Difusor Casa 100ml</t>
  </si>
  <si>
    <t>MLB2185748042</t>
  </si>
  <si>
    <t>Kit Perfume Feminino Patchouli 100ml + Difusor P/ Casa 100ml</t>
  </si>
  <si>
    <t>MLB2186765437</t>
  </si>
  <si>
    <t>Profumo 288 - Feminino 65ml Cedro, Rosa, Dama Da Noite</t>
  </si>
  <si>
    <t>MLB2186765449</t>
  </si>
  <si>
    <t>Profumo 064 - Feminino 65ml Baunilha, Pimenta, Violeta</t>
  </si>
  <si>
    <t>MLB2186771277</t>
  </si>
  <si>
    <t>Profumo 954 - Unissex 65ml Aldeídos, Âmbar, Almíscar</t>
  </si>
  <si>
    <t>MLB2186771279</t>
  </si>
  <si>
    <t>Profumo 970 - Masculino 65ml Almíscar, Lavanda, Tabaco</t>
  </si>
  <si>
    <t>MLB2186776993</t>
  </si>
  <si>
    <t>Profumo 092 - Feminino 65ml Almíscar, Néroli, Toranja</t>
  </si>
  <si>
    <t>MLB2186787971</t>
  </si>
  <si>
    <t>Profumo 047 - Feminino 65ml Jacinto, Nectarina, Bergamota</t>
  </si>
  <si>
    <t>MLB2186787994</t>
  </si>
  <si>
    <t>Profumo 272 - Feminino 65ml Chocolate, Patchouli, Avelã</t>
  </si>
  <si>
    <t>MLB2186794320</t>
  </si>
  <si>
    <t>Profumo 058 - Feminino 65ml Rosa, Baunilha, Tangerina</t>
  </si>
  <si>
    <t>MLB2186799649</t>
  </si>
  <si>
    <t>Profumo 014 - Feminino 65ml Sândalo, Baunilha, Pêssego</t>
  </si>
  <si>
    <t>MLB2186805858</t>
  </si>
  <si>
    <t>Profumo 117 - Feminino 65ml Jasmim, Almíscar, Dama Da Noite</t>
  </si>
  <si>
    <t>MLB2186811551</t>
  </si>
  <si>
    <t>Profumo 082 - Feminino 65ml Cedro, Bambu, Dama Da Noite</t>
  </si>
  <si>
    <t>MLB2186811570</t>
  </si>
  <si>
    <t>Profumo 027 - Feminino 65ml Peônia, Lírio Do Vale, Bergamota</t>
  </si>
  <si>
    <t>MLB2199592138</t>
  </si>
  <si>
    <t>Perfume Masculino Patchouli 100ml + Dark Tabac 30ml Ed Espec</t>
  </si>
  <si>
    <t>MLB2199629618</t>
  </si>
  <si>
    <t xml:space="preserve">Kit 2 Perfumes Masculinos - Amadeirado + Refrescante 100 Ml </t>
  </si>
  <si>
    <t>MLB2200168788</t>
  </si>
  <si>
    <t>Perfume Platinum 100ml - Masculino Elegante Top Melhor 2022</t>
  </si>
  <si>
    <t>MLB2200168880</t>
  </si>
  <si>
    <t xml:space="preserve">Perfume Blue Ocean 100ml - Masculino Aquático Refrescante </t>
  </si>
  <si>
    <t>MLB2200227358</t>
  </si>
  <si>
    <t>Perfume Dark Code 100ml - Amadeirado Intenso Top Masculino</t>
  </si>
  <si>
    <t>Ano de lançamento preenchido (deveria ficar em branco): Ano de lançamento preenchido ("2022") - regra do negócio é deixar em branco | Documento de Notificação/Comunicação prévia na Anvisa não preenchido: Número de Notificação/Comunicação prévia na Anvisa não preenchido</t>
  </si>
  <si>
    <t>MLB2200424572</t>
  </si>
  <si>
    <t>Perfume Fresh Frutal 100ml Feminino - Fresco, Jovem, Alegre</t>
  </si>
  <si>
    <t>MLB2200431047</t>
  </si>
  <si>
    <t>Perfume Opium De Chine 100ml - Feminino Oriental Luxo</t>
  </si>
  <si>
    <t>MLB2200436574</t>
  </si>
  <si>
    <t xml:space="preserve">Perfume Blue Marine 100ml - Top Masculino Aquático 2022 </t>
  </si>
  <si>
    <t>MLB2200442169</t>
  </si>
  <si>
    <t>Perfume Earth 100ml - Melhor Amadeirado Masculino 2022 Top</t>
  </si>
  <si>
    <t>MLB2200476160</t>
  </si>
  <si>
    <t>Perfume Flowers 100ml - Feminino Sofisticado- Cheiro De Rica</t>
  </si>
  <si>
    <t>MLB2207480812</t>
  </si>
  <si>
    <t>Perfume Com Ferômonios Night 100ml - Masculino</t>
  </si>
  <si>
    <t>MLB2207480813</t>
  </si>
  <si>
    <t>Perfume Com Ferômonios Pure Instinct 100ml - Masculino</t>
  </si>
  <si>
    <t>MLB2207480970</t>
  </si>
  <si>
    <t>Perfume Com Ferômonios Pure Instinct 100ml - Feminino</t>
  </si>
  <si>
    <t>MLB2207499165</t>
  </si>
  <si>
    <t>Perfume Com Ferômonios Poseidon 100ml - Masculino</t>
  </si>
  <si>
    <t>MLB2207505401</t>
  </si>
  <si>
    <t>Perfume Com Ferômonios Marcopolo 100ml - Masculino</t>
  </si>
  <si>
    <t>MLB2207505405</t>
  </si>
  <si>
    <t>Perfume Com Ferômonios Attraction 100ml - Masculino</t>
  </si>
  <si>
    <t>MLB2207505578</t>
  </si>
  <si>
    <t>Perfume Com Ferômonios Seduction 100ml - Masculino</t>
  </si>
  <si>
    <t>MLB2207505580</t>
  </si>
  <si>
    <t>Perfume Com Ferômonios Seduction 100ml - Feminino</t>
  </si>
  <si>
    <t>MLB2207511702</t>
  </si>
  <si>
    <t>Perfume Com Ferômonios Men Noir 100ml - Masculino</t>
  </si>
  <si>
    <t>MLB2207518020</t>
  </si>
  <si>
    <t>Perfume Com Ferômonios Nefertiti 100ml - Feminino</t>
  </si>
  <si>
    <t>MLB2207528687</t>
  </si>
  <si>
    <t>Perfume Com Ferômonios Arabian 100ml - Feminino</t>
  </si>
  <si>
    <t>MLB2217223584</t>
  </si>
  <si>
    <t>Perfume Masculino Ferômonios Night 10ml - Roll On</t>
  </si>
  <si>
    <t>MLB2217254548</t>
  </si>
  <si>
    <t>Perfume Masculino Ferômonios Seduction 10ml - Roll On</t>
  </si>
  <si>
    <t>MLB2217266779</t>
  </si>
  <si>
    <t>Perfume Feminino Ferômonios Nefertiti 10ml - Roll On</t>
  </si>
  <si>
    <t>MLB2217273211</t>
  </si>
  <si>
    <t>Perfume Masculino Feromônios Pure Instinct 10ml - Roll On</t>
  </si>
  <si>
    <t>MLB2217290858</t>
  </si>
  <si>
    <t>Perfume Feminino Ferômonios Night 10ml - Roll On</t>
  </si>
  <si>
    <t>MLB2217297284</t>
  </si>
  <si>
    <t>Perfume Masculino Ferômonios Marcopolo 10ml - Roll On</t>
  </si>
  <si>
    <t>MLB2605951042</t>
  </si>
  <si>
    <t>Perfume Feminino Eden Jardim 100ml + Jasmine 30ml</t>
  </si>
  <si>
    <t>MLB2607067111</t>
  </si>
  <si>
    <t>Perfume Eden Jardim 100ml + Colar Em Prata De Lei 925</t>
  </si>
  <si>
    <t>MLB2607067113</t>
  </si>
  <si>
    <t>Perfume Dama Da Noite 100ml + Colar Em Prata De Lei 925</t>
  </si>
  <si>
    <t>MLB2607089555</t>
  </si>
  <si>
    <t>Perfume Eden Jardim 100ml + Colar Ponto D Luz Banhado A Ouro</t>
  </si>
  <si>
    <t>MLB2607139623</t>
  </si>
  <si>
    <t>Perfume Dama Da Noite 100ml +colar Ponto De Luz Banhado Ouro</t>
  </si>
  <si>
    <t>MLB2720752871</t>
  </si>
  <si>
    <t>Kit De 2 Perfumes 100ml - Almíscar Selvagem + Oceanus</t>
  </si>
  <si>
    <t>MLB2720752872</t>
  </si>
  <si>
    <t>Kit De 2 Perfumes 100ml - Eros + Thor</t>
  </si>
  <si>
    <t>MLB2720759490</t>
  </si>
  <si>
    <t>Kit Perfumes Dama Da Noite + Afrodite + Brinco 4mm</t>
  </si>
  <si>
    <t>MLB2720801698</t>
  </si>
  <si>
    <t>Kit De 2 Perfumes 100ml - Patchouli + Dark Tabac</t>
  </si>
  <si>
    <t>MLB2720812285</t>
  </si>
  <si>
    <t>Kit De 2 Perfumes 100ml - Almíscar Selvagem + Dark Tabac</t>
  </si>
  <si>
    <t>MLB2720824963</t>
  </si>
  <si>
    <t>Kit Perfumes Dama Da Noite + Jasmim + Brinco 4mm</t>
  </si>
  <si>
    <t>MLB2754723186</t>
  </si>
  <si>
    <t>Kit Perfume Patchouli Fem. 100ml + Manteiga De Karité 60gr</t>
  </si>
  <si>
    <t>MLB2754742365</t>
  </si>
  <si>
    <t>Kit Perfume Dama Da Noite 100ml + Manteiga De Karité 60gr</t>
  </si>
  <si>
    <t>MLB2781565562</t>
  </si>
  <si>
    <t>Perfume Masculino Almíscar Selvagem 100ml + Terre 30ml</t>
  </si>
  <si>
    <t>MLB2781565567</t>
  </si>
  <si>
    <t>Perfume Feminino Dama Da Noite 100ml + Opium De Chine 30ml</t>
  </si>
  <si>
    <t>MLB2781565571</t>
  </si>
  <si>
    <t>Perfume Feminino Opium De Chine 100ml + Madame Paris 30ml</t>
  </si>
  <si>
    <t>MLB2781565581</t>
  </si>
  <si>
    <t>Perfume Feminino Nefertiti + Brinco Prata Estrela</t>
  </si>
  <si>
    <t>MLB2781565583</t>
  </si>
  <si>
    <t>Perfume Masculino Patchouli 100ml + Terre 30ml</t>
  </si>
  <si>
    <t>MLB2781571457</t>
  </si>
  <si>
    <t>Perfume Masculino Madeira Do Oriente 100ml + Terre 30ml</t>
  </si>
  <si>
    <t>MLB2781576945</t>
  </si>
  <si>
    <t>Perfume Madeira Do Oriente 100ml + Cítricos D'italia 30ml</t>
  </si>
  <si>
    <t>MLB2781576956</t>
  </si>
  <si>
    <t>Perfume Feminino Dama Da Noite 100ml + Afrodite 30ml</t>
  </si>
  <si>
    <t>MLB2781595460</t>
  </si>
  <si>
    <t>Perfume Feminino Dama Da Noite + Brinco Prata Coração</t>
  </si>
  <si>
    <t>MLB2781620038</t>
  </si>
  <si>
    <t>Perfume Feminino Dama Da Noite + Brinco Prata Pérola</t>
  </si>
  <si>
    <t>MLB2781620055</t>
  </si>
  <si>
    <t>Perfume Feminino Nefertiti + Brinco Prata Ponto De Luz 6mm</t>
  </si>
  <si>
    <t>MLB2781625904</t>
  </si>
  <si>
    <t>Perfume Feminino Dama Da Noite 100ml + Madame Paris 30ml</t>
  </si>
  <si>
    <t>MLB2781625905</t>
  </si>
  <si>
    <t>Perfume Feminino Blasé + Brinco Prata Pérola</t>
  </si>
  <si>
    <t>Ano de lançamento preenchido (deveria ficar em branco): Ano de lançamento preenchido ("2023") - regra do negócio é deixar em branco | Documento de Notificação/Comunicação prévia na Anvisa não preenchido: Número de Notificação/Comunicação prévia na Anvisa não preenchido</t>
  </si>
  <si>
    <t>MLB2838706860</t>
  </si>
  <si>
    <t>Perfume Opium De Chine Oriental - 10ml - Roll On</t>
  </si>
  <si>
    <t>MLB2857361746</t>
  </si>
  <si>
    <t>Perfume Gerânio &amp; Ylang Ylang 10ml - Roll On Feminino</t>
  </si>
  <si>
    <t>MLB2857361748</t>
  </si>
  <si>
    <t>Perfume Verbena &amp; Limão Siciliano 10ml - Roll On Feminino</t>
  </si>
  <si>
    <t>MLB2857367912</t>
  </si>
  <si>
    <t>Perfume Lavanda &amp; Ylang Ylang 10ml - Roll On Feminino</t>
  </si>
  <si>
    <t>MLB2857367916</t>
  </si>
  <si>
    <t>Perfume Cravo Da Índia &amp; Canela 10ml - Roll On Masculino</t>
  </si>
  <si>
    <t>MLB2857367917</t>
  </si>
  <si>
    <t>Perfume Patchouli &amp; Canela 10ml - Roll On Masculino</t>
  </si>
  <si>
    <t>MLB2857367918</t>
  </si>
  <si>
    <t>Perfume Feminino Pau Rosa &amp; Ylang Ylang 10ml - Roll On</t>
  </si>
  <si>
    <t>MLB2857380924</t>
  </si>
  <si>
    <t>Perfume Baunilha &amp; Limão Siciliano 10ml - Roll On Feminino</t>
  </si>
  <si>
    <t>MLB2857380925</t>
  </si>
  <si>
    <t>Perfume Anis &amp; Flor De Laranjeira 10ml - Roll On Masculino</t>
  </si>
  <si>
    <t>MLB2857394066</t>
  </si>
  <si>
    <t>Perfume Masculino Alecrim &amp; Limão Siciliano 10ml - Roll On</t>
  </si>
  <si>
    <t>MLB2857394069</t>
  </si>
  <si>
    <t>Perfume Patchouli &amp; Madeira Nobre 10ml - Roll On Masculino</t>
  </si>
  <si>
    <t>MLB2857394070</t>
  </si>
  <si>
    <t>Perfume Baunilha &amp; Ylang Ylang 10ml - Roll On Feminino</t>
  </si>
  <si>
    <t>MLB2857394071</t>
  </si>
  <si>
    <t>Perfume Dama Da Noite &amp; Alfazema 10ml - Roll On Feminino</t>
  </si>
  <si>
    <t>MLB2857394072</t>
  </si>
  <si>
    <t>Perfume Cravo Da Índia &amp; Canela 10ml - Roll On Feminino</t>
  </si>
  <si>
    <t>MLB2857394075</t>
  </si>
  <si>
    <t>Perfume Patchouli &amp; Ylang Ylang 10ml - Roll On Feminino</t>
  </si>
  <si>
    <t>MLB2857400367</t>
  </si>
  <si>
    <t>Perfume Verbena &amp; Ylang Ylang 10ml - Roll On Feminino</t>
  </si>
  <si>
    <t>MLB2857400369</t>
  </si>
  <si>
    <t>Perfume Lavanda &amp; Cedro 10ml - Roll On Feminino</t>
  </si>
  <si>
    <t>MLB2857406814</t>
  </si>
  <si>
    <t>Perfume Cedro &amp; Limão Siciliano 10ml - Roll On Feminino</t>
  </si>
  <si>
    <t>MLB2857413218</t>
  </si>
  <si>
    <t>Perfume Limão Siciliano &amp; Canela 10ml - Roll On Masculino</t>
  </si>
  <si>
    <t>MLB2857413219</t>
  </si>
  <si>
    <t>Perfume Baunilha &amp; Canela 10ml Feminino</t>
  </si>
  <si>
    <t>MLB2897253401</t>
  </si>
  <si>
    <t>Perfume Patchouli Roll On 10ml- Masculino</t>
  </si>
  <si>
    <t>MLB2897253532</t>
  </si>
  <si>
    <t>Kit Perfume Thor 100ml + Roll On 10ml - Masculino</t>
  </si>
  <si>
    <t>MLB2897282022</t>
  </si>
  <si>
    <t>Perfume Dama Da Noite Roll On 10ml- Feminino</t>
  </si>
  <si>
    <t>MLB3249099935</t>
  </si>
  <si>
    <t>Água Floral De Goiaba 200ml - Puro E Natural</t>
  </si>
  <si>
    <t>MLB3251312641</t>
  </si>
  <si>
    <t>Perfume Feminino Gardênia Natural 10ml Roll On</t>
  </si>
  <si>
    <t>MLB3251312643</t>
  </si>
  <si>
    <t>Perfume Masculino Cravo Intenso Natural 10ml Roll On</t>
  </si>
  <si>
    <t>MLB3251312651</t>
  </si>
  <si>
    <t>Perfume Masculino Ylang Ylang Natural 10ml Roll On</t>
  </si>
  <si>
    <t>MLB3251325293</t>
  </si>
  <si>
    <t>Perfume Feminino Flor De Artemísia Natural 10ml Roll On</t>
  </si>
  <si>
    <t>MLB3251336773</t>
  </si>
  <si>
    <t>Perfume Masculino Menta Adventure Natural 10ml Roll On</t>
  </si>
  <si>
    <t>MLB3251348159</t>
  </si>
  <si>
    <t>Perfume Masculino Tangerina Natural 10ml Roll On</t>
  </si>
  <si>
    <t>MLB3251348179</t>
  </si>
  <si>
    <t>Perfume Feminino Pau Rosa Natural 10ml Roll On</t>
  </si>
  <si>
    <t>MLB3251348181</t>
  </si>
  <si>
    <t>Perfume Masculino Olíbano Natural 10ml Roll On</t>
  </si>
  <si>
    <t>MLB3251348183</t>
  </si>
  <si>
    <t>Perfume Masculino Cipreste Natural 10ml Roll On</t>
  </si>
  <si>
    <t>MLB3274515088</t>
  </si>
  <si>
    <t>Água Floral Alegria Frutal 120ml - Goiaba</t>
  </si>
  <si>
    <t>MLB3274576188</t>
  </si>
  <si>
    <t>Água Floral De Pitanga 200ml - Puro E Natural</t>
  </si>
  <si>
    <t>MLB3282840052</t>
  </si>
  <si>
    <t>Perfume Feminino Alfazema Natural 10ml Roll On</t>
  </si>
  <si>
    <t>MLB3282850270</t>
  </si>
  <si>
    <t>Perfume Masculino Cálamo Natural 10ml Roll On</t>
  </si>
  <si>
    <t>MLB3282850274</t>
  </si>
  <si>
    <t>Perfume Feminino Erva Doce Natural 10ml Roll On</t>
  </si>
  <si>
    <t>MLB3282850276</t>
  </si>
  <si>
    <t>Perfume Masculino Lemongrass Natural 10ml Roll On</t>
  </si>
  <si>
    <t>MLB3282913678</t>
  </si>
  <si>
    <t>Perfume Feminino Acácia Natural 10ml Roll On</t>
  </si>
  <si>
    <t>MLB3283144136</t>
  </si>
  <si>
    <t>Perfume Feminino Verbena Natural 10ml Roll On</t>
  </si>
  <si>
    <t>MLB3283144140</t>
  </si>
  <si>
    <t>Perfume Masculino Benjoim Natural 10ml Roll On</t>
  </si>
  <si>
    <t>MLB3283297312</t>
  </si>
  <si>
    <t>Perfume Masculino Manjerona Natural 10ml Roll On</t>
  </si>
  <si>
    <t>MLB3283297318</t>
  </si>
  <si>
    <t>Perfume Feminino Anis Natural 10ml Roll On</t>
  </si>
  <si>
    <t>MLB3283310316</t>
  </si>
  <si>
    <t>Perfume Feminino Flor De Angélica Natural 10ml Roll On</t>
  </si>
  <si>
    <t>MLB3283310322</t>
  </si>
  <si>
    <t>Perfume Masculino Hortelã Natural 10ml Roll On</t>
  </si>
  <si>
    <t>MLB3283310324</t>
  </si>
  <si>
    <t>Perfume Feminino Flor De Lótus Natural 10ml Roll On</t>
  </si>
  <si>
    <t>MLB3283310332</t>
  </si>
  <si>
    <t>Perfume Masculino Manjericão Natural 10ml Roll On</t>
  </si>
  <si>
    <t>MLB3288481613</t>
  </si>
  <si>
    <t>Perfume Deep Blue Feminino 100ml - Extrait De Parfum</t>
  </si>
  <si>
    <t>MLB3288502349</t>
  </si>
  <si>
    <t>Perfume Deep Wood Feminino 100ml - Extrait De Parfum</t>
  </si>
  <si>
    <t>MLB3288502353</t>
  </si>
  <si>
    <t>Perfume Deep Blue Masculino 100ml - Extrait De Parfum</t>
  </si>
  <si>
    <t>MLB3432493733</t>
  </si>
  <si>
    <t>Kit 3 Perfumes Roll On 10ml - Citrus E Ervas Masculinos</t>
  </si>
  <si>
    <t>MLB3432504753</t>
  </si>
  <si>
    <t>Kit 3 Perfumes Roll On 10ml - Frescor Natural Masculino</t>
  </si>
  <si>
    <t>MLB3432504755</t>
  </si>
  <si>
    <t>Kit 3 Perfumes Spray 10ml - Fragrância Frutada Para Homens</t>
  </si>
  <si>
    <t>MLB3432504761</t>
  </si>
  <si>
    <t>Kit 3 Perfumes Roll On 10ml Feminino - Floral Doce Delicado</t>
  </si>
  <si>
    <t>MLB3432531515</t>
  </si>
  <si>
    <t>Kit 3 Perfumes Roll On 10ml Feminino Notas Verdes Charmosas</t>
  </si>
  <si>
    <t>MLB3432543981</t>
  </si>
  <si>
    <t>Kit 3 Perfumes Roll On 10ml Feminino - Cítrico E Refrescante</t>
  </si>
  <si>
    <t>MLB3432556547</t>
  </si>
  <si>
    <t>Kit 3 Perfumes Spray 10ml Feminino - Notas Verdes Charmosas</t>
  </si>
  <si>
    <t>MLB3432567421</t>
  </si>
  <si>
    <t>Kit 3 Perfumes Roll On 10ml - Notas Terrosas Para Ele</t>
  </si>
  <si>
    <t>MLB3432567425</t>
  </si>
  <si>
    <t>Kit 3 Perfumes Spray 10ml - Notas Terrosas Para Ele</t>
  </si>
  <si>
    <t>MLB3432567443</t>
  </si>
  <si>
    <t>Kit 3 Perfumes Spray 10ml - Frescor Natural Masculino</t>
  </si>
  <si>
    <t>MLB3432579293</t>
  </si>
  <si>
    <t>Kit 3 Perfumes Spray 10ml Feminino - Cítrico E Refrescante</t>
  </si>
  <si>
    <t>MLB3432579295</t>
  </si>
  <si>
    <t>Kit 3 Perfumes Roll On 10ml - Florais Marcantes Masculinos</t>
  </si>
  <si>
    <t>MLB3432579297</t>
  </si>
  <si>
    <t>Kit 3 Perfumes Spray 10ml - Citrus E Ervas Masculinos</t>
  </si>
  <si>
    <t>MLB3446609885</t>
  </si>
  <si>
    <t>Kit Perfume Almíscar Selvagem 100ml + Spray Portátil 10ml</t>
  </si>
  <si>
    <t>MLB3446609887</t>
  </si>
  <si>
    <t>Perfume Attraction Masculino - Spray Portátil 10ml</t>
  </si>
  <si>
    <t>MLB3446609891</t>
  </si>
  <si>
    <t>Perfume Patchouli Masculino - Spray Portátil 10ml</t>
  </si>
  <si>
    <t>MLB3446622349</t>
  </si>
  <si>
    <t>Perfume Poseidon Masculino - Spray Portátil 10ml</t>
  </si>
  <si>
    <t>MLB3446622357</t>
  </si>
  <si>
    <t>Perfume Patchouli Sport Masculino 100ml - Energia Ativa</t>
  </si>
  <si>
    <t>MLB3446635421</t>
  </si>
  <si>
    <t>Perfume Dama Da Noite Feminino - Spray Portátil 10ml</t>
  </si>
  <si>
    <t>MLB3446647973</t>
  </si>
  <si>
    <t>Perfume Patchouli Noir Masculino 100ml - Sedução Intensa</t>
  </si>
  <si>
    <t>MLB3446660265</t>
  </si>
  <si>
    <t>Perfume Dark Tabac Masculino - Spray Portátil 10ml</t>
  </si>
  <si>
    <t>MLB3446672545</t>
  </si>
  <si>
    <t>Perfume Arabian Masculino - Spray Portátil 10ml</t>
  </si>
  <si>
    <t>MLB3446684601</t>
  </si>
  <si>
    <t>Kit Perfume Arabian 100ml Masculino + Spray Portátil 10ml</t>
  </si>
  <si>
    <t>MLB3446684603</t>
  </si>
  <si>
    <t>Kit Perfume Attraction 100ml Masculino + Spray Portátil 10ml</t>
  </si>
  <si>
    <t>MLB3446684609</t>
  </si>
  <si>
    <t>Kit Perfume Poseidon 100ml Masculino + Spray Portátil 10ml</t>
  </si>
  <si>
    <t>MLB3446684613</t>
  </si>
  <si>
    <t>Perfume Eros Masculino - Spray Portátil 10ml</t>
  </si>
  <si>
    <t>MLB3454846153</t>
  </si>
  <si>
    <t>Perfume Patchouli Forest Masculino 100ml - Aventura Natural</t>
  </si>
  <si>
    <t>MLB3471765130</t>
  </si>
  <si>
    <t>Perfume Deep Wood Masculino 100ml - Extrait De Parfum</t>
  </si>
  <si>
    <t>MLB3471790114</t>
  </si>
  <si>
    <t>Perfume Deep Fire Masculino 100ml - Extrait De Parfum</t>
  </si>
  <si>
    <t>MLB3472009050</t>
  </si>
  <si>
    <t>Perfume Deep Raízes Feminino 100ml - Extrait De Parfum</t>
  </si>
  <si>
    <t>MLB3549972113</t>
  </si>
  <si>
    <t>Perfume Blend De Patchouli, Lavanda &amp; Bergamota 100ml Suave</t>
  </si>
  <si>
    <t>MLB3549983801</t>
  </si>
  <si>
    <t>Perfume Blend De Patchouli, M. Arvensis &amp; Cedro 100ml Bravo</t>
  </si>
  <si>
    <t>MLB3549983839</t>
  </si>
  <si>
    <t>Perfume Golf Blue Masculino 100ml - Fresco E Aquático</t>
  </si>
  <si>
    <t>MLB3550034543</t>
  </si>
  <si>
    <t>Perfume Blend Patchouli, Ylang-ylang &amp; Jasmim 100ml Sedutor</t>
  </si>
  <si>
    <t>MLB3550045049</t>
  </si>
  <si>
    <t>Perfume Blend De Patchouli, Cravo &amp; Canela 100ml - Quente</t>
  </si>
  <si>
    <t>MLB3573740863</t>
  </si>
  <si>
    <t>Perfume Masculino Ferômonios Essência Do Brasil 10ml Roll On</t>
  </si>
  <si>
    <t>MLB3580608463</t>
  </si>
  <si>
    <t>Kit Perfume Feminino Patchouli Com Essência Para Casa</t>
  </si>
  <si>
    <t>País de origem diferente de "Brasil": País de origem = "Importado", deveria ser "Brasil" | Documento de Notificação/Comunicação prévia na Anvisa não preenchido: Número de Notificação/Comunicação prévia na Anvisa não preenchido</t>
  </si>
  <si>
    <t>MLB3580934125</t>
  </si>
  <si>
    <t>Perfume Feminino Floral English Rose 100ml</t>
  </si>
  <si>
    <t>MLB3580950041</t>
  </si>
  <si>
    <t>Perfume Feminino Essência Do Brasil La Nuit Chipre 100ml</t>
  </si>
  <si>
    <t>MLB3580957833</t>
  </si>
  <si>
    <t>Perfume Limão Siciliano &amp; Canela 100ml Feminino</t>
  </si>
  <si>
    <t>MLB3580967453</t>
  </si>
  <si>
    <t>Perfume Deep Roses Feminino De Essência Do Brasil 100 Ml</t>
  </si>
  <si>
    <t>MLB3597322797</t>
  </si>
  <si>
    <t>Perfume Floral Feminino Essência Do Brasil 100ml Spray</t>
  </si>
  <si>
    <t>Ano de lançamento preenchido (deveria ficar em branco); Documento de Notificação/Comunicação prévia na Anvisa não preenchido; País de origem diferente de "Brasil"</t>
  </si>
  <si>
    <t>País de origem diferente de "Brasil": País de origem = "França", deveria ser "Brasil" | Ano de lançamento preenchido (deveria ficar em branco): Ano de lançamento preenchido ("1996") - regra do negócio é deixar em branco | Documento de Notificação/Comunicação prévia na Anvisa não preenchido: Número de Notificação/Comunicação prévia na Anvisa não preenchido</t>
  </si>
  <si>
    <t>Ano de lançamento preenchido (deveria ficar em branco); Documento de Notificação/Comunicação prévia na Anvisa não preenchido; Marcado como NÃO livre de crueldade - confirmar se é intencional</t>
  </si>
  <si>
    <t>Marcado como NÃO livre de crueldade - confirmar se é intencional: Único produto marcado como NÃO livre de crueldade - confirmar se é intencional ou erro de digitação | Ano de lançamento preenchido (deveria ficar em branco): Ano de lançamento preenchido ("1996") - regra do negócio é deixar em branco | Documento de Notificação/Comunicação prévia na Anvisa não preenchido: Número de Notificação/Comunicação prévia na Anvisa não preenchido</t>
  </si>
  <si>
    <t>MLB3715730341</t>
  </si>
  <si>
    <t>Deo Colônia Patchouli Essência Do Brasil Vegana, 100 Ml</t>
  </si>
  <si>
    <t>MLB3787053581</t>
  </si>
  <si>
    <t>Perfume Mol 06 - Feminino - Extrait De Parfum 100ml</t>
  </si>
  <si>
    <t>MLB3787094067</t>
  </si>
  <si>
    <t>Perfume Mol 08 - Feminino - Extrait De Parfum 100ml</t>
  </si>
  <si>
    <t>MLB3787103989</t>
  </si>
  <si>
    <t>Perfume Mol 05 - Masculino - Extrait De Parfum 100ml</t>
  </si>
  <si>
    <t>MLB3787104211</t>
  </si>
  <si>
    <t>Perfume Mol 07 - Masculino - Extrait De Parfum 100ml</t>
  </si>
  <si>
    <t>MLB3787116785</t>
  </si>
  <si>
    <t>Perfume Mol 10 - Feminino - Extrait De Parfum 100ml</t>
  </si>
  <si>
    <t>MLB3787155113</t>
  </si>
  <si>
    <t>Perfume Mol 03 - Masculino - Extrait De Parfum 100ml</t>
  </si>
  <si>
    <t>MLB3787155429</t>
  </si>
  <si>
    <t>Perfume Mol 04 - Feminino - Extrait De Parfum 100ml</t>
  </si>
  <si>
    <t>MLB3881345961</t>
  </si>
  <si>
    <t>Perfume Eucalipto Refrescante Masculino 100ml Natural Vegano</t>
  </si>
  <si>
    <t>MLB3881345963</t>
  </si>
  <si>
    <t>Perfume Alecrim Imperial Feminino 100ml - Natural E Vegano</t>
  </si>
  <si>
    <t>MLB3881358099</t>
  </si>
  <si>
    <t>Perfume Wintergreen Refrescante Mulher 100ml Natural Vegano</t>
  </si>
  <si>
    <t>MLB3881358101</t>
  </si>
  <si>
    <t>Perfume Grapefruit Vibrante Feminino 100ml Natural E Vegano</t>
  </si>
  <si>
    <t>MLB3881358103</t>
  </si>
  <si>
    <t>Perfume Olíbano Sagrado Masculino 100ml - Natural E Vegano</t>
  </si>
  <si>
    <t>MLB3881358107</t>
  </si>
  <si>
    <t>Perfume Basilicão Masculino 100ml - Natural E Vegano</t>
  </si>
  <si>
    <t>MLB3881358109</t>
  </si>
  <si>
    <t>Perfume Louro Nobre Romano Masculino 100ml Natural E Vegano</t>
  </si>
  <si>
    <t>MLB3881371025</t>
  </si>
  <si>
    <t>Perfume Hortelã Brava Refrescante Masculino 100ml - Natural</t>
  </si>
  <si>
    <t>MLB3881371027</t>
  </si>
  <si>
    <t>Perfume Ho Wood Elegante Masculino 100ml - Natural E Vegano</t>
  </si>
  <si>
    <t>MLB3881371031</t>
  </si>
  <si>
    <t>Perfume Lavandim Energia Feminino 100ml - Natural E Vegano</t>
  </si>
  <si>
    <t>MLB3881371035</t>
  </si>
  <si>
    <t>Perfume Grapefruit Vibrante Masculino 100ml Natural E Vegano</t>
  </si>
  <si>
    <t>MLB3881383917</t>
  </si>
  <si>
    <t>Perfume Patchouli Dark Misterioso Masculino 100ml - Natural</t>
  </si>
  <si>
    <t>MLB3881383919</t>
  </si>
  <si>
    <t>Perfume Patchouli Dark Misterioso Feminino 100ml - Natural</t>
  </si>
  <si>
    <t>MLB3881383921</t>
  </si>
  <si>
    <t>Perfume Laranja Doce Brilhante Feminino 100ml Natural Vegano</t>
  </si>
  <si>
    <t>MLB3881396953</t>
  </si>
  <si>
    <t>Perfume Menta Refrescante Masculino 100ml - Natural E Vegano</t>
  </si>
  <si>
    <t>MLB3881396955</t>
  </si>
  <si>
    <t>Perfume Capim Limão Masculino 100ml - Natural E Vegano</t>
  </si>
  <si>
    <t>MLB3881409887</t>
  </si>
  <si>
    <t>Perfume Bergamota Da Itália Masculino 100ml Natural E Vegano</t>
  </si>
  <si>
    <t>MLB3881409891</t>
  </si>
  <si>
    <t>Perfume Tangerina Radiante Masculino 100ml Natural E Vegano</t>
  </si>
  <si>
    <t>MLB3881409897</t>
  </si>
  <si>
    <t>Perfume Lavanda Da França Masculino 100ml - Natural E Vegano</t>
  </si>
  <si>
    <t>MLB3881422505</t>
  </si>
  <si>
    <t>Perfume Ylang Ylang Exuberante Feminino 100ml Natural Vegano</t>
  </si>
  <si>
    <t>MLB3881422509</t>
  </si>
  <si>
    <t>Perfume Lavanda Da França Feminino 100ml - Natural E Vegano</t>
  </si>
  <si>
    <t>MLB3881422511</t>
  </si>
  <si>
    <t>Perfume Laranja Amarga Solar Masculino 100ml Natural Vegano</t>
  </si>
  <si>
    <t>MLB3881435373</t>
  </si>
  <si>
    <t>Perfume Orégano Gourmand Masculino 100ml - Natural E Vegano</t>
  </si>
  <si>
    <t>MLB3881435375</t>
  </si>
  <si>
    <t>Perfume Copaíba Amazônica Masculino 100ml - Natural E Vegano</t>
  </si>
  <si>
    <t>MLB3881435377</t>
  </si>
  <si>
    <t>Perfume Alecrim Imperial Masculino 100ml - Natural E Vegano</t>
  </si>
  <si>
    <t>MLB3881435379</t>
  </si>
  <si>
    <t>Perfume Limão Siciliano Radiante Feminino 100ml - Natural</t>
  </si>
  <si>
    <t>MLB3881441027</t>
  </si>
  <si>
    <t>Perfume Gerânio Elegante Masculino 100ml - Natural E Vegano</t>
  </si>
  <si>
    <t>MLB3881441031</t>
  </si>
  <si>
    <t>Perfume Anis Estrelado Feminino 100ml - Natural E Vegano</t>
  </si>
  <si>
    <t>MLB3881441033</t>
  </si>
  <si>
    <t>Perfume Sálvia Infinita Feminino 100ml - Natural E Vegano</t>
  </si>
  <si>
    <t>MLB3881441035</t>
  </si>
  <si>
    <t>Perfume Lavandim Energia Masculino 100ml - Natural E Vegano</t>
  </si>
  <si>
    <t>MLB3881441041</t>
  </si>
  <si>
    <t>Perfume Petitgrain Vibrante Feminino 100ml Natural E Vegano</t>
  </si>
  <si>
    <t>MLB3881453901</t>
  </si>
  <si>
    <t>Perfume Funcho Doce Delicado Feminino 100ml Natural E Vegano</t>
  </si>
  <si>
    <t>MLB3881453907</t>
  </si>
  <si>
    <t>Perfume Ylang Ylang Exuberante Homem 100ml Natural E Vegano</t>
  </si>
  <si>
    <t>MLB3894254121</t>
  </si>
  <si>
    <t>Perfume Feminino Essência Do Brasil Jasmim &amp; Sálvia 100ml</t>
  </si>
  <si>
    <t>MLB3894264607</t>
  </si>
  <si>
    <t>Perfume Lavanda &amp; Madeira Nobre 100ml Masculino</t>
  </si>
  <si>
    <t>MLB3894304827</t>
  </si>
  <si>
    <t>Perfume Bergamota &amp; Capim Limão 100ml Masculino</t>
  </si>
  <si>
    <t>MLB3894305829</t>
  </si>
  <si>
    <t>Perfume Dama Da Noite &amp; Palmarosa 100ml Feminino</t>
  </si>
  <si>
    <t>País de origem diferente de "Brasil": País de origem = "América", deveria ser "Brasil" | Documento de Notificação/Comunicação prévia na Anvisa não preenchido: Número de Notificação/Comunicação prévia na Anvisa não preenchido</t>
  </si>
  <si>
    <t>MLB3894317393</t>
  </si>
  <si>
    <t>Perfume Masculino Cedro &amp; Grapefruit 100ml + Mini 10ml</t>
  </si>
  <si>
    <t>MLB3906464111</t>
  </si>
  <si>
    <t>Perfume Masculino Canela &amp; Mirra 100ml + Mini 10ml</t>
  </si>
  <si>
    <t>MLB3906467727</t>
  </si>
  <si>
    <t>Perfume Masculino Grapefruit &amp; Mirra 100ml + Mini 10ml</t>
  </si>
  <si>
    <t>MLB3917483095</t>
  </si>
  <si>
    <t>Perfume Masculino Verbena &amp; Benjoim 100ml + Mini 10ml</t>
  </si>
  <si>
    <t>MLB3917554891</t>
  </si>
  <si>
    <t>Perfume Cedro &amp; Olíbano 100ml Feminino</t>
  </si>
  <si>
    <t>MLB3917567627</t>
  </si>
  <si>
    <t>Perfume Essência Do Brasil Lavanda &amp; Verbena 100ml Floral</t>
  </si>
  <si>
    <t>MLB3917579597</t>
  </si>
  <si>
    <t>Perfume Feminino Baunilha E Laranja Doce C/ Mini De 10ml</t>
  </si>
  <si>
    <t>MLB3927871647</t>
  </si>
  <si>
    <t>Perfume Feminino Cedro &amp; Menta 100ml + Mini 10ml</t>
  </si>
  <si>
    <t>MLB3931879873</t>
  </si>
  <si>
    <t>Perfume Masculino Alfazema &amp; Manjerona 100ml + Mini 10ml</t>
  </si>
  <si>
    <t>MLB3931905087</t>
  </si>
  <si>
    <t>Perfume Masculino Verbena E Lemongrass 100ml + Mini Perfume</t>
  </si>
  <si>
    <t>MLB3931943909</t>
  </si>
  <si>
    <t>Perfume Feminino Canela &amp; Olíbano 100ml + Mini 10ml</t>
  </si>
  <si>
    <t>MLB3947154963</t>
  </si>
  <si>
    <t>Perfume Masculino Lemongrass &amp; Eucalipto 100ml + Mini 10ml</t>
  </si>
  <si>
    <t>MLB3947155109</t>
  </si>
  <si>
    <t>Perfume Lemongrass &amp; Olíbano 100ml Masculino</t>
  </si>
  <si>
    <t>MLB3947155383</t>
  </si>
  <si>
    <t>Perfume Alfazema &amp; Erva Doce 100ml + Mini Essência Do Brasil</t>
  </si>
  <si>
    <t>MLB3950205511</t>
  </si>
  <si>
    <t>Perfume Spray Patchouli Dark Misterioso Homem 10ml Natural</t>
  </si>
  <si>
    <t>MLB3950205513</t>
  </si>
  <si>
    <t>Perfume Spray Sálvia Infinita Feminino 10ml Natural Vegano</t>
  </si>
  <si>
    <t>MLB3950205515</t>
  </si>
  <si>
    <t>Perfume Spray Gerânio Elegante Masculino 10ml Natural Vegano</t>
  </si>
  <si>
    <t>MLB3950205517</t>
  </si>
  <si>
    <t>Perfume Spray Ylang Ylang Exuberante Feminino 10ml Natural</t>
  </si>
  <si>
    <t>MLB3950205521</t>
  </si>
  <si>
    <t>Perfume Spray May Chang Da China Mulher 10ml Natural Vegano</t>
  </si>
  <si>
    <t>MLB3950213331</t>
  </si>
  <si>
    <t>Perfume Spray Laranja Amarga Solar Masculino 10ml Natural</t>
  </si>
  <si>
    <t>MLB3950213333</t>
  </si>
  <si>
    <t>Perfume Spray Orégano Gourmand Masculino 10ml Natural Vegano</t>
  </si>
  <si>
    <t>MLB3950213335</t>
  </si>
  <si>
    <t>Perfume Spray Eucalipto Refrescante Masculino 10ml Natural</t>
  </si>
  <si>
    <t>MLB3950213337</t>
  </si>
  <si>
    <t>Perfume Spray Cipreste Imperial Masculino 10ml - Natural</t>
  </si>
  <si>
    <t>MLB3950213339</t>
  </si>
  <si>
    <t>Perfume Spray Louro Nobre Romano Homem 10ml Natural Vegano</t>
  </si>
  <si>
    <t>MLB3950213341</t>
  </si>
  <si>
    <t>Perfume Spray Manjerona Herbal Masculino 10ml Natural Vegano</t>
  </si>
  <si>
    <t>MLB3950213343</t>
  </si>
  <si>
    <t>Perfume Spray Laranja Doce Brilhante Feminino 10ml Natural</t>
  </si>
  <si>
    <t>MLB3950226001</t>
  </si>
  <si>
    <t>Perfume Spray Mandarina Verde Masculino 10ml Natural Vegano</t>
  </si>
  <si>
    <t>MLB3950226007</t>
  </si>
  <si>
    <t>Perfume Spray Lavanda Da França Feminino 10ml Natural Vegano</t>
  </si>
  <si>
    <t>MLB3950238981</t>
  </si>
  <si>
    <t>Perfume Spray Tangerina Radiante Homem 10ml Natural Vegano</t>
  </si>
  <si>
    <t>MLB3950238983</t>
  </si>
  <si>
    <t>Perfume Spray Petitgrain Vibrante Mulher 10ml Natural Vegano</t>
  </si>
  <si>
    <t>MLB3950238985</t>
  </si>
  <si>
    <t>Perfume Spray Grapefruit Vibrante Masculino 10ml - Natural</t>
  </si>
  <si>
    <t>MLB3950238987</t>
  </si>
  <si>
    <t>Perfume Spray Bergamota Da Itália Masculino 10ml - Natural</t>
  </si>
  <si>
    <t>MLB3950238993</t>
  </si>
  <si>
    <t>Perfume Spray Olíbano Sagrado Masculino 10ml Natural Vegano</t>
  </si>
  <si>
    <t>MLB3950264751</t>
  </si>
  <si>
    <t>Perfume Spray Laranja Amarga Solar Feminino 10ml - Natural</t>
  </si>
  <si>
    <t>MLB3950264753</t>
  </si>
  <si>
    <t>Perfume Spray Menta Refrescante Masculino 10ml - Natural</t>
  </si>
  <si>
    <t>MLB3950264755</t>
  </si>
  <si>
    <t>Perfume Spray Limão Siciliano Radiante Mulher 10ml Natural</t>
  </si>
  <si>
    <t>MLB3950264757</t>
  </si>
  <si>
    <t>Perfume Spray Ho Wood Elegante Feminino 10ml Natural Vegano</t>
  </si>
  <si>
    <t>MLB3950264759</t>
  </si>
  <si>
    <t>Perfume Spray Capim Limão Masculino 10ml - Natural E Vegano</t>
  </si>
  <si>
    <t>MLB3950264761</t>
  </si>
  <si>
    <t>Perfume Spray Anis Estrelado Feminino 10ml Natural Vegano</t>
  </si>
  <si>
    <t>MLB3950264763</t>
  </si>
  <si>
    <t>Perfume Spray Basilicão Masculino 10ml - Natural E Vegano</t>
  </si>
  <si>
    <t>MLB3950264765</t>
  </si>
  <si>
    <t>Perfume Spray Artemísia Marroquina Feminino 10ml - Natural</t>
  </si>
  <si>
    <t>MLB3950264771</t>
  </si>
  <si>
    <t>Perfume Spray Funcho Doce Delicado Feminino 10ml - Natural</t>
  </si>
  <si>
    <t>MLB3950277519</t>
  </si>
  <si>
    <t>Perfume Spray Lavandim Energia Feminino 10ml Natural Vegano</t>
  </si>
  <si>
    <t>MLB3950277525</t>
  </si>
  <si>
    <t>Perfume Spray Laranja Doce Brilhante Masculino 10ml Natural</t>
  </si>
  <si>
    <t>MLB3950277527</t>
  </si>
  <si>
    <t>Perfume Spray Lavanda Da França Masculino 10ml - Natural</t>
  </si>
  <si>
    <t>MLB3950277529</t>
  </si>
  <si>
    <t>Perfume Spray Patchouli Dark Misterioso Mulher 10ml Natural</t>
  </si>
  <si>
    <t>MLB3950290219</t>
  </si>
  <si>
    <t>Perfume Spray Lavandim Energia Masculino 10ml Natural Vegano</t>
  </si>
  <si>
    <t>MLB3950303189</t>
  </si>
  <si>
    <t>Perfume Spray Wintergreen Refrescante Mulher 10ml Natural</t>
  </si>
  <si>
    <t>MLB3950303191</t>
  </si>
  <si>
    <t>Perfume Spray Hortelã Brava Refrescante Homem 10ml Natural</t>
  </si>
  <si>
    <t>MLB3950303193</t>
  </si>
  <si>
    <t>Perfume Spray Mandarina Verde Feminino 10ml Natural Vegano</t>
  </si>
  <si>
    <t>MLB3950303195</t>
  </si>
  <si>
    <t>Perfume Spray Limão Siciliano Radiante Homem 10ml Natural</t>
  </si>
  <si>
    <t>MLB3950316051</t>
  </si>
  <si>
    <t>Perfume Spray Ylang Ylang Exuberante Masculino 10ml Natural</t>
  </si>
  <si>
    <t>MLB3950316053</t>
  </si>
  <si>
    <t>Perfume Spray Olíbano Sagrado Feminino 10ml Natural Vegano</t>
  </si>
  <si>
    <t>MLB3950316057</t>
  </si>
  <si>
    <t>Perfume Spray Copaíba Amazônica Masculino 10ml - Natural</t>
  </si>
  <si>
    <t>MLB3955131713</t>
  </si>
  <si>
    <t>Perfume Basilicão Masculino 100ml + Roll On 10ml Natural</t>
  </si>
  <si>
    <t>MLB3955131719</t>
  </si>
  <si>
    <t>Perfume Laranja Amarga Solar Feminino 100ml + Roll On 10ml</t>
  </si>
  <si>
    <t>MLB3955144703</t>
  </si>
  <si>
    <t>Perfume Ylang Ylang Exuberante Homem 100ml + Roll On 10ml</t>
  </si>
  <si>
    <t>MLB3955144707</t>
  </si>
  <si>
    <t>Perfume Ylang Ylang Exuberante Feminino 100ml + Roll On 10ml</t>
  </si>
  <si>
    <t>MLB3955194599</t>
  </si>
  <si>
    <t>Perfume Hortelã Brava Refrescante Homem 100ml + Roll On 10ml</t>
  </si>
  <si>
    <t>MLB3955194601</t>
  </si>
  <si>
    <t>Perfume Limão Siciliano Radiante Mulher 100ml + Roll On 10ml</t>
  </si>
  <si>
    <t>MLB3955194609</t>
  </si>
  <si>
    <t>Perfume Olíbano Sagrado Homem 100ml + Roll On 10ml Natural</t>
  </si>
  <si>
    <t>MLB3955194611</t>
  </si>
  <si>
    <t>Perfume Patchouli Dark Misterioso Mulher 100ml + Rollon 10ml</t>
  </si>
  <si>
    <t>MLB3955209879</t>
  </si>
  <si>
    <t>Perfume Petitgrain Vibrante Feminino 100ml + Roll On 10ml</t>
  </si>
  <si>
    <t>MLB3955220119</t>
  </si>
  <si>
    <t>Perfume Funcho Doce Delicado Feminino 100ml + Roll On 10ml</t>
  </si>
  <si>
    <t>MLB3955220123</t>
  </si>
  <si>
    <t>Perfume Louro Nobre Romano Masculino 100ml + Roll On 10ml</t>
  </si>
  <si>
    <t>MLB3955220127</t>
  </si>
  <si>
    <t>Perfume May Chang Da China Feminino 100ml + Roll On 10ml</t>
  </si>
  <si>
    <t>MLB3955231277</t>
  </si>
  <si>
    <t>Perfume Bergamota Da Itália Masculino 100ml + Roll On 10ml</t>
  </si>
  <si>
    <t>MLB3963727463</t>
  </si>
  <si>
    <t>Perfume Copaíba Amazônica Homem 100ml + Spray 10ml Natural</t>
  </si>
  <si>
    <t>MLB3963727465</t>
  </si>
  <si>
    <t>Perfume Petitgrain Vibrante Feminino 100ml + Spray 10ml</t>
  </si>
  <si>
    <t>MLB3963736771</t>
  </si>
  <si>
    <t>Perfume Limão Siciliano Radiante Feminino 100ml + Spray 10ml</t>
  </si>
  <si>
    <t>MLB3963736773</t>
  </si>
  <si>
    <t>Perfume Louro Nobre Romano Masculino 100ml + Spray 10ml</t>
  </si>
  <si>
    <t>MLB3963736775</t>
  </si>
  <si>
    <t>Perfume Grapefruit Vibrante Masculino 100ml + Spray 10ml</t>
  </si>
  <si>
    <t>MLB3963736779</t>
  </si>
  <si>
    <t>Perfume Ylang Ylang Exuberante Masculino 100ml + Spray 10ml</t>
  </si>
  <si>
    <t>MLB3963736783</t>
  </si>
  <si>
    <t>Perfume Laranja Amarga Solar Masculino 100ml + Spray 10ml</t>
  </si>
  <si>
    <t>MLB3963736791</t>
  </si>
  <si>
    <t>Perfume Wintergreen Refrescante Feminino 100ml + Spray 10ml</t>
  </si>
  <si>
    <t>MLB3963736795</t>
  </si>
  <si>
    <t>Perfume Ylang Ylang Exuberante Feminino 100ml + Spray 10ml</t>
  </si>
  <si>
    <t>MLB3963748867</t>
  </si>
  <si>
    <t>Perfume Hortelã Brava Refrescante Homem 100ml + Spray 10ml</t>
  </si>
  <si>
    <t>MLB3963748897</t>
  </si>
  <si>
    <t>Perfume May Chang Da China Mulher 100ml + Spray 10ml Natural</t>
  </si>
  <si>
    <t>MLB3963748899</t>
  </si>
  <si>
    <t>Perfume Patchouli Dark Misterioso Homem 100ml + Spray 10ml</t>
  </si>
  <si>
    <t>MLB3963748903</t>
  </si>
  <si>
    <t>Perfume Olíbano Sagrado Masculino 100ml + Spray 10ml Natural</t>
  </si>
  <si>
    <t>MLB3963748907</t>
  </si>
  <si>
    <t>Perfume Ho Wood Elegante Feminino 100ml + Spray 10ml Natural</t>
  </si>
  <si>
    <t>MLB3963761619</t>
  </si>
  <si>
    <t>Perfume Laranja Doce Brilhante Masculino 100ml + Spray 10ml</t>
  </si>
  <si>
    <t>MLB3963797605</t>
  </si>
  <si>
    <t>Perfume Basilicão Homem 100ml + Spray 10ml Natural E Vegano</t>
  </si>
  <si>
    <t>MLB3963797609</t>
  </si>
  <si>
    <t>Perfume Lavandim Energia Homem 100ml + Spray 10ml Natural</t>
  </si>
  <si>
    <t>MLB3963810415</t>
  </si>
  <si>
    <t>Perfume Eucalipto Refrescante Masculino 100ml + Spray 10ml</t>
  </si>
  <si>
    <t>MLB3963810427</t>
  </si>
  <si>
    <t>Perfume Tangerina Radiante Masculino 100ml + Spray 10ml</t>
  </si>
  <si>
    <t>MLB3963810437</t>
  </si>
  <si>
    <t>Perfume Capim Limão Masculino 100ml + Spray 10ml Natural</t>
  </si>
  <si>
    <t>MLB3963833317</t>
  </si>
  <si>
    <t>Perfume Laranja Amarga Solar Feminino 100ml + Spray 10ml</t>
  </si>
  <si>
    <t>MLB3963833327</t>
  </si>
  <si>
    <t>Perfume Ho Wood Elegante Homem 100ml + Spray 10ml Natural</t>
  </si>
  <si>
    <t>MLB3964548137</t>
  </si>
  <si>
    <t>Perfume Laranja Amarga Solar Mulher 100ml + Óleo Essencial</t>
  </si>
  <si>
    <t>MLB3964548155</t>
  </si>
  <si>
    <t>Perfume Olíbano Sagrado Mulher 100ml + Óleo Essencial 10ml</t>
  </si>
  <si>
    <t>MLB3964561115</t>
  </si>
  <si>
    <t>Perfume Wintergreen Refrescante Fem. 100ml + Óleo Essencial</t>
  </si>
  <si>
    <t>MLB3964561125</t>
  </si>
  <si>
    <t>Perfume Ylang Ylang Exuberante Homem 100ml + Óleo Essencial</t>
  </si>
  <si>
    <t>MLB3964574011</t>
  </si>
  <si>
    <t>Perfume Mandarina Verde Mulher 100ml + Óleo Essencial 10ml</t>
  </si>
  <si>
    <t>MLB3964574013</t>
  </si>
  <si>
    <t>Perfume Laranja Amarga Solar Homem 100ml + Óleo Essencial</t>
  </si>
  <si>
    <t>MLB3964574015</t>
  </si>
  <si>
    <t>Perfume Ylang Ylang Exuberante Mulher 100ml + Óleo Essencial</t>
  </si>
  <si>
    <t>MLB3964586999</t>
  </si>
  <si>
    <t>Perfume Patchouli Misterioso Homem 100ml + Óleo Essencial</t>
  </si>
  <si>
    <t>MLB3964599849</t>
  </si>
  <si>
    <t>Perfume Louro Nobre Romano Homem 100ml + Óleo Essencial 10ml</t>
  </si>
  <si>
    <t>MLB3964599853</t>
  </si>
  <si>
    <t>Perfume Artemísia Marroquina Mulher 100ml + Óleo Essencial</t>
  </si>
  <si>
    <t>MLB3964599857</t>
  </si>
  <si>
    <t>Perfume Sálvia Infinita Mulher 100ml + Óleo Essencial 10ml</t>
  </si>
  <si>
    <t>MLB3964612829</t>
  </si>
  <si>
    <t>Perfume Anis Estrelado Mulher 100ml + Óleo Essencial 10ml</t>
  </si>
  <si>
    <t>MLB3964612831</t>
  </si>
  <si>
    <t>Perfume Lavandim Energia Mulher 100ml + Óleo Essencial 10ml</t>
  </si>
  <si>
    <t>MLB3964612833</t>
  </si>
  <si>
    <t>Perfume Mandarina Verde Homem 100ml + Óleo Essencial 10ml</t>
  </si>
  <si>
    <t>MLB3964612841</t>
  </si>
  <si>
    <t>Perfume Ho Wood Elegante Mulher 100ml + Óleo Essencial 10ml</t>
  </si>
  <si>
    <t>MLB3964625799</t>
  </si>
  <si>
    <t>Perfume Olíbano Sagrado Homem 100ml + Óleo Essencial 10ml</t>
  </si>
  <si>
    <t>MLB3964625803</t>
  </si>
  <si>
    <t>Perfume Ho Wood Elegante Homem 100ml + Óleo Essencial 10ml</t>
  </si>
  <si>
    <t>MLB3964625805</t>
  </si>
  <si>
    <t>Perfume May Chang Da China Mulher 100ml + Óleo Essencial</t>
  </si>
  <si>
    <t>MLB3964638625</t>
  </si>
  <si>
    <t>Perfume Limão Siciliano Radiante Fem. 100ml + Óleo Essencial</t>
  </si>
  <si>
    <t>MLB3964638627</t>
  </si>
  <si>
    <t>Perfume Lavandim Energia Homem 100ml + Óleo Essencial 10ml</t>
  </si>
  <si>
    <t>MLB3964638631</t>
  </si>
  <si>
    <t>Perfume Tangerina Radiante Homem 100ml + Óleo Essencial 10ml</t>
  </si>
  <si>
    <t>MLB3964651605</t>
  </si>
  <si>
    <t>Perfume Laranja Doce Brilhante Mulher 100ml + Óleo Essencial</t>
  </si>
  <si>
    <t>MLB3964651607</t>
  </si>
  <si>
    <t>Perfume Laranja Doce Brilhante Homem 100ml + Óleo Essencial</t>
  </si>
  <si>
    <t>MLB3979704305</t>
  </si>
  <si>
    <t>Perfume Feminino Patchouli &amp; Laranja Amarga 100ml + Mini</t>
  </si>
  <si>
    <t>MLB3979743099</t>
  </si>
  <si>
    <t>Perfume Patchouli &amp; Noz Moscada 100ml Masculino</t>
  </si>
  <si>
    <t>MLB4001486839</t>
  </si>
  <si>
    <t>Perfume Feminino Baunilha &amp; Benjoim 100ml + Mini 10ml</t>
  </si>
  <si>
    <t>MLB4001507215</t>
  </si>
  <si>
    <t>Perfume Masculino Verbena &amp; Cedro 100ml + Mini 10ml</t>
  </si>
  <si>
    <t>MLB4006060637</t>
  </si>
  <si>
    <t>Perfume Masculino Flor De Maçã Hortelã 100ml + Mini Perfume</t>
  </si>
  <si>
    <t>MLB4015814007</t>
  </si>
  <si>
    <t>Perfume Anis &amp; Baunilha Para Homens C/ Mini Perfume De Bolso</t>
  </si>
  <si>
    <t>MLB4042878945</t>
  </si>
  <si>
    <t>Perfume Masculino Benjoim &amp; Manjerição 100ml + Mini 10ml</t>
  </si>
  <si>
    <t>MLB4042881795</t>
  </si>
  <si>
    <t>Perfume Masculino Palmarosa &amp; Mirra 100ml + Mini 10ml</t>
  </si>
  <si>
    <t>MLB4042998015</t>
  </si>
  <si>
    <t>Perfume Masculino Lemongrass &amp; Canela 100ml + Mini 10ml</t>
  </si>
  <si>
    <t>MLB4045055038</t>
  </si>
  <si>
    <t>Kit Perfume Thor 100ml Masculino + Spray Portátil 10ml</t>
  </si>
  <si>
    <t>MLB4045073114</t>
  </si>
  <si>
    <t>Kit Perfume Eros 100ml Masculino + Spray Portátil 10ml</t>
  </si>
  <si>
    <t>MLB4045073116</t>
  </si>
  <si>
    <t>Perfume Thor Masculino - Spray Portátil 10ml</t>
  </si>
  <si>
    <t>MLB4045073118</t>
  </si>
  <si>
    <t>Kit Perfume Patchouli 100ml Masculino + Spray Portátil 10ml</t>
  </si>
  <si>
    <t>MLB4051695536</t>
  </si>
  <si>
    <t>Kit Perfume Feminino - Patchouli 100ml + Volcan D'amour 30ml</t>
  </si>
  <si>
    <t>MLB4051707704</t>
  </si>
  <si>
    <t>Kit Perfume Dama Da Noite 100ml Femin. + Spray Portátil 10ml</t>
  </si>
  <si>
    <t>MLB4051718648</t>
  </si>
  <si>
    <t>Kit Perfume Masculino - Patchouli 100ml + Marcopolo 30ml</t>
  </si>
  <si>
    <t>MLB4051731098</t>
  </si>
  <si>
    <t>Kit Perfume Masculino - Patchouli 100ml + Dark Code 30ml</t>
  </si>
  <si>
    <t>MLB4051731112</t>
  </si>
  <si>
    <t>Kit Perfume Masculino - Patchouli 100ml + Golf Blue 30ml</t>
  </si>
  <si>
    <t>MLB4051769034</t>
  </si>
  <si>
    <t>Kit Perfume Patchouli Puro 100ml Masc. + Spray Portátil 10ml</t>
  </si>
  <si>
    <t>MLB4051769038</t>
  </si>
  <si>
    <t>Kit Perfume Fem. - Dama Da Noite 100ml + Volcan D'amour 30ml</t>
  </si>
  <si>
    <t>MLB4051778858</t>
  </si>
  <si>
    <t>Kit Perfume Masc. - Almíscar Selvagem 100ml + Marcopolo 30ml</t>
  </si>
  <si>
    <t>MLB4074195625</t>
  </si>
  <si>
    <t>Kit Perfume Masculino Almíscar Selvagem 100ml + Oceanus 50ml</t>
  </si>
  <si>
    <t>MLB4074208543</t>
  </si>
  <si>
    <t>Kit Perfume Masculino Patchouli 100ml + Golf Black 50ml</t>
  </si>
  <si>
    <t>MLB4074233447</t>
  </si>
  <si>
    <t>Kit Perfume Masculino Oceanus 100ml + Seduction 50ml</t>
  </si>
  <si>
    <t>MLB4074245533</t>
  </si>
  <si>
    <t>Kit Perfume Masculino Dark Code 100ml + Dark Tabac 50ml</t>
  </si>
  <si>
    <t>MLB4074245535</t>
  </si>
  <si>
    <t>Kit Perfume Masculino Oceanus 100ml + Golf Black 50ml</t>
  </si>
  <si>
    <t>MLB4074245539</t>
  </si>
  <si>
    <t>Kit Perfume Masc. Almíscar Selvagem 100ml + Dark Tabac 50ml</t>
  </si>
  <si>
    <t>MLB4074794843</t>
  </si>
  <si>
    <t>Kit Perfume Feminino Attraction 100ml + Flor De Jasmim 50ml</t>
  </si>
  <si>
    <t>MLB4074794845</t>
  </si>
  <si>
    <t>Kit Perfume Fem. Opium De Chine 100ml + Flor De Jasmim 50ml</t>
  </si>
  <si>
    <t>MLB4074807683</t>
  </si>
  <si>
    <t>Kit Perfume Fem. Pure Instinct 100ml + Dama Da Noite 50ml</t>
  </si>
  <si>
    <t>MLB4074807685</t>
  </si>
  <si>
    <t>Kit Perfume Feminino Volcan D'amour 100ml + Afrodite 50ml</t>
  </si>
  <si>
    <t>MLB4074820385</t>
  </si>
  <si>
    <t>Kit Perfume Fem. Flor De Jasmim 100ml + Dama Da Noite 50ml</t>
  </si>
  <si>
    <t>MLB4074820391</t>
  </si>
  <si>
    <t>Kit Perfume Feminino Afrodite 100ml + Opium De Chine 50ml</t>
  </si>
  <si>
    <t>MLB4074846065</t>
  </si>
  <si>
    <t>Kit Perfume Fem. Dama Da Noite 100ml + Opium De Chine 50ml</t>
  </si>
  <si>
    <t>MLB4074846073</t>
  </si>
  <si>
    <t>Kit Perfume Fem. Volcan D'amour 100ml + Opium De Chine 50ml</t>
  </si>
  <si>
    <t>MLB4074854765</t>
  </si>
  <si>
    <t>Kit Perfume Feminino Opium De Chine 100ml + Afrodite 50ml</t>
  </si>
  <si>
    <t>MLB4074854767</t>
  </si>
  <si>
    <t>Kit Perfume Feminino Attraction 100ml + Afrodite 50ml</t>
  </si>
  <si>
    <t>MLB4074880039</t>
  </si>
  <si>
    <t>Kit Perfume Feminino Pure Instinct 100ml + Afrodite 50ml</t>
  </si>
  <si>
    <t>MLB4074880041</t>
  </si>
  <si>
    <t>Kit Perfume Fem. Volcan D'amour 100ml + Flor De Jasmim 50ml</t>
  </si>
  <si>
    <t>MLB4074880047</t>
  </si>
  <si>
    <t>Kit Perfume Feminino Dama Da Noite 100ml + Afrodite 50ml</t>
  </si>
  <si>
    <t>MLB4074892811</t>
  </si>
  <si>
    <t>Kit Perfume Fem. Volcan D'amour 100ml + Dama Da Noite 50ml</t>
  </si>
  <si>
    <t>MLB4074918635</t>
  </si>
  <si>
    <t>Kit Perfume Fem. Pure Instinct 100ml + Flor De Jasmim 50ml</t>
  </si>
  <si>
    <t>MLB4156133847</t>
  </si>
  <si>
    <t>Perfume Essência Do Brasil Benjoin 14 Amadeirado 100ml</t>
  </si>
  <si>
    <t>MLB4156133963</t>
  </si>
  <si>
    <t>Perfume Essência Do Brasil Pimenta Do Brasil Masculino 100ml</t>
  </si>
  <si>
    <t>MLB4161398676</t>
  </si>
  <si>
    <t>Perfume Dama Da Noite Feminino 10ml Spray Essência Do Brasil</t>
  </si>
  <si>
    <t>MLB4217362688</t>
  </si>
  <si>
    <t>Perfume Natural Masculino Cipreste Essência Do Brasil 100 Ml</t>
  </si>
  <si>
    <t>MLB4315945622</t>
  </si>
  <si>
    <t>Perfume Blend De Patchouli, Grapefruit &amp; Laranja 100ml Enjoy</t>
  </si>
  <si>
    <t>MLB4315945664</t>
  </si>
  <si>
    <t>Perfume Blend Patchouli, Eucalipto &amp; Hortelã Pimenta 100ml</t>
  </si>
  <si>
    <t>MLB4331612393</t>
  </si>
  <si>
    <t>Perfume Golf Black 50ml - Masculino - Golf Polo Club</t>
  </si>
  <si>
    <t>MLB4364465342</t>
  </si>
  <si>
    <t>Kit Perfume - Patchouli Clássico + Patchouli Coffee 100ml</t>
  </si>
  <si>
    <t>MLB4364465346</t>
  </si>
  <si>
    <t>Kit Perfume - Patchouli Forest + Patchouli Sport 100ml</t>
  </si>
  <si>
    <t>MLB4364465348</t>
  </si>
  <si>
    <t>Kit Perfume Masculino - Patchouli Pimenta + Arabian 100ml</t>
  </si>
  <si>
    <t>MLB4364465376</t>
  </si>
  <si>
    <t>Kit Perfume Masculino - Almíscar Selvagem + Attar 100ml</t>
  </si>
  <si>
    <t>MLB4364465378</t>
  </si>
  <si>
    <t>Kit Perfume - Almíscar Selvagem + Patchouli Nomad 100ml</t>
  </si>
  <si>
    <t>MLB4364465380</t>
  </si>
  <si>
    <t>Kit Perfume Masculino - Arabian + Eros 100ml</t>
  </si>
  <si>
    <t>MLB4364478290</t>
  </si>
  <si>
    <t>Kit Perfume - Patchouli Clássico + Patchouli Nomad 100ml</t>
  </si>
  <si>
    <t>MLB4364478292</t>
  </si>
  <si>
    <t>Kit Perfume - Patchouli Dark + Almíscar Selvagem 100ml</t>
  </si>
  <si>
    <t>MLB4364478316</t>
  </si>
  <si>
    <t>Kit Perfume - Patchouli Clássico + Patchouli Timeless 100ml</t>
  </si>
  <si>
    <t>MLB4364478330</t>
  </si>
  <si>
    <t>Kit Perfume - Patchouli Clássico + Patchouli Dark 100ml</t>
  </si>
  <si>
    <t>MLB4364503710</t>
  </si>
  <si>
    <t>Kit Perfume Masculino - Almíscar Selvagem + Arabian 100ml</t>
  </si>
  <si>
    <t>MLB4364503714</t>
  </si>
  <si>
    <t>Kit Perfume - Patchouli Nomad + Patchouli Coffee 100ml</t>
  </si>
  <si>
    <t>MLB4364516442</t>
  </si>
  <si>
    <t>Kit Perfume - Patchouli Pimenta + Almíscar Selvagem 100ml</t>
  </si>
  <si>
    <t>MLB4364516464</t>
  </si>
  <si>
    <t>Kit Perfume - Patchouli Timeless + Almíscar Selvagem 100ml</t>
  </si>
  <si>
    <t>MLB4364529380</t>
  </si>
  <si>
    <t>Kit Perfume - Patchouli Pimenta + Patchouli Sport 100ml</t>
  </si>
  <si>
    <t>MLB4364542374</t>
  </si>
  <si>
    <t>Kit Perfume - Patchouli Timeless + Patchouli Sport 100ml</t>
  </si>
  <si>
    <t>MLB4364581532</t>
  </si>
  <si>
    <t>Kit Perfume - Patchouli Sport + Almíscar Selvagem 100ml</t>
  </si>
  <si>
    <t>MLB4364581534</t>
  </si>
  <si>
    <t>Kit Perfume Masculino - Arabian + Patchouli Ocean 100ml</t>
  </si>
  <si>
    <t>MLB4364606976</t>
  </si>
  <si>
    <t>Kit Perfume - Patchouli Timeless + Patchouli Nomad 100ml</t>
  </si>
  <si>
    <t>MLB4364606978</t>
  </si>
  <si>
    <t>Kit Perfume Masculino - Patchouli Pimenta + Eros 100ml</t>
  </si>
  <si>
    <t>MLB4364606980</t>
  </si>
  <si>
    <t>Kit Perfume Masculino - Almíscar Selvagem + Eros 100ml</t>
  </si>
  <si>
    <t>MLB4364606992</t>
  </si>
  <si>
    <t>Kit Perfume Masculino - Attar + Arabian 100ml</t>
  </si>
  <si>
    <t>MLB4364606996</t>
  </si>
  <si>
    <t>Kit Perfume Masculino - Patchouli Nomad + Eros 100ml</t>
  </si>
  <si>
    <t>MLB4364658516</t>
  </si>
  <si>
    <t>Kit Perfume - Patchouli Timeless + Patchouli Ocean 100ml</t>
  </si>
  <si>
    <t>MLB4364658526</t>
  </si>
  <si>
    <t>Kit Perfume Masculino - Patchouli Clássico + Eros 100ml</t>
  </si>
  <si>
    <t>MLB4364658528</t>
  </si>
  <si>
    <t>Kit Perfume Masculino - Patchouli Clássico + Attar 100ml</t>
  </si>
  <si>
    <t>MLB4364658532</t>
  </si>
  <si>
    <t>Kit Perfume Masculino - Patchouli Ocean + Eros 100ml</t>
  </si>
  <si>
    <t>MLB4404247680</t>
  </si>
  <si>
    <t>Perfume Amadeirado Cedro 17 Essência Do Brasil 60ml Vegano</t>
  </si>
  <si>
    <t>MLB4404252868</t>
  </si>
  <si>
    <t>Perfumes Essência Do Brasil Com Notas Terrosas Para Homens</t>
  </si>
  <si>
    <t>MLB4410607490</t>
  </si>
  <si>
    <t>3 Perfumes Roll On Essência Do Brasil 10ml Floral Feminino</t>
  </si>
  <si>
    <t>MLB4410632246</t>
  </si>
  <si>
    <t>Perfume Limão Siciliano &amp; Canela 100ml Masculino</t>
  </si>
  <si>
    <t>MLB4445703836</t>
  </si>
  <si>
    <t>Perfume Masculino Sheik 100ml Essência Do Brasil Amadeirado</t>
  </si>
  <si>
    <t>MLB4558394395</t>
  </si>
  <si>
    <t>Kit 5 Perfumes Masculinos De Madeiras Nobres 10ml Spray</t>
  </si>
  <si>
    <t>MLB4558394399</t>
  </si>
  <si>
    <t>Kit 5 Perfumes Femininos Cítricos Elegantes 10ml Spray</t>
  </si>
  <si>
    <t>MLB4558418391</t>
  </si>
  <si>
    <t>Kit 5 Perfumes Femininos Florais 10ml Spray Coleção Botânica</t>
  </si>
  <si>
    <t>MLB4558443911</t>
  </si>
  <si>
    <t>Kit 5 Perfumes Masculinos Mediterrâneos 10ml Spray Botânica</t>
  </si>
  <si>
    <t>MLB4558790188</t>
  </si>
  <si>
    <t>Essência Do Brasil Perfume Patchouli Roll On Amadeirado 10ml</t>
  </si>
  <si>
    <t>MLB4600750500</t>
  </si>
  <si>
    <t>Perfume Mol 02 - Feminino - Extrait De Parfum 100ml</t>
  </si>
  <si>
    <t>MLB4657582005</t>
  </si>
  <si>
    <t>Perfume Masculino Benjoim &amp; Mirra 100ml + Mini 10ml</t>
  </si>
  <si>
    <t>MLB4664861881</t>
  </si>
  <si>
    <t>Perfume Camomila &amp; Canela 100ml Masculino</t>
  </si>
  <si>
    <t>MLB4674189102</t>
  </si>
  <si>
    <t>Perfume Baunilha &amp; Capim Limão 100ml Feminino</t>
  </si>
  <si>
    <t>MLB4687163079</t>
  </si>
  <si>
    <t>Perfume Yuzu Orgânico Unissex 50ml - Cítrico Amadeirado</t>
  </si>
  <si>
    <t>MLB4687163081</t>
  </si>
  <si>
    <t>Perfume Yuzu Orgânico Unissex 100ml - Cítrico Amadeirado</t>
  </si>
  <si>
    <t>MLB4783744842</t>
  </si>
  <si>
    <t>Perfume Essência Do Brasil Lavanda E Cedro Masculino 100 Ml</t>
  </si>
  <si>
    <t>MLB4878870093</t>
  </si>
  <si>
    <t>Perfume Dama Da Noite &amp; Patchouli 100ml Feminino</t>
  </si>
  <si>
    <t>MLB4878870097</t>
  </si>
  <si>
    <t>Perfume Dama Da Noite &amp; Cedro 100ml Feminino</t>
  </si>
  <si>
    <t>MLB4878870105</t>
  </si>
  <si>
    <t>Perfume Masculino Gerânio &amp; Rosas Vermelhas 100ml + Mini</t>
  </si>
  <si>
    <t>MLB4878870127</t>
  </si>
  <si>
    <t>Perfume Limão Siciliano &amp; Olíbano 100ml Masculino</t>
  </si>
  <si>
    <t>MLB4878870129</t>
  </si>
  <si>
    <t>Perfume Ylang Ylang &amp; Mirra 100ml Feminino</t>
  </si>
  <si>
    <t>MLB4878870141</t>
  </si>
  <si>
    <t>Perfume Feminino Verbena E Grapefruit 100ml</t>
  </si>
  <si>
    <t>MLB4878870169</t>
  </si>
  <si>
    <t>Perfume Bergamota &amp; Hortelã 100ml Masculino</t>
  </si>
  <si>
    <t>MLB4878870173</t>
  </si>
  <si>
    <t>Perfume Violeta &amp; Cedro 100ml Feminino</t>
  </si>
  <si>
    <t>MLB4878870177</t>
  </si>
  <si>
    <t>Perfume Lavanda &amp; Patchouli 100ml Feminino</t>
  </si>
  <si>
    <t>MLB4923227790</t>
  </si>
  <si>
    <t>Perfume Mol 09 - Masculino - Extrait De Parfum 100ml</t>
  </si>
  <si>
    <t>MLB5098847554</t>
  </si>
  <si>
    <t>Perfume Gerânio &amp; Limão Siciliano 100ml Feminino</t>
  </si>
  <si>
    <t>MLB5150471112</t>
  </si>
  <si>
    <t>Perfume Masculino Bergamota &amp; Grapefruit 100ml + Mini 10ml</t>
  </si>
  <si>
    <t>MLB5150471284</t>
  </si>
  <si>
    <t>Perfume Bergamota &amp; Noz Moscada 100ml Masculino</t>
  </si>
  <si>
    <t>MLB5150482728</t>
  </si>
  <si>
    <t>Perfume Masculino Laranja Doce &amp; Lemongrass 100ml + Mini</t>
  </si>
  <si>
    <t>MLB5175338670</t>
  </si>
  <si>
    <t>Perfume Alfazema &amp; Cedro 100ml Feminino</t>
  </si>
  <si>
    <t>MLB5175364890</t>
  </si>
  <si>
    <t>Perfume Baunilha &amp; Noz Moscada 100ml Feminino</t>
  </si>
  <si>
    <t>MLB5175383650</t>
  </si>
  <si>
    <t>Perfume Lavanda &amp; Hortelã 100ml Masculino</t>
  </si>
  <si>
    <t>MLB5175400276</t>
  </si>
  <si>
    <t>Perfume Feminino Lima-limão &amp; Verbena 100ml + Mini 10ml</t>
  </si>
  <si>
    <t>MLB5175410154</t>
  </si>
  <si>
    <t>Perfume Masculino Benjoim &amp; Limão Siciliano 100ml + Mini</t>
  </si>
  <si>
    <t>MLB5175414768</t>
  </si>
  <si>
    <t>Perfume Erva Doce &amp; Gengibre 100ml Feminino</t>
  </si>
  <si>
    <t>MLB5178705642</t>
  </si>
  <si>
    <t>Perfume - Patchouli Pimenta + Patchouli Sport 100ml</t>
  </si>
  <si>
    <t>MLB5194632252</t>
  </si>
  <si>
    <t>Perfume Masculino Hortelã &amp; Mirra 100ml + Mini 10ml</t>
  </si>
  <si>
    <t>MLB5194658020</t>
  </si>
  <si>
    <t>Perfume Menta &amp; Olíbano 100ml Masculino</t>
  </si>
  <si>
    <t>MLB5194670136</t>
  </si>
  <si>
    <t>Perfume Flor De Maçã &amp; Baunilha 100ml Masculino</t>
  </si>
  <si>
    <t>MLB5212226752</t>
  </si>
  <si>
    <t>Perfume Flor De Maçã &amp; Bergamota 100ml Feminino</t>
  </si>
  <si>
    <t>MLB5212290256</t>
  </si>
  <si>
    <t>Perfume Almíscar Oriental &amp; Canela 100ml Essência Do Brasil</t>
  </si>
  <si>
    <t>MLB5212328858</t>
  </si>
  <si>
    <t>Perfume Masculino Gerânio &amp; Cipreste 100ml + Mini 10ml</t>
  </si>
  <si>
    <t>MLB5218785450</t>
  </si>
  <si>
    <t>Perfume Feminino Laranja Doce &amp; Lemongrass 100ml + Mini 10ml</t>
  </si>
  <si>
    <t>MLB5218786288</t>
  </si>
  <si>
    <t>Perfume Feminino Erva Doce &amp; Palmarosa 100ml + Mini 10ml</t>
  </si>
  <si>
    <t>MLB5218793566</t>
  </si>
  <si>
    <t>Perfume Masculino Alfazema &amp; Cipreste 100ml + Mini 10ml</t>
  </si>
  <si>
    <t>MLB5218877738</t>
  </si>
  <si>
    <t>Perfume Feminino Grapefruit &amp; Noz Moscada Com Mini</t>
  </si>
  <si>
    <t>MLB5218938088</t>
  </si>
  <si>
    <t>Perfume Feminino Lemongrass &amp; Cipreste 100ml + Mini 10ml</t>
  </si>
  <si>
    <t>MLB5218939568</t>
  </si>
  <si>
    <t>Perfume Lemongrass &amp; Manjerição 100ml Feminino</t>
  </si>
  <si>
    <t>MLB5228801142</t>
  </si>
  <si>
    <t>Perfume Lavanda &amp; Baunilha 100ml Feminino</t>
  </si>
  <si>
    <t>MLB5228829410</t>
  </si>
  <si>
    <t>Perfume Manjerição &amp; Noz Moscada 100ml Feminino</t>
  </si>
  <si>
    <t>MLB5228841840</t>
  </si>
  <si>
    <t>Perfume Notas De Alecrim &amp; Gerânio 100ml Feminino</t>
  </si>
  <si>
    <t>MLB5228842108</t>
  </si>
  <si>
    <t>Perfume Feminino Lemongrass &amp; Bergamota 100ml + Mini 10ml</t>
  </si>
  <si>
    <t>MLB5228891096</t>
  </si>
  <si>
    <t>Perfume Masculino Benjoim &amp; Menta 100ml + Mini 10ml</t>
  </si>
  <si>
    <t>MLB5228905852</t>
  </si>
  <si>
    <t>Perfume Feminino Cedro &amp; Hortelã 100ml + Mini 10ml</t>
  </si>
  <si>
    <t>MLB5246994102</t>
  </si>
  <si>
    <t>Perfume Masculino Alfazema &amp; Patchouli 100ml + Mini 10ml</t>
  </si>
  <si>
    <t>MLB5247045204</t>
  </si>
  <si>
    <t>Perfume Feminino Erva Doce E Olíbano Com Mini De 10ml</t>
  </si>
  <si>
    <t>MLB5247069184</t>
  </si>
  <si>
    <t>Perfume Masculino Flor De Maçã &amp; Benjoim 100ml + Mini 10ml</t>
  </si>
  <si>
    <t>MLB5247069822</t>
  </si>
  <si>
    <t>Perfume Canela &amp; Noz Moscada 100ml Masculino</t>
  </si>
  <si>
    <t>MLB5251890246</t>
  </si>
  <si>
    <t>Perfume Lavanda Da França Feminino 50ml - Natural E Vegano</t>
  </si>
  <si>
    <t>MLB5251890254</t>
  </si>
  <si>
    <t>Perfume Gerânio Elegante Masculino 50ml - Natural E Vegano</t>
  </si>
  <si>
    <t>MLB5251890256</t>
  </si>
  <si>
    <t>Perfume Lavandim Energia Masculino 50ml - Natural E Vegano</t>
  </si>
  <si>
    <t>MLB5251902826</t>
  </si>
  <si>
    <t>Perfume Artemísia Marroquina Feminino 50ml Natural E Vegano</t>
  </si>
  <si>
    <t>MLB5251902830</t>
  </si>
  <si>
    <t>Perfume Louro Nobre Romano Masculino 50ml Natural E Vegano</t>
  </si>
  <si>
    <t>MLB5251902832</t>
  </si>
  <si>
    <t>Perfume Orégano Gourmand Masculino 50ml - Natural E Vegano</t>
  </si>
  <si>
    <t>MLB5251902834</t>
  </si>
  <si>
    <t>Perfume Anis Estrelado Feminino 50ml - Natural E Vegano</t>
  </si>
  <si>
    <t>MLB5251915904</t>
  </si>
  <si>
    <t>Perfume Gerânio Elegante Feminino 50ml - Natural E Vegano</t>
  </si>
  <si>
    <t>MLB5251915910</t>
  </si>
  <si>
    <t>Perfume Palmarosa Elegante Feminino 50ml Natural E Vegano</t>
  </si>
  <si>
    <t>MLB5251915912</t>
  </si>
  <si>
    <t>Perfume Copaíba Amazônica Masculino 50ml - Natural E Vegano</t>
  </si>
  <si>
    <t>MLB5251928784</t>
  </si>
  <si>
    <t>Perfume May Chang Da China Feminino 50ml Natural E Vegano</t>
  </si>
  <si>
    <t>MLB5251941884</t>
  </si>
  <si>
    <t>Perfume Grapefruit Vibrante Masculino 50ml Natural E Vegano</t>
  </si>
  <si>
    <t>MLB5251941888</t>
  </si>
  <si>
    <t>Perfume Wintergreen Refrescante Mulher 50ml Natural Vegano</t>
  </si>
  <si>
    <t>MLB5251941890</t>
  </si>
  <si>
    <t>Perfume Laranja Doce Brilhante Homem 50ml Natural Vegano</t>
  </si>
  <si>
    <t>MLB5251954678</t>
  </si>
  <si>
    <t>Perfume Patchouli Dark Misterioso Feminino 50ml - Natural</t>
  </si>
  <si>
    <t>MLB5251954682</t>
  </si>
  <si>
    <t>Perfume Laranja Amarga Solar Feminino 50ml Natural E Vegano</t>
  </si>
  <si>
    <t>MLB5251954684</t>
  </si>
  <si>
    <t>Perfume Cipreste Imperial Masculino 50ml - Natural E Vegano</t>
  </si>
  <si>
    <t>MLB5251967626</t>
  </si>
  <si>
    <t>Perfume Funcho Doce Delicado Feminino 50ml Natural E Vegano</t>
  </si>
  <si>
    <t>MLB5251967628</t>
  </si>
  <si>
    <t>Perfume Hortelã Brava Refrescante Masculino 50ml - Natural</t>
  </si>
  <si>
    <t>MLB5251967630</t>
  </si>
  <si>
    <t>Perfume Sálvia Infinita Feminino 50ml - Natural E Vegano</t>
  </si>
  <si>
    <t>MLB5251967632</t>
  </si>
  <si>
    <t>Perfume Laranja Doce Brilhante Feminino 50ml Natural Vegano</t>
  </si>
  <si>
    <t>MLB5251967634</t>
  </si>
  <si>
    <t>Perfume Ho Wood Elegante Feminino 50ml - Natural E Vegano</t>
  </si>
  <si>
    <t>MLB5251980730</t>
  </si>
  <si>
    <t>Perfume Mandarina Verde Feminino 50ml - Natural E Vegano</t>
  </si>
  <si>
    <t>MLB5251980732</t>
  </si>
  <si>
    <t>Perfume Basilicão Masculino 50ml - Natural E Vegano</t>
  </si>
  <si>
    <t>MLB5251980738</t>
  </si>
  <si>
    <t>Perfume Limão Siciliano Radiante Masculino 50ml - Natural</t>
  </si>
  <si>
    <t>MLB5251993522</t>
  </si>
  <si>
    <t>Perfume Lavanda Da França Masculino 50ml - Natural E Vegano</t>
  </si>
  <si>
    <t>MLB5252006588</t>
  </si>
  <si>
    <t>Perfume Ylang Ylang Exuberante Homem 50ml Natural E Vegano</t>
  </si>
  <si>
    <t>MLB5252006590</t>
  </si>
  <si>
    <t>Perfume Petitgrain Vibrante Feminino 50ml Natural E Vegano</t>
  </si>
  <si>
    <t>MLB5252006592</t>
  </si>
  <si>
    <t>Perfume Capim Limão Masculino 50ml - Natural E Vegano</t>
  </si>
  <si>
    <t>MLB5252006594</t>
  </si>
  <si>
    <t>Perfume Grapefruit Vibrante Feminino 50ml Natural E Vegano</t>
  </si>
  <si>
    <t>MLB5252006596</t>
  </si>
  <si>
    <t>Perfume Laranja Amarga Solar Masculino 50ml Natural Vegano</t>
  </si>
  <si>
    <t>MLB5252006598</t>
  </si>
  <si>
    <t>Perfume Tangerina Radiante Masculino 50ml Natural E Vegano</t>
  </si>
  <si>
    <t>MLB5252006600</t>
  </si>
  <si>
    <t>Perfume Mandarina Verde Masculino 50ml - Natural E Vegano</t>
  </si>
  <si>
    <t>MLB5253014416</t>
  </si>
  <si>
    <t>Perfume Roll On Lavanda Da França Feminino 10ml - Natural</t>
  </si>
  <si>
    <t>MLB5253014418</t>
  </si>
  <si>
    <t>Perfume Roll On Mandarina Verde Masculino 10ml - Natural</t>
  </si>
  <si>
    <t>MLB5253014420</t>
  </si>
  <si>
    <t>Perfume Roll On Ylang Ylang Exuberante Feminino 10ml Natural</t>
  </si>
  <si>
    <t>MLB5253048148</t>
  </si>
  <si>
    <t>Perfume Roll On Mandarina Verde Feminino 10ml Natural Vegano</t>
  </si>
  <si>
    <t>MLB5253048150</t>
  </si>
  <si>
    <t>Perfume Roll On Funcho Doce Delicado Feminino 10ml Natural</t>
  </si>
  <si>
    <t>MLB5253048152</t>
  </si>
  <si>
    <t>Perfume Roll On Capim Limão Masculino 10ml Natural Vegano</t>
  </si>
  <si>
    <t>MLB5253048154</t>
  </si>
  <si>
    <t>Perfume Roll On Tangerina Radiante Masculino 10ml Natural</t>
  </si>
  <si>
    <t>MLB5253099572</t>
  </si>
  <si>
    <t>Perfume Roll On Patchouli Dark Misterioso Homem 10ml Natural</t>
  </si>
  <si>
    <t>MLB5253099574</t>
  </si>
  <si>
    <t>Perfume Roll On Menta Refrescante Masculino 10ml - Natural</t>
  </si>
  <si>
    <t>MLB5253099576</t>
  </si>
  <si>
    <t>Perfume Roll On Lavanda Da França Masculino 10ml - Natural</t>
  </si>
  <si>
    <t>MLB5253112392</t>
  </si>
  <si>
    <t>Perfume Roll On Orégano Gourmand Masculino 10ml - Natural</t>
  </si>
  <si>
    <t>MLB5253112394</t>
  </si>
  <si>
    <t>Perfume Roll On Eucalipto Refrescante Masculino 10ml Natural</t>
  </si>
  <si>
    <t>MLB5253112396</t>
  </si>
  <si>
    <t>Perfume Roll On Olíbano Sagrado Feminino 10ml Natural Vegano</t>
  </si>
  <si>
    <t>MLB5253112398</t>
  </si>
  <si>
    <t>Perfume Roll On Laranja Amarga Solar Feminino 10ml Natural</t>
  </si>
  <si>
    <t>MLB5253112400</t>
  </si>
  <si>
    <t>Perfume Roll On Grapefruit Vibrante Masculino 10ml Natural</t>
  </si>
  <si>
    <t>MLB5253112402</t>
  </si>
  <si>
    <t>Perfume Roll On Cipreste Imperial Masculino 10ml - Natural</t>
  </si>
  <si>
    <t>MLB5253112408</t>
  </si>
  <si>
    <t>Perfume Roll On Limão Tahiti Masculino 10ml Natural Vegano</t>
  </si>
  <si>
    <t>MLB5253112410</t>
  </si>
  <si>
    <t>Perfume Roll On Limão Siciliano Radiante Mulher 10ml Natural</t>
  </si>
  <si>
    <t>MLB5253112412</t>
  </si>
  <si>
    <t>Perfume Roll On Artemísia Marroquina Feminino 10ml Natural</t>
  </si>
  <si>
    <t>MLB5253112414</t>
  </si>
  <si>
    <t>Perfume Roll On May Chang Da China Feminino 10ml Natural</t>
  </si>
  <si>
    <t>MLB5253125464</t>
  </si>
  <si>
    <t>Perfume Roll On Cravo Intenso Masculino 10ml Natural Vegano</t>
  </si>
  <si>
    <t>MLB5253125466</t>
  </si>
  <si>
    <t>Perfume Roll On Hortelã Brava Refrescante Homem 10ml Natural</t>
  </si>
  <si>
    <t>MLB5253125470</t>
  </si>
  <si>
    <t>Perfume Roll On Gerânio Elegante Masculino 10ml - Natural</t>
  </si>
  <si>
    <t>MLB5253138116</t>
  </si>
  <si>
    <t>Perfume Roll On Lavandim Energia Feminino 10ml - Natural</t>
  </si>
  <si>
    <t>MLB5253138118</t>
  </si>
  <si>
    <t>Perfume Roll On Laranja Doce Brilhante Homem 10ml Natural</t>
  </si>
  <si>
    <t>MLB5253138122</t>
  </si>
  <si>
    <t>Perfume Roll On Lavandim Energia Masculino 10ml - Natural</t>
  </si>
  <si>
    <t>MLB5253138124</t>
  </si>
  <si>
    <t>Perfume Roll On Patchouli Dark Misterioso Feminino 10ml</t>
  </si>
  <si>
    <t>MLB5253150950</t>
  </si>
  <si>
    <t>Perfume Roll On Copaíba Amazônica Masculino 10ml - Natural</t>
  </si>
  <si>
    <t>MLB5253150952</t>
  </si>
  <si>
    <t>Perfume Roll On Petitgrain Vibrante Feminino 10ml Natural</t>
  </si>
  <si>
    <t>MLB5253150954</t>
  </si>
  <si>
    <t>Perfume Roll On Manjerona Herbal Masculino 10ml - Natural</t>
  </si>
  <si>
    <t>MLB5253150956</t>
  </si>
  <si>
    <t>Perfume Roll On Ylang Ylang Exuberante Homem 10ml Natural</t>
  </si>
  <si>
    <t>MLB5253150958</t>
  </si>
  <si>
    <t>Perfume Roll On Olíbano Sagrado Masculino 10ml - Natural</t>
  </si>
  <si>
    <t>MLB5253189696</t>
  </si>
  <si>
    <t>Perfume Roll On Wintergreen Refrescante Mulher 10ml Natural</t>
  </si>
  <si>
    <t>MLB5253189698</t>
  </si>
  <si>
    <t>Perfume Roll On Laranja Amarga Solar Masculino 10ml Natural</t>
  </si>
  <si>
    <t>MLB5253189700</t>
  </si>
  <si>
    <t>Perfume Roll On Limão Siciliano Radiante Homem 10ml Natural</t>
  </si>
  <si>
    <t>MLB5253189702</t>
  </si>
  <si>
    <t>Perfume Roll On Bergamota Da Itália Masculino 10ml Natural</t>
  </si>
  <si>
    <t>MLB5253189704</t>
  </si>
  <si>
    <t>Perfume Roll On Anis Estrelado Feminino 10ml Natural Vegano</t>
  </si>
  <si>
    <t>MLB5253202708</t>
  </si>
  <si>
    <t>Perfume Roll On Ho Wood Elegante Masculino 10ml - Natural</t>
  </si>
  <si>
    <t>MLB5253202714</t>
  </si>
  <si>
    <t>Perfume Roll On Ho Wood Elegante Feminino 10ml - Natural</t>
  </si>
  <si>
    <t>MLB5253215716</t>
  </si>
  <si>
    <t>Perfume Roll On Sálvia Infinita Feminino 10ml Natural Vegano</t>
  </si>
  <si>
    <t>MLB5253215720</t>
  </si>
  <si>
    <t>Perfume Roll On Louro Nobre Romano Masculino 10ml Natural</t>
  </si>
  <si>
    <t>MLB5253215722</t>
  </si>
  <si>
    <t>Perfume Roll On Basilicão Masculino 10ml - Natural</t>
  </si>
  <si>
    <t>MLB5253215724</t>
  </si>
  <si>
    <t>Perfume Roll On Laranja Doce Brilhante Feminino 10ml Natural</t>
  </si>
  <si>
    <t>MLB5258375782</t>
  </si>
  <si>
    <t>Perfume Masculino Lemongrass &amp; Cedro 100ml + Mini 10ml</t>
  </si>
  <si>
    <t>MLB5262040686</t>
  </si>
  <si>
    <t>Perfume Sálvia Infinita Mulher 100ml + Roll On 10ml Natural</t>
  </si>
  <si>
    <t>MLB5262040688</t>
  </si>
  <si>
    <t>Perfume Copaíba Amazônica Masculino 100ml + Roll On 10ml</t>
  </si>
  <si>
    <t>MLB5262040690</t>
  </si>
  <si>
    <t>Perfume Lavandim Energia Mulher 100ml + Roll On 10ml Natural</t>
  </si>
  <si>
    <t>MLB5266277300</t>
  </si>
  <si>
    <t>Perfume Alfazema &amp; Bergamota 100ml Masculino</t>
  </si>
  <si>
    <t>MLB5270036948</t>
  </si>
  <si>
    <t>Perfume Essência Do Brasil Baunilha &amp; Canela 10ml Vegano</t>
  </si>
  <si>
    <t>MLB5270037026</t>
  </si>
  <si>
    <t>Perfume Lavanda &amp; Petitgrain 100ml Feminino</t>
  </si>
  <si>
    <t>MLB5270037160</t>
  </si>
  <si>
    <t>Perfume Lavanda &amp; Palmarosa 100ml Feminino</t>
  </si>
  <si>
    <t>MLB5273647474</t>
  </si>
  <si>
    <t>Perfume Bergamota Da Itália Homem 100ml + Óleo Essencial</t>
  </si>
  <si>
    <t>MLB5295220354</t>
  </si>
  <si>
    <t>Perfume Masculino Grapefruit Vibrante 100ml Eau De Parfum</t>
  </si>
  <si>
    <t>MLB5295362852</t>
  </si>
  <si>
    <t>Perfume Amadeirado Essência Do Brasil Alecrim Imperial 100ml</t>
  </si>
  <si>
    <t>MLB5295401652</t>
  </si>
  <si>
    <t>Perfume Feminino Palmarosa &amp; Canela 100ml + Mini 10ml</t>
  </si>
  <si>
    <t>MLB5373623200</t>
  </si>
  <si>
    <t>Perfume Masculino Cedro &amp; Petitgrain 100ml + Mini 10ml</t>
  </si>
  <si>
    <t>MLB5403577396</t>
  </si>
  <si>
    <t>Kit Perfume Masculino Oceanus 100ml + Dark Tabac 50ml</t>
  </si>
  <si>
    <t>MLB5403577400</t>
  </si>
  <si>
    <t>Kit Perfume Masculino Golf Black 100ml + Oceanus 50ml</t>
  </si>
  <si>
    <t>MLB5403577408</t>
  </si>
  <si>
    <t>Kit Perfume Masculino Dark Code 100ml + Oceanus 50ml</t>
  </si>
  <si>
    <t>MLB5403590404</t>
  </si>
  <si>
    <t>Kit Perfume Masculino Patchouli 100ml + Seduction 50ml</t>
  </si>
  <si>
    <t>MLB5403590406</t>
  </si>
  <si>
    <t>Kit Perfume Masculino Dark Tabac 100ml + Dark Code 50ml</t>
  </si>
  <si>
    <t>MLB5403603472</t>
  </si>
  <si>
    <t>Kit Perfume Masculino Attraction 100ml + Golf Black 50ml</t>
  </si>
  <si>
    <t>MLB5403603486</t>
  </si>
  <si>
    <t>Kit Perfume Masculino Golf Black 100ml + Dark Tabac 50ml</t>
  </si>
  <si>
    <t>MLB5403603488</t>
  </si>
  <si>
    <t>Kit Perfume Masculino Attraction 100ml + Seduction 50ml</t>
  </si>
  <si>
    <t>MLB5403603490</t>
  </si>
  <si>
    <t>Kit Perfume Masculino Attraction 100ml + Golf Blue 50ml</t>
  </si>
  <si>
    <t>MLB5403616394</t>
  </si>
  <si>
    <t>Kit Perfume Masculino Attraction 100ml + Dark Tabac 50ml</t>
  </si>
  <si>
    <t>MLB5403629484</t>
  </si>
  <si>
    <t>Kit Perfume Masculino Dark Code 100ml + Seduction 50ml</t>
  </si>
  <si>
    <t>MLB5403655228</t>
  </si>
  <si>
    <t>Kit Perfume Masculino Patchouli 100ml + Dark Code 50ml</t>
  </si>
  <si>
    <t>MLB5403655232</t>
  </si>
  <si>
    <t>Kit Perfume Masculino Dark Code 100ml + Golf Blue 50ml</t>
  </si>
  <si>
    <t>MLB5403663176</t>
  </si>
  <si>
    <t>Kit Perfume Masculino Dark Code 100ml + Golf Black 50ml</t>
  </si>
  <si>
    <t>MLB5403663178</t>
  </si>
  <si>
    <t>Kit Perfume Masculino Golf Blue 100ml + Dark Tabac 50ml</t>
  </si>
  <si>
    <t>MLB5403676178</t>
  </si>
  <si>
    <t>Kit Perfume Masculino Golf Blue 100ml + Dark Code 50ml</t>
  </si>
  <si>
    <t>MLB5403676180</t>
  </si>
  <si>
    <t>Kit Perfume Masculino Patchouli 100ml + Oceanus 50ml</t>
  </si>
  <si>
    <t>MLB5403688954</t>
  </si>
  <si>
    <t>Kit Perfume Masculino Seduction 100ml + Dark Code 50ml</t>
  </si>
  <si>
    <t>MLB5403688956</t>
  </si>
  <si>
    <t>Kit Perfume Masculino Patchouli 100ml + Golf Blue 50ml</t>
  </si>
  <si>
    <t>MLB5403714242</t>
  </si>
  <si>
    <t>Kit Perfume Masculino Seduction 100ml + Oceanus 50ml</t>
  </si>
  <si>
    <t>MLB5403714244</t>
  </si>
  <si>
    <t>Kit Perfume Masculino Dark Tabac 100ml + Golf Black 50ml</t>
  </si>
  <si>
    <t>MLB5403727240</t>
  </si>
  <si>
    <t>Kit Perfume Masculino Attraction 100ml + Oceanus 50ml</t>
  </si>
  <si>
    <t>MLB5403727246</t>
  </si>
  <si>
    <t>Kit Perfume Masculino Seduction 100ml + Golf Blue 50ml</t>
  </si>
  <si>
    <t>MLB5403727252</t>
  </si>
  <si>
    <t>Kit Perfume Masculino Golf Black 100ml + Golf Blue 50ml</t>
  </si>
  <si>
    <t>MLB5403727254</t>
  </si>
  <si>
    <t>Kit Perfume Masculino Golf Blue 100ml + Seduction 50ml</t>
  </si>
  <si>
    <t>MLB5403740264</t>
  </si>
  <si>
    <t>Kit Perfume Masculino Golf Blue 100ml + Golf Black 50ml</t>
  </si>
  <si>
    <t>MLB5403740266</t>
  </si>
  <si>
    <t>Kit Perfume Masc. Almíscar Selvagem 100ml + Dark Code 50ml</t>
  </si>
  <si>
    <t>MLB5403753258</t>
  </si>
  <si>
    <t>Kit Perfume Masculino Oceanus 100ml + Dark Code 50ml</t>
  </si>
  <si>
    <t>MLB5403766176</t>
  </si>
  <si>
    <t>Kit Perfume Masculino Patchouli 100ml + Dark Tabac 50ml</t>
  </si>
  <si>
    <t>MLB5403766178</t>
  </si>
  <si>
    <t>Kit Perfume Masc. Almíscar Selvagem 100ml + Golf Blue 50ml</t>
  </si>
  <si>
    <t>MLB5403766186</t>
  </si>
  <si>
    <t>Kit Perfume Masculino Golf Black 100ml + Dark Code 50ml</t>
  </si>
  <si>
    <t>MLB5403766190</t>
  </si>
  <si>
    <t>Kit Perfume Masculino Dark Tabac 100ml + Seduction 50ml</t>
  </si>
  <si>
    <t>MLB5403766192</t>
  </si>
  <si>
    <t>Kit Perfume Masculino Attraction 100ml + Dark Code 50ml</t>
  </si>
  <si>
    <t>MLB5403766194</t>
  </si>
  <si>
    <t>Kit Perfume Masculino Dark Tabac 100ml + Golf Blue 50ml</t>
  </si>
  <si>
    <t>MLB5404303484</t>
  </si>
  <si>
    <t>Kit Perfume Feminino Afrodite 100ml + Dama Da Noite 50ml</t>
  </si>
  <si>
    <t>MLB5404303486</t>
  </si>
  <si>
    <t>Kit Perfume Fem. Flor De Jasmim 100ml + Opium De Chine 50ml</t>
  </si>
  <si>
    <t>MLB5404315746</t>
  </si>
  <si>
    <t>Kit Perfume Fem. Opium De Chine 100ml + Dama Da Noite 50ml</t>
  </si>
  <si>
    <t>MLB5404328128</t>
  </si>
  <si>
    <t>Kit Perfume Feminino Attraction 100ml + Opium De Chine 50ml</t>
  </si>
  <si>
    <t>MLB5404340716</t>
  </si>
  <si>
    <t>Kit Perfume Fem. Dama Da Noite 100ml + Flor De Jasmim 50ml</t>
  </si>
  <si>
    <t>MLB5508653366</t>
  </si>
  <si>
    <t>Perfume Amadeirado Com Óleo Essencial De Madeira Nobre 100ml</t>
  </si>
  <si>
    <t>MLB5508677552</t>
  </si>
  <si>
    <t>Kit Presente Pais - Perfume Dark Tabac 100ml + Carteira Masc</t>
  </si>
  <si>
    <t>MLB5508704754</t>
  </si>
  <si>
    <t>Perfume Masculino Lavanda Da França 100ml Eau De Parfum</t>
  </si>
  <si>
    <t>MLB5508741356</t>
  </si>
  <si>
    <t>Essência Do Brasil Extrait De Parfum Bergamota Absolu 100ml</t>
  </si>
  <si>
    <t>MLB5508741424</t>
  </si>
  <si>
    <t>Perfume Essência Do Brasil Sakura Japão Masculino 100ml</t>
  </si>
  <si>
    <t>MLB5508746050</t>
  </si>
  <si>
    <t>Perfume Essência Do Brasil Petitgrain Para Mulheres 100 Ml</t>
  </si>
  <si>
    <t>MLB5508758900</t>
  </si>
  <si>
    <t>Perfume Feminino Lavanda Da França Eau De Parfum 100ml</t>
  </si>
  <si>
    <t>MLB5533191598</t>
  </si>
  <si>
    <t>Perfume Sinergia 12 - Benjoim, Cedro Atlas, Manjerona 100ml</t>
  </si>
  <si>
    <t>MLB5533191602</t>
  </si>
  <si>
    <t>Perfume Sinergia 14 - Sândalo, Ylang-ylang, Bergamota 100ml</t>
  </si>
  <si>
    <t>MLB5533191604</t>
  </si>
  <si>
    <t>Perfume Sinergia 2 - Manjerona, Laranja Doce, Vetiver 100ml</t>
  </si>
  <si>
    <t>MLB5533204686</t>
  </si>
  <si>
    <t>Perfume Sinergia 17 - Laranja Doce, Gerânio, Jasmim 100ml</t>
  </si>
  <si>
    <t>MLB5533204688</t>
  </si>
  <si>
    <t>Perfume Sinergia 6- Palmarosa, Laranja Amarga, Ho Wood 100ml</t>
  </si>
  <si>
    <t>MLB5533204692</t>
  </si>
  <si>
    <t>Perfume Sinergia 1 - Lavanda, Bergamota, Ylang-ylang 100ml</t>
  </si>
  <si>
    <t>MLB5533204694</t>
  </si>
  <si>
    <t>Perfume Sinergia 7 - Bergamota, Copaíba, Vetiver 100ml</t>
  </si>
  <si>
    <t>MLB5533217864</t>
  </si>
  <si>
    <t>Perfume Sinergia 21 - Petitgrain, Menta Spi, Manjerona 100ml</t>
  </si>
  <si>
    <t>MLB5533438466</t>
  </si>
  <si>
    <t>Perfume Sinergia 8- Pinho Sibéria, Manjericão, Sândalo 100ml</t>
  </si>
  <si>
    <t>MLB5533568636</t>
  </si>
  <si>
    <t>Perfume Sinergia 18 - Lima, Sálvia Sclarea, Cedro 100ml</t>
  </si>
  <si>
    <t>MLB5533568638</t>
  </si>
  <si>
    <t>Perfume Sinergia 13 - Artemísia, Zimbro, Manjericão 100ml</t>
  </si>
  <si>
    <t>MLB5560853132</t>
  </si>
  <si>
    <t>Perfume Sinergia 12 - Benjoim, Cedro Atlas, Manjerona 10ml</t>
  </si>
  <si>
    <t>MLB5560891740</t>
  </si>
  <si>
    <t>Perfume Sinergia 5 - Vetiver, Cipreste, Sálvia Sclarea 10ml</t>
  </si>
  <si>
    <t>MLB5560905018</t>
  </si>
  <si>
    <t>Perfume Sinergia 16 - Limão, Manjericão, Pimenta-preta 10ml</t>
  </si>
  <si>
    <t>MLB5560956826</t>
  </si>
  <si>
    <t>Perfume Sinergia 10 - Olíbano, Tangerina, Erva-doce 10ml</t>
  </si>
  <si>
    <t>MLB5561404870</t>
  </si>
  <si>
    <t>Perfume Sinergia 7 - Bergamota, Copaíba, Vetiver 10ml</t>
  </si>
  <si>
    <t>MLB5561404874</t>
  </si>
  <si>
    <t>Perfume Sinergia 13 - Artemísia, Zimbro, Manjericão 10ml</t>
  </si>
  <si>
    <t>MLB5561438470</t>
  </si>
  <si>
    <t>Perfume Masculino - Patchouli Clássico + Eros 100ml</t>
  </si>
  <si>
    <t>MLB5561482496</t>
  </si>
  <si>
    <t>Perfume Sinergia 14 - Sândalo, Ylang-ylang, Bergamota 10ml</t>
  </si>
  <si>
    <t>MLB5561546944</t>
  </si>
  <si>
    <t>Perfume Sinergia 8 - Pinho Sibéria, Manjericão, Sândalo 10ml</t>
  </si>
  <si>
    <t>MLB5561559822</t>
  </si>
  <si>
    <t>Perfume Sinergia 6 - Palmarosa, Laranja Amarga, Ho Wood 10ml</t>
  </si>
  <si>
    <t>MLB5561579818</t>
  </si>
  <si>
    <t>Perfume - Patchouli Timeless + Patchouli Nomad 100ml</t>
  </si>
  <si>
    <t>MLB5561632666</t>
  </si>
  <si>
    <t>Perfume Masculino - Patchouli Sport + Attar 100ml</t>
  </si>
  <si>
    <t>MLB5561632728</t>
  </si>
  <si>
    <t>Perfume Masculino - Patchouli Pimenta + Eros 100ml</t>
  </si>
  <si>
    <t>MLB5561632832</t>
  </si>
  <si>
    <t>Perfume Feminino Petitgrain Vibrante 100ml Eau De Parfum</t>
  </si>
  <si>
    <t>MLB5561715158</t>
  </si>
  <si>
    <t>Perfume Masculino - Attar + Patchouli Dark 100ml</t>
  </si>
  <si>
    <t>MLB5579613120</t>
  </si>
  <si>
    <t>Perfume Masculino Patchouli 100ml + Difusor Casa 100ml</t>
  </si>
  <si>
    <t>MLB5738561546</t>
  </si>
  <si>
    <t>Perfume - Patchouli Clássico + Patchouli Forest 100ml</t>
  </si>
  <si>
    <t>MLB5741768866</t>
  </si>
  <si>
    <t>Perfume Feminino Palmarosa Natural De 100 Ml</t>
  </si>
  <si>
    <t>MLB5828963940</t>
  </si>
  <si>
    <t>Perfume Vegano Essência Do Brasil Tuberosa 28 60ml Floral</t>
  </si>
  <si>
    <t>MLB5828999384</t>
  </si>
  <si>
    <t>Perfume Masculino Anis &amp; Pau Rosa 100ml + Mini 10ml</t>
  </si>
  <si>
    <t>MLB5830500800</t>
  </si>
  <si>
    <t>Perfume Lavanda &amp; Cedro 10ml Feminino</t>
  </si>
  <si>
    <t>MLB5832027662</t>
  </si>
  <si>
    <t>Perfume Masculino Gerânio &amp; Bergamota 100ml + Mini 10ml</t>
  </si>
  <si>
    <t>MLB5854517540</t>
  </si>
  <si>
    <t>Perfume Laranja Doce Brilhante Feminino 50ml</t>
  </si>
  <si>
    <t>MLB6511696550</t>
  </si>
  <si>
    <t>Kit 5 Perfumes Femininos Amadeirados 10ml Spray Col Botânica</t>
  </si>
  <si>
    <t>MLB6511696556</t>
  </si>
  <si>
    <t>Kit 5 Perfumes Masculinos Frescos Energéticos 10ml Spray</t>
  </si>
  <si>
    <t>MLB6511709178</t>
  </si>
  <si>
    <t>Kit 5 Perfumes Femininos Florais Solares 10ml Spray Botânica</t>
  </si>
  <si>
    <t>MLB6511769828</t>
  </si>
  <si>
    <t>Kit 5 Perfumes Masculinos Especiados Exóticos 10ml Spray</t>
  </si>
  <si>
    <t>MLB6717487098</t>
  </si>
  <si>
    <t>Perfume Masculino Essência Do Brasil Oriental 50ml</t>
  </si>
  <si>
    <t>MLB7147434136</t>
  </si>
  <si>
    <t>Perfume Masculino Pau Rosa &amp; Cipreste 100ml + Mini 10ml</t>
  </si>
  <si>
    <t>MLB7147434180</t>
  </si>
  <si>
    <t>Perfume Notas De Alecrim &amp; Cedro 100ml Feminino</t>
  </si>
  <si>
    <t>MLB7147434402</t>
  </si>
  <si>
    <t>Perfume Alfazema &amp; Cravo Da Índia 100ml Masculino</t>
  </si>
  <si>
    <t>MLB7147434448</t>
  </si>
  <si>
    <t>Perfume Dama Da Noite &amp; Canela 100ml Feminino</t>
  </si>
  <si>
    <t>MLB7147434454</t>
  </si>
  <si>
    <t>Perfume Flor De Maçã &amp; Patchouli 100ml Feminino</t>
  </si>
  <si>
    <t>MLB7193069190</t>
  </si>
  <si>
    <t>Perfume Patchouli &amp; Madeira Nobre 10ml Masculino</t>
  </si>
  <si>
    <t>MLB7195442436</t>
  </si>
  <si>
    <t>Eau De Parfum Masculino Amadeirado 100ml Essência Do Brasil</t>
  </si>
  <si>
    <t>MLB7195442592</t>
  </si>
  <si>
    <t>Parfum Essência Do Brasil Almíscar Vert Masculino 100ml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</si>
</sst>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25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8.0"/>
      <color rgb="FF15293D"/>
      <name val="Arial"/>
    </font>
    <font>
      <sz val="10.0"/>
      <color theme="1"/>
      <name val="Arial"/>
    </font>
    <font>
      <b/>
      <sz val="12.0"/>
      <color rgb="FFFFFFFF"/>
      <name val="Arial"/>
    </font>
    <font/>
    <font>
      <u/>
      <sz val="10.0"/>
      <color rgb="FF0000FF"/>
      <name val="Arial"/>
    </font>
    <font>
      <u/>
      <sz val="10.0"/>
      <color rgb="FF0000FF"/>
      <name val="Arial"/>
    </font>
    <font>
      <b/>
      <sz val="20.0"/>
      <color rgb="FF15293D"/>
      <name val="Arial"/>
    </font>
    <font>
      <i/>
      <sz val="12.0"/>
      <color rgb="FF7B7B7B"/>
      <name val="Arial"/>
    </font>
    <font>
      <b/>
      <sz val="10.0"/>
      <color rgb="FFFFFFFF"/>
      <name val="Arial"/>
    </font>
    <font>
      <b/>
      <sz val="26.0"/>
      <color rgb="FF1F3B57"/>
      <name val="Arial"/>
    </font>
    <font>
      <b/>
      <sz val="26.0"/>
      <color rgb="FF1E8449"/>
      <name val="Arial"/>
    </font>
    <font>
      <b/>
      <sz val="26.0"/>
      <color rgb="FF2471A3"/>
      <name val="Arial"/>
    </font>
    <font>
      <b/>
      <sz val="26.0"/>
      <color rgb="FFC0392B"/>
      <name val="Arial"/>
    </font>
    <font>
      <b/>
      <sz val="26.0"/>
      <color rgb="FF15293D"/>
      <name val="Arial"/>
    </font>
    <font>
      <b/>
      <sz val="13.0"/>
      <color rgb="FF15293D"/>
      <name val="Arial"/>
    </font>
    <font>
      <b/>
      <color rgb="FFFFFFFF"/>
      <name val="Arial"/>
    </font>
    <font>
      <b/>
      <color rgb="FF5C4A00"/>
      <name val="Arial"/>
    </font>
    <font>
      <b/>
      <color rgb="FF1B4F72"/>
      <name val="Arial"/>
    </font>
    <font>
      <b/>
      <color rgb="FF5D6D7E"/>
      <name val="Arial"/>
    </font>
    <font>
      <b/>
      <color rgb="FF145A32"/>
      <name val="Arial"/>
    </font>
    <font>
      <b/>
      <color rgb="FF626567"/>
      <name val="Arial"/>
    </font>
    <font>
      <i/>
      <sz val="9.0"/>
      <color rgb="FF7B7B7B"/>
      <name val="Arial"/>
    </font>
    <font>
      <b/>
      <color theme="1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1F3B57"/>
        <bgColor rgb="FF1F3B57"/>
      </patternFill>
    </fill>
    <fill>
      <patternFill patternType="solid">
        <fgColor rgb="FFF2F4F6"/>
        <bgColor rgb="FFF2F4F6"/>
      </patternFill>
    </fill>
    <fill>
      <patternFill patternType="solid">
        <fgColor rgb="FF1E8449"/>
        <bgColor rgb="FF1E8449"/>
      </patternFill>
    </fill>
    <fill>
      <patternFill patternType="solid">
        <fgColor rgb="FF2471A3"/>
        <bgColor rgb="FF2471A3"/>
      </patternFill>
    </fill>
    <fill>
      <patternFill patternType="solid">
        <fgColor rgb="FFC0392B"/>
        <bgColor rgb="FFC0392B"/>
      </patternFill>
    </fill>
    <fill>
      <patternFill patternType="solid">
        <fgColor rgb="FF15293D"/>
        <bgColor rgb="FF15293D"/>
      </patternFill>
    </fill>
    <fill>
      <patternFill patternType="solid">
        <fgColor rgb="FFFAFAFA"/>
        <bgColor rgb="FFFAFAFA"/>
      </patternFill>
    </fill>
    <fill>
      <patternFill patternType="solid">
        <fgColor rgb="FFE74C3C"/>
        <bgColor rgb="FFE74C3C"/>
      </patternFill>
    </fill>
    <fill>
      <patternFill patternType="solid">
        <fgColor rgb="FFF39C12"/>
        <bgColor rgb="FFF39C12"/>
      </patternFill>
    </fill>
    <fill>
      <patternFill patternType="solid">
        <fgColor rgb="FFF5D76E"/>
        <bgColor rgb="FFF5D76E"/>
      </patternFill>
    </fill>
    <fill>
      <patternFill patternType="solid">
        <fgColor rgb="FF85C1E9"/>
        <bgColor rgb="FF85C1E9"/>
      </patternFill>
    </fill>
    <fill>
      <patternFill patternType="solid">
        <fgColor rgb="FFEAECEE"/>
        <bgColor rgb="FFEAECEE"/>
      </patternFill>
    </fill>
    <fill>
      <patternFill patternType="solid">
        <fgColor rgb="FFAED6F1"/>
        <bgColor rgb="FFAED6F1"/>
      </patternFill>
    </fill>
    <fill>
      <patternFill patternType="solid">
        <fgColor rgb="FFA9DFBF"/>
        <bgColor rgb="FFA9DFBF"/>
      </patternFill>
    </fill>
    <fill>
      <patternFill patternType="solid">
        <fgColor rgb="FFD5D8DC"/>
        <bgColor rgb="FFD5D8DC"/>
      </patternFill>
    </fill>
    <fill>
      <patternFill patternType="solid">
        <fgColor rgb="FFFDEBD0"/>
        <bgColor rgb="FFFDEBD0"/>
      </patternFill>
    </fill>
  </fills>
  <borders count="12">
    <border/>
    <border>
      <left style="thin">
        <color rgb="FFD9DEE3"/>
      </left>
      <right style="thin">
        <color rgb="FFD9DEE3"/>
      </right>
      <top style="thin">
        <color rgb="FFD9DEE3"/>
      </top>
      <bottom style="thin">
        <color rgb="FFD9DEE3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D9DEE3"/>
      </left>
      <top style="thin">
        <color rgb="FFD9DEE3"/>
      </top>
      <bottom style="thin">
        <color rgb="FFD9DEE3"/>
      </bottom>
    </border>
    <border>
      <right style="thin">
        <color rgb="FFD9DEE3"/>
      </right>
      <top style="thin">
        <color rgb="FFD9DEE3"/>
      </top>
      <bottom style="thin">
        <color rgb="FFD9DEE3"/>
      </bottom>
    </border>
    <border>
      <left style="thin">
        <color rgb="FFD9DEE3"/>
      </left>
      <top style="thin">
        <color rgb="FFD9DEE3"/>
      </top>
    </border>
    <border>
      <right style="thin">
        <color rgb="FFD9DEE3"/>
      </right>
      <top style="thin">
        <color rgb="FFD9DEE3"/>
      </top>
    </border>
    <border>
      <left style="thin">
        <color rgb="FFD9DEE3"/>
      </left>
      <bottom style="thin">
        <color rgb="FFD9DEE3"/>
      </bottom>
    </border>
    <border>
      <right style="thin">
        <color rgb="FFD9DEE3"/>
      </right>
      <bottom style="thin">
        <color rgb="FFD9DEE3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vertical="top"/>
    </xf>
    <xf borderId="2" fillId="2" fontId="4" numFmtId="0" xfId="0" applyAlignment="1" applyBorder="1" applyFont="1">
      <alignment vertical="center"/>
    </xf>
    <xf borderId="3" fillId="0" fontId="5" numFmtId="0" xfId="0" applyBorder="1" applyFont="1"/>
    <xf borderId="4" fillId="0" fontId="5" numFmtId="0" xfId="0" applyBorder="1" applyFont="1"/>
    <xf borderId="0" fillId="0" fontId="3" numFmtId="0" xfId="0" applyAlignment="1" applyFont="1">
      <alignment shrinkToFit="0" vertical="top" wrapText="1"/>
    </xf>
    <xf borderId="1" fillId="3" fontId="6" numFmtId="0" xfId="0" applyAlignment="1" applyBorder="1" applyFont="1">
      <alignment vertical="top"/>
    </xf>
    <xf borderId="1" fillId="3" fontId="3" numFmtId="0" xfId="0" applyAlignment="1" applyBorder="1" applyFont="1">
      <alignment shrinkToFit="0" vertical="top" wrapText="1"/>
    </xf>
    <xf borderId="1" fillId="0" fontId="3" numFmtId="0" xfId="0" applyAlignment="1" applyBorder="1" applyFont="1">
      <alignment vertical="top"/>
    </xf>
    <xf borderId="1" fillId="0" fontId="7" numFmtId="0" xfId="0" applyAlignment="1" applyBorder="1" applyFont="1">
      <alignment vertical="top"/>
    </xf>
    <xf borderId="1" fillId="0" fontId="3" numFmtId="0" xfId="0" applyAlignment="1" applyBorder="1" applyFont="1">
      <alignment shrinkToFit="0" vertical="top" wrapText="1"/>
    </xf>
    <xf borderId="0" fillId="0" fontId="8" numFmtId="0" xfId="0" applyFont="1"/>
    <xf borderId="0" fillId="0" fontId="9" numFmtId="0" xfId="0" applyFont="1"/>
    <xf borderId="5" fillId="2" fontId="10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5" fillId="4" fontId="10" numFmtId="0" xfId="0" applyAlignment="1" applyBorder="1" applyFill="1" applyFont="1">
      <alignment horizontal="center" shrinkToFit="0" vertical="center" wrapText="1"/>
    </xf>
    <xf borderId="5" fillId="5" fontId="10" numFmtId="0" xfId="0" applyAlignment="1" applyBorder="1" applyFill="1" applyFont="1">
      <alignment horizontal="center" shrinkToFit="0" vertical="center" wrapText="1"/>
    </xf>
    <xf borderId="5" fillId="6" fontId="10" numFmtId="0" xfId="0" applyAlignment="1" applyBorder="1" applyFill="1" applyFont="1">
      <alignment horizontal="center" shrinkToFit="0" vertical="center" wrapText="1"/>
    </xf>
    <xf borderId="5" fillId="7" fontId="10" numFmtId="0" xfId="0" applyAlignment="1" applyBorder="1" applyFill="1" applyFont="1">
      <alignment horizontal="center" vertical="center"/>
    </xf>
    <xf borderId="7" fillId="8" fontId="11" numFmtId="0" xfId="0" applyAlignment="1" applyBorder="1" applyFill="1" applyFont="1">
      <alignment horizontal="center" vertical="center"/>
    </xf>
    <xf borderId="8" fillId="0" fontId="5" numFmtId="0" xfId="0" applyBorder="1" applyFont="1"/>
    <xf borderId="7" fillId="8" fontId="12" numFmtId="0" xfId="0" applyAlignment="1" applyBorder="1" applyFont="1">
      <alignment horizontal="center" vertical="center"/>
    </xf>
    <xf borderId="7" fillId="8" fontId="13" numFmtId="0" xfId="0" applyAlignment="1" applyBorder="1" applyFont="1">
      <alignment horizontal="center" vertical="center"/>
    </xf>
    <xf borderId="7" fillId="8" fontId="14" numFmtId="0" xfId="0" applyAlignment="1" applyBorder="1" applyFont="1">
      <alignment horizontal="center" vertical="center"/>
    </xf>
    <xf borderId="7" fillId="8" fontId="15" numFmtId="164" xfId="0" applyAlignment="1" applyBorder="1" applyFont="1" applyNumberFormat="1">
      <alignment horizontal="center" vertical="center"/>
    </xf>
    <xf borderId="9" fillId="0" fontId="5" numFmtId="0" xfId="0" applyBorder="1" applyFont="1"/>
    <xf borderId="10" fillId="0" fontId="5" numFmtId="0" xfId="0" applyBorder="1" applyFont="1"/>
    <xf borderId="0" fillId="0" fontId="16" numFmtId="0" xfId="0" applyFont="1"/>
    <xf borderId="1" fillId="9" fontId="17" numFmtId="0" xfId="0" applyBorder="1" applyFill="1" applyFont="1"/>
    <xf borderId="1" fillId="0" fontId="3" numFmtId="0" xfId="0" applyAlignment="1" applyBorder="1" applyFont="1">
      <alignment horizontal="center"/>
    </xf>
    <xf borderId="1" fillId="0" fontId="3" numFmtId="164" xfId="0" applyAlignment="1" applyBorder="1" applyFont="1" applyNumberFormat="1">
      <alignment horizontal="center"/>
    </xf>
    <xf borderId="1" fillId="10" fontId="17" numFmtId="0" xfId="0" applyBorder="1" applyFill="1" applyFont="1"/>
    <xf borderId="1" fillId="11" fontId="18" numFmtId="0" xfId="0" applyBorder="1" applyFill="1" applyFont="1"/>
    <xf borderId="1" fillId="12" fontId="19" numFmtId="0" xfId="0" applyBorder="1" applyFill="1" applyFont="1"/>
    <xf borderId="1" fillId="3" fontId="3" numFmtId="0" xfId="0" applyBorder="1" applyFont="1"/>
    <xf borderId="1" fillId="3" fontId="3" numFmtId="0" xfId="0" applyAlignment="1" applyBorder="1" applyFont="1">
      <alignment horizontal="center"/>
    </xf>
    <xf borderId="1" fillId="3" fontId="3" numFmtId="164" xfId="0" applyAlignment="1" applyBorder="1" applyFont="1" applyNumberFormat="1">
      <alignment horizontal="center"/>
    </xf>
    <xf borderId="1" fillId="0" fontId="3" numFmtId="0" xfId="0" applyBorder="1" applyFont="1"/>
    <xf borderId="11" fillId="13" fontId="20" numFmtId="0" xfId="0" applyBorder="1" applyFill="1" applyFont="1"/>
    <xf borderId="0" fillId="0" fontId="3" numFmtId="0" xfId="0" applyAlignment="1" applyFont="1">
      <alignment horizontal="center"/>
    </xf>
    <xf borderId="11" fillId="14" fontId="19" numFmtId="0" xfId="0" applyBorder="1" applyFill="1" applyFont="1"/>
    <xf borderId="11" fillId="15" fontId="21" numFmtId="0" xfId="0" applyBorder="1" applyFill="1" applyFont="1"/>
    <xf borderId="11" fillId="16" fontId="22" numFmtId="0" xfId="0" applyBorder="1" applyFill="1" applyFont="1"/>
    <xf borderId="0" fillId="0" fontId="23" numFmtId="0" xfId="0" applyAlignment="1" applyFont="1">
      <alignment shrinkToFit="0" vertical="top" wrapText="1"/>
    </xf>
    <xf borderId="1" fillId="0" fontId="3" numFmtId="0" xfId="0" applyAlignment="1" applyBorder="1" applyFont="1">
      <alignment vertical="center"/>
    </xf>
    <xf borderId="1" fillId="0" fontId="3" numFmtId="164" xfId="0" applyAlignment="1" applyBorder="1" applyFont="1" applyNumberFormat="1">
      <alignment vertical="center"/>
    </xf>
    <xf borderId="1" fillId="17" fontId="3" numFmtId="0" xfId="0" applyAlignment="1" applyBorder="1" applyFill="1" applyFont="1">
      <alignment vertical="center"/>
    </xf>
    <xf borderId="1" fillId="17" fontId="3" numFmtId="164" xfId="0" applyAlignment="1" applyBorder="1" applyFont="1" applyNumberFormat="1">
      <alignment vertical="center"/>
    </xf>
    <xf borderId="0" fillId="0" fontId="24" numFmtId="0" xfId="0" applyFont="1"/>
    <xf borderId="0" fillId="0" fontId="23" numFmtId="0" xfId="0" applyAlignment="1" applyFont="1">
      <alignment shrinkToFit="0" wrapText="1"/>
    </xf>
  </cellXfs>
  <cellStyles count="1">
    <cellStyle xfId="0" name="Normal" builtinId="0"/>
  </cellStyles>
  <dxfs count="11">
    <dxf>
      <font>
        <b/>
        <sz val="10.0"/>
        <color rgb="FF5D6D7E"/>
        <name val="Arial"/>
      </font>
      <fill>
        <patternFill patternType="solid">
          <fgColor rgb="FFEAECEE"/>
          <bgColor rgb="FFEAECEE"/>
        </patternFill>
      </fill>
      <border/>
    </dxf>
    <dxf>
      <font>
        <b/>
        <sz val="10.0"/>
        <color rgb="FF1B4F72"/>
        <name val="Arial"/>
      </font>
      <fill>
        <patternFill patternType="solid">
          <fgColor rgb="FFAED6F1"/>
          <bgColor rgb="FFAED6F1"/>
        </patternFill>
      </fill>
      <border/>
    </dxf>
    <dxf>
      <font>
        <b/>
        <sz val="10.0"/>
        <color rgb="FF145A32"/>
        <name val="Arial"/>
      </font>
      <fill>
        <patternFill patternType="solid">
          <fgColor rgb="FFA9DFBF"/>
          <bgColor rgb="FFA9DFBF"/>
        </patternFill>
      </fill>
      <border/>
    </dxf>
    <dxf>
      <font>
        <b/>
        <sz val="10.0"/>
        <color rgb="FF626567"/>
        <name val="Arial"/>
      </font>
      <fill>
        <patternFill patternType="solid">
          <fgColor rgb="FFD5D8DC"/>
          <bgColor rgb="FFD5D8DC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E74C3C"/>
          <bgColor rgb="FFE74C3C"/>
        </patternFill>
      </fill>
      <border/>
    </dxf>
    <dxf>
      <font>
        <b/>
        <sz val="10.0"/>
        <color rgb="FFFFFFFF"/>
        <name val="Arial"/>
      </font>
      <fill>
        <patternFill patternType="solid">
          <fgColor rgb="FFF39C12"/>
          <bgColor rgb="FFF39C12"/>
        </patternFill>
      </fill>
      <border/>
    </dxf>
    <dxf>
      <font>
        <b/>
        <sz val="10.0"/>
        <color rgb="FF5C4A00"/>
        <name val="Arial"/>
      </font>
      <fill>
        <patternFill patternType="solid">
          <fgColor rgb="FFF5D76E"/>
          <bgColor rgb="FFF5D76E"/>
        </patternFill>
      </fill>
      <border/>
    </dxf>
    <dxf>
      <font>
        <b/>
        <sz val="10.0"/>
        <color rgb="FF1B4F72"/>
        <name val="Arial"/>
      </font>
      <fill>
        <patternFill patternType="solid">
          <fgColor rgb="FF85C1E9"/>
          <bgColor rgb="FF85C1E9"/>
        </patternFill>
      </fill>
      <border/>
    </dxf>
    <dxf>
      <font/>
      <fill>
        <patternFill patternType="solid">
          <fgColor rgb="FFEAFAF1"/>
          <bgColor rgb="FFEAFAF1"/>
        </patternFill>
      </fill>
      <border/>
    </dxf>
    <dxf>
      <font/>
      <fill>
        <patternFill patternType="solid">
          <fgColor rgb="FFA9DFBF"/>
          <bgColor rgb="FFA9DFBF"/>
        </patternFill>
      </fill>
      <border/>
    </dxf>
    <dxf>
      <font/>
      <fill>
        <patternFill patternType="solid">
          <fgColor rgb="FFF5B7B1"/>
          <bgColor rgb="FFF5B7B1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% Concluído por Categoria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'📊 Painel Geral'!$F$18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'📊 Painel Geral'!$A$19:$A$25</c:f>
            </c:strRef>
          </c:cat>
          <c:val>
            <c:numRef>
              <c:f>'📊 Painel Geral'!$F$19:$F$25</c:f>
              <c:numCache/>
            </c:numRef>
          </c:val>
        </c:ser>
        <c:axId val="728748673"/>
        <c:axId val="1748827947"/>
      </c:barChart>
      <c:catAx>
        <c:axId val="728748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8827947"/>
      </c:catAx>
      <c:valAx>
        <c:axId val="17488279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1" i="0">
                    <a:solidFill>
                      <a:srgbClr val="000000"/>
                    </a:solidFill>
                    <a:latin typeface="+mn-lt"/>
                  </a:rPr>
                  <a:t>% Concluído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8748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Status dos Anúncios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'📊 Painel Geral'!$A$29:$A$32</c:f>
            </c:strRef>
          </c:cat>
          <c:val>
            <c:numRef>
              <c:f>'📊 Painel Geral'!$B$29:$B$32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0</xdr:colOff>
      <xdr:row>16</xdr:row>
      <xdr:rowOff>0</xdr:rowOff>
    </xdr:from>
    <xdr:ext cx="5753100" cy="2876550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2</xdr:col>
      <xdr:colOff>438150</xdr:colOff>
      <xdr:row>30</xdr:row>
      <xdr:rowOff>85725</xdr:rowOff>
    </xdr:from>
    <xdr:ext cx="4314825" cy="28765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B57"/>
    <pageSetUpPr/>
  </sheetPr>
  <sheetViews>
    <sheetView showGridLines="0" workbookViewId="0"/>
  </sheetViews>
  <sheetFormatPr customHeight="1" defaultColWidth="14.43" defaultRowHeight="15.0"/>
  <cols>
    <col customWidth="1" min="1" max="6" width="20.0"/>
    <col customWidth="1" min="7" max="26" width="8.71"/>
  </cols>
  <sheetData>
    <row r="1">
      <c r="A1" s="2" t="s">
        <v>0</v>
      </c>
    </row>
    <row r="3" ht="19.5" customHeight="1">
      <c r="A3" s="4" t="s">
        <v>13</v>
      </c>
      <c r="B3" s="5"/>
      <c r="C3" s="5"/>
      <c r="D3" s="5"/>
      <c r="E3" s="5"/>
      <c r="F3" s="6"/>
    </row>
    <row r="4" ht="39.75" customHeight="1">
      <c r="A4" s="7" t="s">
        <v>16</v>
      </c>
    </row>
    <row r="6" ht="19.5" customHeight="1">
      <c r="A6" s="4" t="s">
        <v>18</v>
      </c>
      <c r="B6" s="5"/>
      <c r="C6" s="5"/>
      <c r="D6" s="5"/>
      <c r="E6" s="5"/>
      <c r="F6" s="6"/>
    </row>
    <row r="7" ht="39.75" customHeight="1">
      <c r="A7" s="7" t="s">
        <v>19</v>
      </c>
    </row>
    <row r="9" ht="19.5" customHeight="1">
      <c r="A9" s="4" t="s">
        <v>20</v>
      </c>
      <c r="B9" s="5"/>
      <c r="C9" s="5"/>
      <c r="D9" s="5"/>
      <c r="E9" s="5"/>
      <c r="F9" s="6"/>
    </row>
    <row r="10" ht="39.75" customHeight="1">
      <c r="A10" s="7" t="s">
        <v>21</v>
      </c>
    </row>
    <row r="12" ht="19.5" customHeight="1">
      <c r="A12" s="4" t="s">
        <v>22</v>
      </c>
      <c r="B12" s="5"/>
      <c r="C12" s="5"/>
      <c r="D12" s="5"/>
      <c r="E12" s="5"/>
      <c r="F12" s="6"/>
    </row>
    <row r="13" ht="39.75" customHeight="1">
      <c r="A13" s="7" t="s">
        <v>23</v>
      </c>
    </row>
    <row r="15" ht="19.5" customHeight="1">
      <c r="A15" s="4" t="s">
        <v>24</v>
      </c>
      <c r="B15" s="5"/>
      <c r="C15" s="5"/>
      <c r="D15" s="5"/>
      <c r="E15" s="5"/>
      <c r="F15" s="6"/>
    </row>
    <row r="16" ht="39.75" customHeight="1">
      <c r="A16" s="7" t="s">
        <v>25</v>
      </c>
    </row>
    <row r="18" ht="19.5" customHeight="1">
      <c r="A18" s="4" t="s">
        <v>27</v>
      </c>
      <c r="B18" s="5"/>
      <c r="C18" s="5"/>
      <c r="D18" s="5"/>
      <c r="E18" s="5"/>
      <c r="F18" s="6"/>
    </row>
    <row r="19" ht="39.75" customHeight="1">
      <c r="A19" s="7" t="s">
        <v>33</v>
      </c>
    </row>
    <row r="21" ht="19.5" customHeight="1">
      <c r="A21" s="4" t="s">
        <v>35</v>
      </c>
      <c r="B21" s="5"/>
      <c r="C21" s="5"/>
      <c r="D21" s="5"/>
      <c r="E21" s="5"/>
      <c r="F21" s="6"/>
    </row>
    <row r="22" ht="39.75" customHeight="1">
      <c r="A22" s="7" t="s">
        <v>38</v>
      </c>
    </row>
    <row r="23" ht="15.75" customHeight="1"/>
    <row r="24" ht="19.5" customHeight="1">
      <c r="A24" s="4" t="s">
        <v>40</v>
      </c>
      <c r="B24" s="5"/>
      <c r="C24" s="5"/>
      <c r="D24" s="5"/>
      <c r="E24" s="5"/>
      <c r="F24" s="6"/>
    </row>
    <row r="25" ht="39.75" customHeight="1">
      <c r="A25" s="7" t="s">
        <v>42</v>
      </c>
    </row>
    <row r="26" ht="15.75" customHeight="1"/>
    <row r="27" ht="19.5" customHeight="1">
      <c r="A27" s="4" t="s">
        <v>44</v>
      </c>
      <c r="B27" s="5"/>
      <c r="C27" s="5"/>
      <c r="D27" s="5"/>
      <c r="E27" s="5"/>
      <c r="F27" s="6"/>
    </row>
    <row r="28" ht="39.75" customHeight="1">
      <c r="A28" s="7" t="s">
        <v>47</v>
      </c>
    </row>
    <row r="29" ht="15.75" customHeight="1"/>
    <row r="30" ht="19.5" customHeight="1">
      <c r="A30" s="4" t="s">
        <v>50</v>
      </c>
      <c r="B30" s="5"/>
      <c r="C30" s="5"/>
      <c r="D30" s="5"/>
      <c r="E30" s="5"/>
      <c r="F30" s="6"/>
    </row>
    <row r="31" ht="39.75" customHeight="1">
      <c r="A31" s="7" t="s">
        <v>54</v>
      </c>
    </row>
    <row r="32" ht="15.75" customHeight="1"/>
    <row r="33" ht="19.5" customHeight="1">
      <c r="A33" s="4" t="s">
        <v>56</v>
      </c>
      <c r="B33" s="5"/>
      <c r="C33" s="5"/>
      <c r="D33" s="5"/>
      <c r="E33" s="5"/>
      <c r="F33" s="6"/>
    </row>
    <row r="34" ht="39.75" customHeight="1">
      <c r="A34" s="7" t="s">
        <v>59</v>
      </c>
    </row>
    <row r="35" ht="15.75" customHeight="1"/>
    <row r="36" ht="19.5" customHeight="1">
      <c r="A36" s="4" t="s">
        <v>61</v>
      </c>
      <c r="B36" s="5"/>
      <c r="C36" s="5"/>
      <c r="D36" s="5"/>
      <c r="E36" s="5"/>
      <c r="F36" s="6"/>
    </row>
    <row r="37" ht="39.75" customHeight="1">
      <c r="A37" s="7" t="s">
        <v>66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5">
    <mergeCell ref="A1:F1"/>
    <mergeCell ref="A3:F3"/>
    <mergeCell ref="A4:F4"/>
    <mergeCell ref="A6:F6"/>
    <mergeCell ref="A7:F7"/>
    <mergeCell ref="A9:F9"/>
    <mergeCell ref="A10:F10"/>
    <mergeCell ref="A12:F12"/>
    <mergeCell ref="A13:F13"/>
    <mergeCell ref="A15:F15"/>
    <mergeCell ref="A16:F16"/>
    <mergeCell ref="A18:F18"/>
    <mergeCell ref="A19:F19"/>
    <mergeCell ref="A21:F21"/>
    <mergeCell ref="A33:F33"/>
    <mergeCell ref="A34:F34"/>
    <mergeCell ref="A36:F36"/>
    <mergeCell ref="A37:F37"/>
    <mergeCell ref="A22:F22"/>
    <mergeCell ref="A24:F24"/>
    <mergeCell ref="A25:F25"/>
    <mergeCell ref="A27:F27"/>
    <mergeCell ref="A28:F28"/>
    <mergeCell ref="A30:F30"/>
    <mergeCell ref="A31:F3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B57"/>
    <pageSetUpPr/>
  </sheetPr>
  <sheetViews>
    <sheetView showGridLines="0" workbookViewId="0"/>
  </sheetViews>
  <sheetFormatPr customHeight="1" defaultColWidth="14.43" defaultRowHeight="15.0"/>
  <cols>
    <col customWidth="1" min="1" max="1" width="26.0"/>
    <col customWidth="1" min="2" max="3" width="12.0"/>
    <col customWidth="1" min="4" max="4" width="14.0"/>
    <col customWidth="1" min="5" max="5" width="12.0"/>
    <col customWidth="1" min="6" max="6" width="13.0"/>
    <col customWidth="1" min="7" max="7" width="3.0"/>
    <col customWidth="1" min="8" max="10" width="12.0"/>
    <col customWidth="1" min="11" max="26" width="8.71"/>
  </cols>
  <sheetData>
    <row r="1">
      <c r="A1" s="13" t="s">
        <v>140</v>
      </c>
    </row>
    <row r="2">
      <c r="A2" s="14" t="s">
        <v>144</v>
      </c>
    </row>
    <row r="4" ht="21.75" customHeight="1">
      <c r="A4" s="15" t="s">
        <v>146</v>
      </c>
      <c r="B4" s="16"/>
      <c r="C4" s="17" t="s">
        <v>150</v>
      </c>
      <c r="D4" s="16"/>
      <c r="E4" s="18" t="s">
        <v>154</v>
      </c>
      <c r="F4" s="16"/>
      <c r="G4" s="19" t="s">
        <v>160</v>
      </c>
      <c r="H4" s="16"/>
      <c r="I4" s="20" t="s">
        <v>162</v>
      </c>
      <c r="J4" s="16"/>
    </row>
    <row r="5" ht="39.75" customHeight="1">
      <c r="A5" s="21">
        <f>COUNTIF('🧴 Perfumes'!$C$2:$C$3139,"&lt;&gt;")+COUNTIF('💧 Óleos Essenciais'!$C$2:$C$1533,"&lt;&gt;")+COUNTIF('📿 Colares'!$C$2:$C$425,"&lt;&gt;")+COUNTIF('🔶 Pingentes'!$C$2:$C$501,"&lt;&gt;")+COUNTIF('💍 Joias e Acessórios'!$C$2:$C$36,"&lt;&gt;")+COUNTIF('🌬️ Difusores e Aromatizadores'!$C$2:$C$45,"&lt;&gt;")+COUNTIF('🧖 Cuidados Pessoais'!$C$2:$C$56,"&lt;&gt;")</f>
        <v>5728</v>
      </c>
      <c r="B5" s="22"/>
      <c r="C5" s="23">
        <f>COUNTIF('🧴 Perfumes'!$A$2:$A$3139,"Corrigido")+COUNTIF('💧 Óleos Essenciais'!$A$2:$A$1533,"Corrigido")+COUNTIF('📿 Colares'!$A$2:$A$425,"Corrigido")+COUNTIF('🔶 Pingentes'!$A$2:$A$501,"Corrigido")+COUNTIF('💍 Joias e Acessórios'!$A$2:$A$36,"Corrigido")+COUNTIF('🌬️ Difusores e Aromatizadores'!$A$2:$A$45,"Corrigido")+COUNTIF('🧖 Cuidados Pessoais'!$A$2:$A$56,"Corrigido")</f>
        <v>0</v>
      </c>
      <c r="D5" s="22"/>
      <c r="E5" s="24">
        <f>COUNTIF('🧴 Perfumes'!$A$2:$A$3139,"Em andamento")+COUNTIF('💧 Óleos Essenciais'!$A$2:$A$1533,"Em andamento")+COUNTIF('📿 Colares'!$A$2:$A$425,"Em andamento")+COUNTIF('🔶 Pingentes'!$A$2:$A$501,"Em andamento")+COUNTIF('💍 Joias e Acessórios'!$A$2:$A$36,"Em andamento")+COUNTIF('🌬️ Difusores e Aromatizadores'!$A$2:$A$45,"Em andamento")+COUNTIF('🧖 Cuidados Pessoais'!$A$2:$A$56,"Em andamento")</f>
        <v>0</v>
      </c>
      <c r="F5" s="22"/>
      <c r="G5" s="25">
        <f>COUNTIFS('🧴 Perfumes'!$B$2:$B$3139,"Crítico",'🧴 Perfumes'!$A$2:$A$3139,"&lt;&gt;Corrigido")+COUNTIFS('💧 Óleos Essenciais'!$B$2:$B$1533,"Crítico",'💧 Óleos Essenciais'!$A$2:$A$1533,"&lt;&gt;Corrigido")+COUNTIFS('📿 Colares'!$B$2:$B$425,"Crítico",'📿 Colares'!$A$2:$A$425,"&lt;&gt;Corrigido")+COUNTIFS('🔶 Pingentes'!$B$2:$B$501,"Crítico",'🔶 Pingentes'!$A$2:$A$501,"&lt;&gt;Corrigido")+COUNTIFS('💍 Joias e Acessórios'!$B$2:$B$36,"Crítico",'💍 Joias e Acessórios'!$A$2:$A$36,"&lt;&gt;Corrigido")+COUNTIFS('🌬️ Difusores e Aromatizadores'!$B$2:$B$45,"Crítico",'🌬️ Difusores e Aromatizadores'!$A$2:$A$45,"&lt;&gt;Corrigido")+COUNTIFS('🧖 Cuidados Pessoais'!$B$2:$B$56,"Crítico",'🧖 Cuidados Pessoais'!$A$2:$A$56,"&lt;&gt;Corrigido")</f>
        <v>630</v>
      </c>
      <c r="H5" s="22"/>
      <c r="I5" s="26">
        <f>COUNTIF('🧴 Perfumes'!$A$2:$A$3139,"Corrigido")+COUNTIF('💧 Óleos Essenciais'!$A$2:$A$1533,"Corrigido")+COUNTIF('📿 Colares'!$A$2:$A$425,"Corrigido")+COUNTIF('🔶 Pingentes'!$A$2:$A$501,"Corrigido")+COUNTIF('💍 Joias e Acessórios'!$A$2:$A$36,"Corrigido")+COUNTIF('🌬️ Difusores e Aromatizadores'!$A$2:$A$45,"Corrigido")+COUNTIF('🧖 Cuidados Pessoais'!$A$2:$A$56,"Corrigido")/COUNTIF('🧴 Perfumes'!$C$2:$C$3139,"&lt;&gt;")+COUNTIF('💧 Óleos Essenciais'!$C$2:$C$1533,"&lt;&gt;")+COUNTIF('📿 Colares'!$C$2:$C$425,"&lt;&gt;")+COUNTIF('🔶 Pingentes'!$C$2:$C$501,"&lt;&gt;")+COUNTIF('💍 Joias e Acessórios'!$C$2:$C$36,"&lt;&gt;")+COUNTIF('🌬️ Difusores e Aromatizadores'!$C$2:$C$45,"&lt;&gt;")+COUNTIF('🧖 Cuidados Pessoais'!$C$2:$C$56,"&lt;&gt;")</f>
        <v>2590</v>
      </c>
      <c r="J5" s="22"/>
    </row>
    <row r="6">
      <c r="A6" s="27"/>
      <c r="B6" s="28"/>
      <c r="C6" s="27"/>
      <c r="D6" s="28"/>
      <c r="E6" s="27"/>
      <c r="F6" s="28"/>
      <c r="G6" s="27"/>
      <c r="H6" s="28"/>
      <c r="I6" s="27"/>
      <c r="J6" s="28"/>
    </row>
    <row r="9">
      <c r="A9" s="29" t="s">
        <v>256</v>
      </c>
    </row>
    <row r="10">
      <c r="A10" s="1" t="s">
        <v>2</v>
      </c>
      <c r="B10" s="1" t="s">
        <v>260</v>
      </c>
      <c r="C10" s="1" t="s">
        <v>261</v>
      </c>
      <c r="D10" s="1" t="s">
        <v>154</v>
      </c>
      <c r="E10" s="1" t="s">
        <v>263</v>
      </c>
      <c r="F10" s="1" t="s">
        <v>162</v>
      </c>
    </row>
    <row r="11">
      <c r="A11" s="30" t="s">
        <v>14</v>
      </c>
      <c r="B11" s="31">
        <f>COUNTIFS('🧴 Perfumes'!$B$2:$B$3139,"Crítico")+COUNTIFS('💧 Óleos Essenciais'!$B$2:$B$1533,"Crítico")+COUNTIFS('📿 Colares'!$B$2:$B$425,"Crítico")+COUNTIFS('🔶 Pingentes'!$B$2:$B$501,"Crítico")+COUNTIFS('💍 Joias e Acessórios'!$B$2:$B$36,"Crítico")+COUNTIFS('🌬️ Difusores e Aromatizadores'!$B$2:$B$45,"Crítico")+COUNTIFS('🧖 Cuidados Pessoais'!$B$2:$B$56,"Crítico")</f>
        <v>630</v>
      </c>
      <c r="C11" s="31">
        <f>COUNTIFS('🧴 Perfumes'!$B$2:$B$3139,"Crítico",'🧴 Perfumes'!$A$2:$A$3139,"Corrigido")+COUNTIFS('💧 Óleos Essenciais'!$B$2:$B$1533,"Crítico",'💧 Óleos Essenciais'!$A$2:$A$1533,"Corrigido")+COUNTIFS('📿 Colares'!$B$2:$B$425,"Crítico",'📿 Colares'!$A$2:$A$425,"Corrigido")+COUNTIFS('🔶 Pingentes'!$B$2:$B$501,"Crítico",'🔶 Pingentes'!$A$2:$A$501,"Corrigido")+COUNTIFS('💍 Joias e Acessórios'!$B$2:$B$36,"Crítico",'💍 Joias e Acessórios'!$A$2:$A$36,"Corrigido")+COUNTIFS('🌬️ Difusores e Aromatizadores'!$B$2:$B$45,"Crítico",'🌬️ Difusores e Aromatizadores'!$A$2:$A$45,"Corrigido")+COUNTIFS('🧖 Cuidados Pessoais'!$B$2:$B$56,"Crítico",'🧖 Cuidados Pessoais'!$A$2:$A$56,"Corrigido")</f>
        <v>0</v>
      </c>
      <c r="D11" s="31">
        <f>COUNTIFS('🧴 Perfumes'!$B$2:$B$3139,"Crítico",'🧴 Perfumes'!$A$2:$A$3139,"Em andamento")+COUNTIFS('💧 Óleos Essenciais'!$B$2:$B$1533,"Crítico",'💧 Óleos Essenciais'!$A$2:$A$1533,"Em andamento")+COUNTIFS('📿 Colares'!$B$2:$B$425,"Crítico",'📿 Colares'!$A$2:$A$425,"Em andamento")+COUNTIFS('🔶 Pingentes'!$B$2:$B$501,"Crítico",'🔶 Pingentes'!$A$2:$A$501,"Em andamento")+COUNTIFS('💍 Joias e Acessórios'!$B$2:$B$36,"Crítico",'💍 Joias e Acessórios'!$A$2:$A$36,"Em andamento")+COUNTIFS('🌬️ Difusores e Aromatizadores'!$B$2:$B$45,"Crítico",'🌬️ Difusores e Aromatizadores'!$A$2:$A$45,"Em andamento")+COUNTIFS('🧖 Cuidados Pessoais'!$B$2:$B$56,"Crítico",'🧖 Cuidados Pessoais'!$A$2:$A$56,"Em andamento")</f>
        <v>0</v>
      </c>
      <c r="E11" s="31">
        <f t="shared" ref="E11:E14" si="1">B11-C11-D11</f>
        <v>630</v>
      </c>
      <c r="F11" s="32">
        <f t="shared" ref="F11:F14" si="2">IF(B11=0,0,C11/B11)</f>
        <v>0</v>
      </c>
    </row>
    <row r="12">
      <c r="A12" s="33" t="s">
        <v>82</v>
      </c>
      <c r="B12" s="31">
        <f>COUNTIFS('🧴 Perfumes'!$B$2:$B$3139,"Alto")+COUNTIFS('💧 Óleos Essenciais'!$B$2:$B$1533,"Alto")+COUNTIFS('📿 Colares'!$B$2:$B$425,"Alto")+COUNTIFS('🔶 Pingentes'!$B$2:$B$501,"Alto")+COUNTIFS('💍 Joias e Acessórios'!$B$2:$B$36,"Alto")+COUNTIFS('🌬️ Difusores e Aromatizadores'!$B$2:$B$45,"Alto")+COUNTIFS('🧖 Cuidados Pessoais'!$B$2:$B$56,"Alto")</f>
        <v>2781</v>
      </c>
      <c r="C12" s="31">
        <f>COUNTIFS('🧴 Perfumes'!$B$2:$B$3139,"Alto",'🧴 Perfumes'!$A$2:$A$3139,"Corrigido")+COUNTIFS('💧 Óleos Essenciais'!$B$2:$B$1533,"Alto",'💧 Óleos Essenciais'!$A$2:$A$1533,"Corrigido")+COUNTIFS('📿 Colares'!$B$2:$B$425,"Alto",'📿 Colares'!$A$2:$A$425,"Corrigido")+COUNTIFS('🔶 Pingentes'!$B$2:$B$501,"Alto",'🔶 Pingentes'!$A$2:$A$501,"Corrigido")+COUNTIFS('💍 Joias e Acessórios'!$B$2:$B$36,"Alto",'💍 Joias e Acessórios'!$A$2:$A$36,"Corrigido")+COUNTIFS('🌬️ Difusores e Aromatizadores'!$B$2:$B$45,"Alto",'🌬️ Difusores e Aromatizadores'!$A$2:$A$45,"Corrigido")+COUNTIFS('🧖 Cuidados Pessoais'!$B$2:$B$56,"Alto",'🧖 Cuidados Pessoais'!$A$2:$A$56,"Corrigido")</f>
        <v>0</v>
      </c>
      <c r="D12" s="31">
        <f>COUNTIFS('🧴 Perfumes'!$B$2:$B$3139,"Alto",'🧴 Perfumes'!$A$2:$A$3139,"Em andamento")+COUNTIFS('💧 Óleos Essenciais'!$B$2:$B$1533,"Alto",'💧 Óleos Essenciais'!$A$2:$A$1533,"Em andamento")+COUNTIFS('📿 Colares'!$B$2:$B$425,"Alto",'📿 Colares'!$A$2:$A$425,"Em andamento")+COUNTIFS('🔶 Pingentes'!$B$2:$B$501,"Alto",'🔶 Pingentes'!$A$2:$A$501,"Em andamento")+COUNTIFS('💍 Joias e Acessórios'!$B$2:$B$36,"Alto",'💍 Joias e Acessórios'!$A$2:$A$36,"Em andamento")+COUNTIFS('🌬️ Difusores e Aromatizadores'!$B$2:$B$45,"Alto",'🌬️ Difusores e Aromatizadores'!$A$2:$A$45,"Em andamento")+COUNTIFS('🧖 Cuidados Pessoais'!$B$2:$B$56,"Alto",'🧖 Cuidados Pessoais'!$A$2:$A$56,"Em andamento")</f>
        <v>0</v>
      </c>
      <c r="E12" s="31">
        <f t="shared" si="1"/>
        <v>2781</v>
      </c>
      <c r="F12" s="32">
        <f t="shared" si="2"/>
        <v>0</v>
      </c>
    </row>
    <row r="13">
      <c r="A13" s="34" t="s">
        <v>359</v>
      </c>
      <c r="B13" s="31">
        <f>COUNTIFS('🧴 Perfumes'!$B$2:$B$3139,"Médio")+COUNTIFS('💧 Óleos Essenciais'!$B$2:$B$1533,"Médio")+COUNTIFS('📿 Colares'!$B$2:$B$425,"Médio")+COUNTIFS('🔶 Pingentes'!$B$2:$B$501,"Médio")+COUNTIFS('💍 Joias e Acessórios'!$B$2:$B$36,"Médio")+COUNTIFS('🌬️ Difusores e Aromatizadores'!$B$2:$B$45,"Médio")+COUNTIFS('🧖 Cuidados Pessoais'!$B$2:$B$56,"Médio")</f>
        <v>2317</v>
      </c>
      <c r="C13" s="31">
        <f>COUNTIFS('🧴 Perfumes'!$B$2:$B$3139,"Médio",'🧴 Perfumes'!$A$2:$A$3139,"Corrigido")+COUNTIFS('💧 Óleos Essenciais'!$B$2:$B$1533,"Médio",'💧 Óleos Essenciais'!$A$2:$A$1533,"Corrigido")+COUNTIFS('📿 Colares'!$B$2:$B$425,"Médio",'📿 Colares'!$A$2:$A$425,"Corrigido")+COUNTIFS('🔶 Pingentes'!$B$2:$B$501,"Médio",'🔶 Pingentes'!$A$2:$A$501,"Corrigido")+COUNTIFS('💍 Joias e Acessórios'!$B$2:$B$36,"Médio",'💍 Joias e Acessórios'!$A$2:$A$36,"Corrigido")+COUNTIFS('🌬️ Difusores e Aromatizadores'!$B$2:$B$45,"Médio",'🌬️ Difusores e Aromatizadores'!$A$2:$A$45,"Corrigido")+COUNTIFS('🧖 Cuidados Pessoais'!$B$2:$B$56,"Médio",'🧖 Cuidados Pessoais'!$A$2:$A$56,"Corrigido")</f>
        <v>0</v>
      </c>
      <c r="D13" s="31">
        <f>COUNTIFS('🧴 Perfumes'!$B$2:$B$3139,"Médio",'🧴 Perfumes'!$A$2:$A$3139,"Em andamento")+COUNTIFS('💧 Óleos Essenciais'!$B$2:$B$1533,"Médio",'💧 Óleos Essenciais'!$A$2:$A$1533,"Em andamento")+COUNTIFS('📿 Colares'!$B$2:$B$425,"Médio",'📿 Colares'!$A$2:$A$425,"Em andamento")+COUNTIFS('🔶 Pingentes'!$B$2:$B$501,"Médio",'🔶 Pingentes'!$A$2:$A$501,"Em andamento")+COUNTIFS('💍 Joias e Acessórios'!$B$2:$B$36,"Médio",'💍 Joias e Acessórios'!$A$2:$A$36,"Em andamento")+COUNTIFS('🌬️ Difusores e Aromatizadores'!$B$2:$B$45,"Médio",'🌬️ Difusores e Aromatizadores'!$A$2:$A$45,"Em andamento")+COUNTIFS('🧖 Cuidados Pessoais'!$B$2:$B$56,"Médio",'🧖 Cuidados Pessoais'!$A$2:$A$56,"Em andamento")</f>
        <v>0</v>
      </c>
      <c r="E13" s="31">
        <f t="shared" si="1"/>
        <v>2317</v>
      </c>
      <c r="F13" s="32">
        <f t="shared" si="2"/>
        <v>0</v>
      </c>
    </row>
    <row r="14">
      <c r="A14" s="35" t="s">
        <v>398</v>
      </c>
      <c r="B14" s="31">
        <f>COUNTIFS('🧴 Perfumes'!$B$2:$B$3139,"Baixo")+COUNTIFS('💧 Óleos Essenciais'!$B$2:$B$1533,"Baixo")+COUNTIFS('📿 Colares'!$B$2:$B$425,"Baixo")+COUNTIFS('🔶 Pingentes'!$B$2:$B$501,"Baixo")+COUNTIFS('💍 Joias e Acessórios'!$B$2:$B$36,"Baixo")+COUNTIFS('🌬️ Difusores e Aromatizadores'!$B$2:$B$45,"Baixo")+COUNTIFS('🧖 Cuidados Pessoais'!$B$2:$B$56,"Baixo")</f>
        <v>0</v>
      </c>
      <c r="C14" s="31">
        <f>COUNTIFS('🧴 Perfumes'!$B$2:$B$3139,"Baixo",'🧴 Perfumes'!$A$2:$A$3139,"Corrigido")+COUNTIFS('💧 Óleos Essenciais'!$B$2:$B$1533,"Baixo",'💧 Óleos Essenciais'!$A$2:$A$1533,"Corrigido")+COUNTIFS('📿 Colares'!$B$2:$B$425,"Baixo",'📿 Colares'!$A$2:$A$425,"Corrigido")+COUNTIFS('🔶 Pingentes'!$B$2:$B$501,"Baixo",'🔶 Pingentes'!$A$2:$A$501,"Corrigido")+COUNTIFS('💍 Joias e Acessórios'!$B$2:$B$36,"Baixo",'💍 Joias e Acessórios'!$A$2:$A$36,"Corrigido")+COUNTIFS('🌬️ Difusores e Aromatizadores'!$B$2:$B$45,"Baixo",'🌬️ Difusores e Aromatizadores'!$A$2:$A$45,"Corrigido")+COUNTIFS('🧖 Cuidados Pessoais'!$B$2:$B$56,"Baixo",'🧖 Cuidados Pessoais'!$A$2:$A$56,"Corrigido")</f>
        <v>0</v>
      </c>
      <c r="D14" s="31">
        <f>COUNTIFS('🧴 Perfumes'!$B$2:$B$3139,"Baixo",'🧴 Perfumes'!$A$2:$A$3139,"Em andamento")+COUNTIFS('💧 Óleos Essenciais'!$B$2:$B$1533,"Baixo",'💧 Óleos Essenciais'!$A$2:$A$1533,"Em andamento")+COUNTIFS('📿 Colares'!$B$2:$B$425,"Baixo",'📿 Colares'!$A$2:$A$425,"Em andamento")+COUNTIFS('🔶 Pingentes'!$B$2:$B$501,"Baixo",'🔶 Pingentes'!$A$2:$A$501,"Em andamento")+COUNTIFS('💍 Joias e Acessórios'!$B$2:$B$36,"Baixo",'💍 Joias e Acessórios'!$A$2:$A$36,"Em andamento")+COUNTIFS('🌬️ Difusores e Aromatizadores'!$B$2:$B$45,"Baixo",'🌬️ Difusores e Aromatizadores'!$A$2:$A$45,"Em andamento")+COUNTIFS('🧖 Cuidados Pessoais'!$B$2:$B$56,"Baixo",'🧖 Cuidados Pessoais'!$A$2:$A$56,"Em andamento")</f>
        <v>0</v>
      </c>
      <c r="E14" s="31">
        <f t="shared" si="1"/>
        <v>0</v>
      </c>
      <c r="F14" s="32">
        <f t="shared" si="2"/>
        <v>0</v>
      </c>
    </row>
    <row r="17">
      <c r="A17" s="29" t="s">
        <v>439</v>
      </c>
    </row>
    <row r="18">
      <c r="A18" s="1" t="s">
        <v>441</v>
      </c>
      <c r="B18" s="1" t="s">
        <v>260</v>
      </c>
      <c r="C18" s="1" t="s">
        <v>261</v>
      </c>
      <c r="D18" s="1" t="s">
        <v>154</v>
      </c>
      <c r="E18" s="1" t="s">
        <v>263</v>
      </c>
      <c r="F18" s="1" t="s">
        <v>162</v>
      </c>
    </row>
    <row r="19">
      <c r="A19" s="36" t="s">
        <v>445</v>
      </c>
      <c r="B19" s="37">
        <f>COUNTIF('🧴 Perfumes'!$C$2:$C$3139,"&lt;&gt;")</f>
        <v>3138</v>
      </c>
      <c r="C19" s="37">
        <f>COUNTIF('🧴 Perfumes'!$A$2:$A$3139,"Corrigido")</f>
        <v>0</v>
      </c>
      <c r="D19" s="37">
        <f>COUNTIF('🧴 Perfumes'!$A$2:$A$3139,"Em andamento")</f>
        <v>0</v>
      </c>
      <c r="E19" s="37">
        <f t="shared" ref="E19:E25" si="3">B19-C19-D19</f>
        <v>3138</v>
      </c>
      <c r="F19" s="38">
        <f t="shared" ref="F19:F25" si="4">IF(B19=0,0,C19/B19)</f>
        <v>0</v>
      </c>
    </row>
    <row r="20">
      <c r="A20" s="39" t="s">
        <v>464</v>
      </c>
      <c r="B20" s="31">
        <f>COUNTIF('💧 Óleos Essenciais'!$C$2:$C$1533,"&lt;&gt;")</f>
        <v>1532</v>
      </c>
      <c r="C20" s="31">
        <f>COUNTIF('💧 Óleos Essenciais'!$A$2:$A$1533,"Corrigido")</f>
        <v>0</v>
      </c>
      <c r="D20" s="31">
        <f>COUNTIF('💧 Óleos Essenciais'!$A$2:$A$1533,"Em andamento")</f>
        <v>0</v>
      </c>
      <c r="E20" s="31">
        <f t="shared" si="3"/>
        <v>1532</v>
      </c>
      <c r="F20" s="32">
        <f t="shared" si="4"/>
        <v>0</v>
      </c>
    </row>
    <row r="21" ht="15.75" customHeight="1">
      <c r="A21" s="36" t="s">
        <v>481</v>
      </c>
      <c r="B21" s="37">
        <f>COUNTIF('📿 Colares'!$C$2:$C$425,"&lt;&gt;")</f>
        <v>424</v>
      </c>
      <c r="C21" s="37">
        <f>COUNTIF('📿 Colares'!$A$2:$A$425,"Corrigido")</f>
        <v>0</v>
      </c>
      <c r="D21" s="37">
        <f>COUNTIF('📿 Colares'!$A$2:$A$425,"Em andamento")</f>
        <v>0</v>
      </c>
      <c r="E21" s="37">
        <f t="shared" si="3"/>
        <v>424</v>
      </c>
      <c r="F21" s="38">
        <f t="shared" si="4"/>
        <v>0</v>
      </c>
    </row>
    <row r="22" ht="15.75" customHeight="1">
      <c r="A22" s="39" t="s">
        <v>494</v>
      </c>
      <c r="B22" s="31">
        <f>COUNTIF('🔶 Pingentes'!$C$2:$C$501,"&lt;&gt;")</f>
        <v>500</v>
      </c>
      <c r="C22" s="31">
        <f>COUNTIF('🔶 Pingentes'!$A$2:$A$501,"Corrigido")</f>
        <v>0</v>
      </c>
      <c r="D22" s="31">
        <f>COUNTIF('🔶 Pingentes'!$A$2:$A$501,"Em andamento")</f>
        <v>0</v>
      </c>
      <c r="E22" s="31">
        <f t="shared" si="3"/>
        <v>500</v>
      </c>
      <c r="F22" s="32">
        <f t="shared" si="4"/>
        <v>0</v>
      </c>
    </row>
    <row r="23" ht="15.75" customHeight="1">
      <c r="A23" s="36" t="s">
        <v>508</v>
      </c>
      <c r="B23" s="37">
        <f>COUNTIF('💍 Joias e Acessórios'!$C$2:$C$36,"&lt;&gt;")</f>
        <v>35</v>
      </c>
      <c r="C23" s="37">
        <f>COUNTIF('💍 Joias e Acessórios'!$A$2:$A$36,"Corrigido")</f>
        <v>0</v>
      </c>
      <c r="D23" s="37">
        <f>COUNTIF('💍 Joias e Acessórios'!$A$2:$A$36,"Em andamento")</f>
        <v>0</v>
      </c>
      <c r="E23" s="37">
        <f t="shared" si="3"/>
        <v>35</v>
      </c>
      <c r="F23" s="38">
        <f t="shared" si="4"/>
        <v>0</v>
      </c>
    </row>
    <row r="24" ht="15.75" customHeight="1">
      <c r="A24" s="39" t="s">
        <v>518</v>
      </c>
      <c r="B24" s="31">
        <f>COUNTIF('🌬️ Difusores e Aromatizadores'!$C$2:$C$45,"&lt;&gt;")</f>
        <v>44</v>
      </c>
      <c r="C24" s="31">
        <f>COUNTIF('🌬️ Difusores e Aromatizadores'!$A$2:$A$45,"Corrigido")</f>
        <v>0</v>
      </c>
      <c r="D24" s="31">
        <f>COUNTIF('🌬️ Difusores e Aromatizadores'!$A$2:$A$45,"Em andamento")</f>
        <v>0</v>
      </c>
      <c r="E24" s="31">
        <f t="shared" si="3"/>
        <v>44</v>
      </c>
      <c r="F24" s="32">
        <f t="shared" si="4"/>
        <v>0</v>
      </c>
    </row>
    <row r="25" ht="15.75" customHeight="1">
      <c r="A25" s="36" t="s">
        <v>527</v>
      </c>
      <c r="B25" s="37">
        <f>COUNTIF('🧖 Cuidados Pessoais'!$C$2:$C$56,"&lt;&gt;")</f>
        <v>55</v>
      </c>
      <c r="C25" s="37">
        <f>COUNTIF('🧖 Cuidados Pessoais'!$A$2:$A$56,"Corrigido")</f>
        <v>0</v>
      </c>
      <c r="D25" s="37">
        <f>COUNTIF('🧖 Cuidados Pessoais'!$A$2:$A$56,"Em andamento")</f>
        <v>0</v>
      </c>
      <c r="E25" s="37">
        <f t="shared" si="3"/>
        <v>55</v>
      </c>
      <c r="F25" s="38">
        <f t="shared" si="4"/>
        <v>0</v>
      </c>
    </row>
    <row r="26" ht="15.75" customHeight="1"/>
    <row r="27" ht="15.75" customHeight="1"/>
    <row r="28" ht="15.75" customHeight="1">
      <c r="A28" s="29" t="s">
        <v>539</v>
      </c>
    </row>
    <row r="29" ht="15.75" customHeight="1">
      <c r="A29" s="40" t="s">
        <v>12</v>
      </c>
      <c r="B29" s="41">
        <f>COUNTIF('🧴 Perfumes'!$A$2:$A$3139,"Não verificado")+COUNTIF('💧 Óleos Essenciais'!$A$2:$A$1533,"Não verificado")+COUNTIF('📿 Colares'!$A$2:$A$425,"Não verificado")+COUNTIF('🔶 Pingentes'!$A$2:$A$501,"Não verificado")+COUNTIF('💍 Joias e Acessórios'!$A$2:$A$36,"Não verificado")+COUNTIF('🌬️ Difusores e Aromatizadores'!$A$2:$A$45,"Não verificado")+COUNTIF('🧖 Cuidados Pessoais'!$A$2:$A$56,"Não verificado")</f>
        <v>5728</v>
      </c>
    </row>
    <row r="30" ht="15.75" customHeight="1">
      <c r="A30" s="42" t="s">
        <v>552</v>
      </c>
      <c r="B30" s="41">
        <f>COUNTIF('🧴 Perfumes'!$A$2:$A$3139,"Em andamento")+COUNTIF('💧 Óleos Essenciais'!$A$2:$A$1533,"Em andamento")+COUNTIF('📿 Colares'!$A$2:$A$425,"Em andamento")+COUNTIF('🔶 Pingentes'!$A$2:$A$501,"Em andamento")+COUNTIF('💍 Joias e Acessórios'!$A$2:$A$36,"Em andamento")+COUNTIF('🌬️ Difusores e Aromatizadores'!$A$2:$A$45,"Em andamento")+COUNTIF('🧖 Cuidados Pessoais'!$A$2:$A$56,"Em andamento")</f>
        <v>0</v>
      </c>
    </row>
    <row r="31" ht="15.75" customHeight="1">
      <c r="A31" s="43" t="s">
        <v>562</v>
      </c>
      <c r="B31" s="41">
        <f>COUNTIF('🧴 Perfumes'!$A$2:$A$3139,"Corrigido")+COUNTIF('💧 Óleos Essenciais'!$A$2:$A$1533,"Corrigido")+COUNTIF('📿 Colares'!$A$2:$A$425,"Corrigido")+COUNTIF('🔶 Pingentes'!$A$2:$A$501,"Corrigido")+COUNTIF('💍 Joias e Acessórios'!$A$2:$A$36,"Corrigido")+COUNTIF('🌬️ Difusores e Aromatizadores'!$A$2:$A$45,"Corrigido")+COUNTIF('🧖 Cuidados Pessoais'!$A$2:$A$56,"Corrigido")</f>
        <v>0</v>
      </c>
    </row>
    <row r="32" ht="15.75" customHeight="1">
      <c r="A32" s="44" t="s">
        <v>572</v>
      </c>
      <c r="B32" s="41">
        <f>COUNTIF('🧴 Perfumes'!$A$2:$A$3139,"Não se aplica")+COUNTIF('💧 Óleos Essenciais'!$A$2:$A$1533,"Não se aplica")+COUNTIF('📿 Colares'!$A$2:$A$425,"Não se aplica")+COUNTIF('🔶 Pingentes'!$A$2:$A$501,"Não se aplica")+COUNTIF('💍 Joias e Acessórios'!$A$2:$A$36,"Não se aplica")+COUNTIF('🌬️ Difusores e Aromatizadores'!$A$2:$A$45,"Não se aplica")+COUNTIF('🧖 Cuidados Pessoais'!$A$2:$A$56,"Não se aplica")</f>
        <v>0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5:B6"/>
    <mergeCell ref="C5:D6"/>
    <mergeCell ref="E5:F6"/>
    <mergeCell ref="G5:H6"/>
    <mergeCell ref="I5:J6"/>
    <mergeCell ref="A9:F9"/>
    <mergeCell ref="A17:F17"/>
    <mergeCell ref="A1:H1"/>
    <mergeCell ref="A2:H2"/>
    <mergeCell ref="A4:B4"/>
    <mergeCell ref="C4:D4"/>
    <mergeCell ref="E4:F4"/>
    <mergeCell ref="G4:H4"/>
    <mergeCell ref="I4:J4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4" width="14.0"/>
    <col customWidth="1" min="5" max="5" width="45.0"/>
    <col customWidth="1" min="6" max="6" width="13.0"/>
    <col customWidth="1" min="7" max="7" width="45.0"/>
    <col customWidth="1" min="8" max="8" width="55.0"/>
    <col customWidth="1" min="9" max="9" width="16.0"/>
    <col customWidth="1" min="10" max="10" width="12.0"/>
    <col customWidth="1" min="11" max="11" width="30.0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3" t="s">
        <v>12</v>
      </c>
      <c r="B2" s="3" t="s">
        <v>14</v>
      </c>
      <c r="C2" s="3" t="s">
        <v>17</v>
      </c>
      <c r="D2" s="8" t="str">
        <f t="shared" ref="D2:D3139" si="1">HYPERLINK("https://www.mercadolivre.com.br/anuncios?page=1&amp;sort=DEFAULT&amp;search="&amp;C2,"Abrir anúncio ↗")</f>
        <v>Abrir anúncio ↗</v>
      </c>
      <c r="E2" s="9" t="s">
        <v>26</v>
      </c>
      <c r="F2" s="3" t="s">
        <v>29</v>
      </c>
      <c r="G2" s="9" t="s">
        <v>32</v>
      </c>
      <c r="H2" s="9" t="s">
        <v>34</v>
      </c>
      <c r="I2" s="3"/>
      <c r="J2" s="3"/>
      <c r="K2" s="9"/>
    </row>
    <row r="3">
      <c r="A3" s="10" t="s">
        <v>12</v>
      </c>
      <c r="B3" s="10" t="s">
        <v>14</v>
      </c>
      <c r="C3" s="10" t="s">
        <v>37</v>
      </c>
      <c r="D3" s="11" t="str">
        <f t="shared" si="1"/>
        <v>Abrir anúncio ↗</v>
      </c>
      <c r="E3" s="12" t="s">
        <v>41</v>
      </c>
      <c r="F3" s="10" t="s">
        <v>29</v>
      </c>
      <c r="G3" s="12" t="s">
        <v>32</v>
      </c>
      <c r="H3" s="12" t="s">
        <v>34</v>
      </c>
      <c r="I3" s="10"/>
      <c r="J3" s="10"/>
      <c r="K3" s="12"/>
    </row>
    <row r="4">
      <c r="A4" s="3" t="s">
        <v>12</v>
      </c>
      <c r="B4" s="3" t="s">
        <v>14</v>
      </c>
      <c r="C4" s="3" t="s">
        <v>46</v>
      </c>
      <c r="D4" s="8" t="str">
        <f t="shared" si="1"/>
        <v>Abrir anúncio ↗</v>
      </c>
      <c r="E4" s="9" t="s">
        <v>49</v>
      </c>
      <c r="F4" s="3" t="s">
        <v>29</v>
      </c>
      <c r="G4" s="9" t="s">
        <v>52</v>
      </c>
      <c r="H4" s="9" t="s">
        <v>53</v>
      </c>
      <c r="I4" s="3"/>
      <c r="J4" s="3"/>
      <c r="K4" s="9"/>
    </row>
    <row r="5">
      <c r="A5" s="10" t="s">
        <v>12</v>
      </c>
      <c r="B5" s="10" t="s">
        <v>14</v>
      </c>
      <c r="C5" s="10" t="s">
        <v>58</v>
      </c>
      <c r="D5" s="11" t="str">
        <f t="shared" si="1"/>
        <v>Abrir anúncio ↗</v>
      </c>
      <c r="E5" s="12" t="s">
        <v>60</v>
      </c>
      <c r="F5" s="10" t="s">
        <v>29</v>
      </c>
      <c r="G5" s="12" t="s">
        <v>63</v>
      </c>
      <c r="H5" s="12" t="s">
        <v>65</v>
      </c>
      <c r="I5" s="10"/>
      <c r="J5" s="10"/>
      <c r="K5" s="12"/>
    </row>
    <row r="6">
      <c r="A6" s="3" t="s">
        <v>12</v>
      </c>
      <c r="B6" s="3" t="s">
        <v>14</v>
      </c>
      <c r="C6" s="3" t="s">
        <v>70</v>
      </c>
      <c r="D6" s="8" t="str">
        <f t="shared" si="1"/>
        <v>Abrir anúncio ↗</v>
      </c>
      <c r="E6" s="9" t="s">
        <v>72</v>
      </c>
      <c r="F6" s="3" t="s">
        <v>29</v>
      </c>
      <c r="G6" s="9" t="s">
        <v>73</v>
      </c>
      <c r="H6" s="9" t="s">
        <v>74</v>
      </c>
      <c r="I6" s="3"/>
      <c r="J6" s="3"/>
      <c r="K6" s="9"/>
    </row>
    <row r="7">
      <c r="A7" s="10" t="s">
        <v>12</v>
      </c>
      <c r="B7" s="10" t="s">
        <v>14</v>
      </c>
      <c r="C7" s="10" t="s">
        <v>77</v>
      </c>
      <c r="D7" s="11" t="str">
        <f t="shared" si="1"/>
        <v>Abrir anúncio ↗</v>
      </c>
      <c r="E7" s="12" t="s">
        <v>78</v>
      </c>
      <c r="F7" s="10" t="s">
        <v>29</v>
      </c>
      <c r="G7" s="12" t="s">
        <v>79</v>
      </c>
      <c r="H7" s="12" t="s">
        <v>80</v>
      </c>
      <c r="I7" s="10"/>
      <c r="J7" s="10"/>
      <c r="K7" s="12"/>
    </row>
    <row r="8">
      <c r="A8" s="3" t="s">
        <v>12</v>
      </c>
      <c r="B8" s="3" t="s">
        <v>82</v>
      </c>
      <c r="C8" s="3" t="s">
        <v>83</v>
      </c>
      <c r="D8" s="8" t="str">
        <f t="shared" si="1"/>
        <v>Abrir anúncio ↗</v>
      </c>
      <c r="E8" s="9" t="s">
        <v>85</v>
      </c>
      <c r="F8" s="3" t="s">
        <v>86</v>
      </c>
      <c r="G8" s="9" t="s">
        <v>87</v>
      </c>
      <c r="H8" s="9" t="s">
        <v>88</v>
      </c>
      <c r="I8" s="3"/>
      <c r="J8" s="3"/>
      <c r="K8" s="9"/>
    </row>
    <row r="9">
      <c r="A9" s="10" t="s">
        <v>12</v>
      </c>
      <c r="B9" s="10" t="s">
        <v>82</v>
      </c>
      <c r="C9" s="10" t="s">
        <v>90</v>
      </c>
      <c r="D9" s="11" t="str">
        <f t="shared" si="1"/>
        <v>Abrir anúncio ↗</v>
      </c>
      <c r="E9" s="12" t="s">
        <v>92</v>
      </c>
      <c r="F9" s="10" t="s">
        <v>29</v>
      </c>
      <c r="G9" s="12" t="s">
        <v>93</v>
      </c>
      <c r="H9" s="12" t="s">
        <v>94</v>
      </c>
      <c r="I9" s="10"/>
      <c r="J9" s="10"/>
      <c r="K9" s="12"/>
    </row>
    <row r="10">
      <c r="A10" s="3" t="s">
        <v>12</v>
      </c>
      <c r="B10" s="3" t="s">
        <v>82</v>
      </c>
      <c r="C10" s="3" t="s">
        <v>97</v>
      </c>
      <c r="D10" s="8" t="str">
        <f t="shared" si="1"/>
        <v>Abrir anúncio ↗</v>
      </c>
      <c r="E10" s="9" t="s">
        <v>98</v>
      </c>
      <c r="F10" s="3" t="s">
        <v>29</v>
      </c>
      <c r="G10" s="9" t="s">
        <v>99</v>
      </c>
      <c r="H10" s="9" t="s">
        <v>100</v>
      </c>
      <c r="I10" s="3"/>
      <c r="J10" s="3"/>
      <c r="K10" s="9"/>
    </row>
    <row r="11">
      <c r="A11" s="10" t="s">
        <v>12</v>
      </c>
      <c r="B11" s="10" t="s">
        <v>82</v>
      </c>
      <c r="C11" s="10" t="s">
        <v>103</v>
      </c>
      <c r="D11" s="11" t="str">
        <f t="shared" si="1"/>
        <v>Abrir anúncio ↗</v>
      </c>
      <c r="E11" s="12" t="s">
        <v>104</v>
      </c>
      <c r="F11" s="10" t="s">
        <v>86</v>
      </c>
      <c r="G11" s="12" t="s">
        <v>106</v>
      </c>
      <c r="H11" s="12" t="s">
        <v>107</v>
      </c>
      <c r="I11" s="10"/>
      <c r="J11" s="10"/>
      <c r="K11" s="12"/>
    </row>
    <row r="12">
      <c r="A12" s="3" t="s">
        <v>12</v>
      </c>
      <c r="B12" s="3" t="s">
        <v>82</v>
      </c>
      <c r="C12" s="3" t="s">
        <v>111</v>
      </c>
      <c r="D12" s="8" t="str">
        <f t="shared" si="1"/>
        <v>Abrir anúncio ↗</v>
      </c>
      <c r="E12" s="9" t="s">
        <v>113</v>
      </c>
      <c r="F12" s="3" t="s">
        <v>29</v>
      </c>
      <c r="G12" s="9" t="s">
        <v>99</v>
      </c>
      <c r="H12" s="9" t="s">
        <v>100</v>
      </c>
      <c r="I12" s="3"/>
      <c r="J12" s="3"/>
      <c r="K12" s="9"/>
    </row>
    <row r="13">
      <c r="A13" s="10" t="s">
        <v>12</v>
      </c>
      <c r="B13" s="10" t="s">
        <v>82</v>
      </c>
      <c r="C13" s="10" t="s">
        <v>117</v>
      </c>
      <c r="D13" s="11" t="str">
        <f t="shared" si="1"/>
        <v>Abrir anúncio ↗</v>
      </c>
      <c r="E13" s="12" t="s">
        <v>118</v>
      </c>
      <c r="F13" s="10" t="s">
        <v>29</v>
      </c>
      <c r="G13" s="12" t="s">
        <v>119</v>
      </c>
      <c r="H13" s="12" t="s">
        <v>121</v>
      </c>
      <c r="I13" s="10"/>
      <c r="J13" s="10"/>
      <c r="K13" s="12"/>
    </row>
    <row r="14">
      <c r="A14" s="3" t="s">
        <v>12</v>
      </c>
      <c r="B14" s="3" t="s">
        <v>82</v>
      </c>
      <c r="C14" s="3" t="s">
        <v>123</v>
      </c>
      <c r="D14" s="8" t="str">
        <f t="shared" si="1"/>
        <v>Abrir anúncio ↗</v>
      </c>
      <c r="E14" s="9" t="s">
        <v>124</v>
      </c>
      <c r="F14" s="3" t="s">
        <v>86</v>
      </c>
      <c r="G14" s="9" t="s">
        <v>87</v>
      </c>
      <c r="H14" s="9" t="s">
        <v>126</v>
      </c>
      <c r="I14" s="3"/>
      <c r="J14" s="3"/>
      <c r="K14" s="9"/>
    </row>
    <row r="15">
      <c r="A15" s="10" t="s">
        <v>12</v>
      </c>
      <c r="B15" s="10" t="s">
        <v>82</v>
      </c>
      <c r="C15" s="10" t="s">
        <v>128</v>
      </c>
      <c r="D15" s="11" t="str">
        <f t="shared" si="1"/>
        <v>Abrir anúncio ↗</v>
      </c>
      <c r="E15" s="12" t="s">
        <v>129</v>
      </c>
      <c r="F15" s="10" t="s">
        <v>29</v>
      </c>
      <c r="G15" s="12" t="s">
        <v>87</v>
      </c>
      <c r="H15" s="12" t="s">
        <v>88</v>
      </c>
      <c r="I15" s="10"/>
      <c r="J15" s="10"/>
      <c r="K15" s="12"/>
    </row>
    <row r="16">
      <c r="A16" s="3" t="s">
        <v>12</v>
      </c>
      <c r="B16" s="3" t="s">
        <v>82</v>
      </c>
      <c r="C16" s="3" t="s">
        <v>134</v>
      </c>
      <c r="D16" s="8" t="str">
        <f t="shared" si="1"/>
        <v>Abrir anúncio ↗</v>
      </c>
      <c r="E16" s="9" t="s">
        <v>136</v>
      </c>
      <c r="F16" s="3" t="s">
        <v>29</v>
      </c>
      <c r="G16" s="9" t="s">
        <v>99</v>
      </c>
      <c r="H16" s="9" t="s">
        <v>100</v>
      </c>
      <c r="I16" s="3"/>
      <c r="J16" s="3"/>
      <c r="K16" s="9"/>
    </row>
    <row r="17">
      <c r="A17" s="10" t="s">
        <v>12</v>
      </c>
      <c r="B17" s="10" t="s">
        <v>82</v>
      </c>
      <c r="C17" s="10" t="s">
        <v>138</v>
      </c>
      <c r="D17" s="11" t="str">
        <f t="shared" si="1"/>
        <v>Abrir anúncio ↗</v>
      </c>
      <c r="E17" s="12" t="s">
        <v>142</v>
      </c>
      <c r="F17" s="10" t="s">
        <v>29</v>
      </c>
      <c r="G17" s="12" t="s">
        <v>99</v>
      </c>
      <c r="H17" s="12" t="s">
        <v>143</v>
      </c>
      <c r="I17" s="10"/>
      <c r="J17" s="10"/>
      <c r="K17" s="12"/>
    </row>
    <row r="18">
      <c r="A18" s="3" t="s">
        <v>12</v>
      </c>
      <c r="B18" s="3" t="s">
        <v>82</v>
      </c>
      <c r="C18" s="3" t="s">
        <v>148</v>
      </c>
      <c r="D18" s="8" t="str">
        <f t="shared" si="1"/>
        <v>Abrir anúncio ↗</v>
      </c>
      <c r="E18" s="9" t="s">
        <v>149</v>
      </c>
      <c r="F18" s="3" t="s">
        <v>29</v>
      </c>
      <c r="G18" s="9" t="s">
        <v>87</v>
      </c>
      <c r="H18" s="9" t="s">
        <v>88</v>
      </c>
      <c r="I18" s="3"/>
      <c r="J18" s="3"/>
      <c r="K18" s="9"/>
    </row>
    <row r="19">
      <c r="A19" s="10" t="s">
        <v>12</v>
      </c>
      <c r="B19" s="10" t="s">
        <v>82</v>
      </c>
      <c r="C19" s="10" t="s">
        <v>155</v>
      </c>
      <c r="D19" s="11" t="str">
        <f t="shared" si="1"/>
        <v>Abrir anúncio ↗</v>
      </c>
      <c r="E19" s="12" t="s">
        <v>156</v>
      </c>
      <c r="F19" s="10" t="s">
        <v>29</v>
      </c>
      <c r="G19" s="12" t="s">
        <v>157</v>
      </c>
      <c r="H19" s="12" t="s">
        <v>158</v>
      </c>
      <c r="I19" s="10"/>
      <c r="J19" s="10"/>
      <c r="K19" s="12"/>
    </row>
    <row r="20">
      <c r="A20" s="3" t="s">
        <v>12</v>
      </c>
      <c r="B20" s="3" t="s">
        <v>82</v>
      </c>
      <c r="C20" s="3" t="s">
        <v>163</v>
      </c>
      <c r="D20" s="8" t="str">
        <f t="shared" si="1"/>
        <v>Abrir anúncio ↗</v>
      </c>
      <c r="E20" s="9" t="s">
        <v>166</v>
      </c>
      <c r="F20" s="3" t="s">
        <v>29</v>
      </c>
      <c r="G20" s="9" t="s">
        <v>99</v>
      </c>
      <c r="H20" s="9" t="s">
        <v>100</v>
      </c>
      <c r="I20" s="3"/>
      <c r="J20" s="3"/>
      <c r="K20" s="9"/>
    </row>
    <row r="21" ht="15.75" customHeight="1">
      <c r="A21" s="10" t="s">
        <v>12</v>
      </c>
      <c r="B21" s="10" t="s">
        <v>82</v>
      </c>
      <c r="C21" s="10" t="s">
        <v>174</v>
      </c>
      <c r="D21" s="11" t="str">
        <f t="shared" si="1"/>
        <v>Abrir anúncio ↗</v>
      </c>
      <c r="E21" s="12" t="s">
        <v>175</v>
      </c>
      <c r="F21" s="10" t="s">
        <v>29</v>
      </c>
      <c r="G21" s="12" t="s">
        <v>87</v>
      </c>
      <c r="H21" s="12" t="s">
        <v>88</v>
      </c>
      <c r="I21" s="10"/>
      <c r="J21" s="10"/>
      <c r="K21" s="12"/>
    </row>
    <row r="22" ht="15.75" customHeight="1">
      <c r="A22" s="3" t="s">
        <v>12</v>
      </c>
      <c r="B22" s="3" t="s">
        <v>82</v>
      </c>
      <c r="C22" s="3" t="s">
        <v>180</v>
      </c>
      <c r="D22" s="8" t="str">
        <f t="shared" si="1"/>
        <v>Abrir anúncio ↗</v>
      </c>
      <c r="E22" s="9" t="s">
        <v>183</v>
      </c>
      <c r="F22" s="3" t="s">
        <v>86</v>
      </c>
      <c r="G22" s="9" t="s">
        <v>186</v>
      </c>
      <c r="H22" s="9" t="s">
        <v>187</v>
      </c>
      <c r="I22" s="3"/>
      <c r="J22" s="3"/>
      <c r="K22" s="9"/>
    </row>
    <row r="23" ht="15.75" customHeight="1">
      <c r="A23" s="10" t="s">
        <v>12</v>
      </c>
      <c r="B23" s="10" t="s">
        <v>82</v>
      </c>
      <c r="C23" s="10" t="s">
        <v>189</v>
      </c>
      <c r="D23" s="11" t="str">
        <f t="shared" si="1"/>
        <v>Abrir anúncio ↗</v>
      </c>
      <c r="E23" s="12" t="s">
        <v>193</v>
      </c>
      <c r="F23" s="10" t="s">
        <v>29</v>
      </c>
      <c r="G23" s="12" t="s">
        <v>196</v>
      </c>
      <c r="H23" s="12" t="s">
        <v>197</v>
      </c>
      <c r="I23" s="10"/>
      <c r="J23" s="10"/>
      <c r="K23" s="12"/>
    </row>
    <row r="24" ht="15.75" customHeight="1">
      <c r="A24" s="3" t="s">
        <v>12</v>
      </c>
      <c r="B24" s="3" t="s">
        <v>82</v>
      </c>
      <c r="C24" s="3" t="s">
        <v>200</v>
      </c>
      <c r="D24" s="8" t="str">
        <f t="shared" si="1"/>
        <v>Abrir anúncio ↗</v>
      </c>
      <c r="E24" s="9" t="s">
        <v>203</v>
      </c>
      <c r="F24" s="3" t="s">
        <v>29</v>
      </c>
      <c r="G24" s="9" t="s">
        <v>87</v>
      </c>
      <c r="H24" s="9" t="s">
        <v>88</v>
      </c>
      <c r="I24" s="3"/>
      <c r="J24" s="3"/>
      <c r="K24" s="9"/>
    </row>
    <row r="25" ht="15.75" customHeight="1">
      <c r="A25" s="10" t="s">
        <v>12</v>
      </c>
      <c r="B25" s="10" t="s">
        <v>82</v>
      </c>
      <c r="C25" s="10" t="s">
        <v>206</v>
      </c>
      <c r="D25" s="11" t="str">
        <f t="shared" si="1"/>
        <v>Abrir anúncio ↗</v>
      </c>
      <c r="E25" s="12" t="s">
        <v>209</v>
      </c>
      <c r="F25" s="10" t="s">
        <v>29</v>
      </c>
      <c r="G25" s="12" t="s">
        <v>87</v>
      </c>
      <c r="H25" s="12" t="s">
        <v>88</v>
      </c>
      <c r="I25" s="10"/>
      <c r="J25" s="10"/>
      <c r="K25" s="12"/>
    </row>
    <row r="26" ht="15.75" customHeight="1">
      <c r="A26" s="3" t="s">
        <v>12</v>
      </c>
      <c r="B26" s="3" t="s">
        <v>82</v>
      </c>
      <c r="C26" s="3" t="s">
        <v>215</v>
      </c>
      <c r="D26" s="8" t="str">
        <f t="shared" si="1"/>
        <v>Abrir anúncio ↗</v>
      </c>
      <c r="E26" s="9" t="s">
        <v>217</v>
      </c>
      <c r="F26" s="3" t="s">
        <v>29</v>
      </c>
      <c r="G26" s="9" t="s">
        <v>87</v>
      </c>
      <c r="H26" s="9" t="s">
        <v>218</v>
      </c>
      <c r="I26" s="3"/>
      <c r="J26" s="3"/>
      <c r="K26" s="9"/>
    </row>
    <row r="27" ht="15.75" customHeight="1">
      <c r="A27" s="10" t="s">
        <v>12</v>
      </c>
      <c r="B27" s="10" t="s">
        <v>82</v>
      </c>
      <c r="C27" s="10" t="s">
        <v>223</v>
      </c>
      <c r="D27" s="11" t="str">
        <f t="shared" si="1"/>
        <v>Abrir anúncio ↗</v>
      </c>
      <c r="E27" s="12" t="s">
        <v>224</v>
      </c>
      <c r="F27" s="10" t="s">
        <v>29</v>
      </c>
      <c r="G27" s="12" t="s">
        <v>87</v>
      </c>
      <c r="H27" s="12" t="s">
        <v>88</v>
      </c>
      <c r="I27" s="10"/>
      <c r="J27" s="10"/>
      <c r="K27" s="12"/>
    </row>
    <row r="28" ht="15.75" customHeight="1">
      <c r="A28" s="3" t="s">
        <v>12</v>
      </c>
      <c r="B28" s="3" t="s">
        <v>82</v>
      </c>
      <c r="C28" s="3" t="s">
        <v>231</v>
      </c>
      <c r="D28" s="8" t="str">
        <f t="shared" si="1"/>
        <v>Abrir anúncio ↗</v>
      </c>
      <c r="E28" s="9" t="s">
        <v>234</v>
      </c>
      <c r="F28" s="3" t="s">
        <v>29</v>
      </c>
      <c r="G28" s="9" t="s">
        <v>87</v>
      </c>
      <c r="H28" s="9" t="s">
        <v>88</v>
      </c>
      <c r="I28" s="3"/>
      <c r="J28" s="3"/>
      <c r="K28" s="9"/>
    </row>
    <row r="29" ht="15.75" customHeight="1">
      <c r="A29" s="10" t="s">
        <v>12</v>
      </c>
      <c r="B29" s="10" t="s">
        <v>82</v>
      </c>
      <c r="C29" s="10" t="s">
        <v>241</v>
      </c>
      <c r="D29" s="11" t="str">
        <f t="shared" si="1"/>
        <v>Abrir anúncio ↗</v>
      </c>
      <c r="E29" s="12" t="s">
        <v>242</v>
      </c>
      <c r="F29" s="10" t="s">
        <v>29</v>
      </c>
      <c r="G29" s="12" t="s">
        <v>87</v>
      </c>
      <c r="H29" s="12" t="s">
        <v>88</v>
      </c>
      <c r="I29" s="10"/>
      <c r="J29" s="10"/>
      <c r="K29" s="12"/>
    </row>
    <row r="30" ht="15.75" customHeight="1">
      <c r="A30" s="3" t="s">
        <v>12</v>
      </c>
      <c r="B30" s="3" t="s">
        <v>82</v>
      </c>
      <c r="C30" s="3" t="s">
        <v>248</v>
      </c>
      <c r="D30" s="8" t="str">
        <f t="shared" si="1"/>
        <v>Abrir anúncio ↗</v>
      </c>
      <c r="E30" s="9" t="s">
        <v>250</v>
      </c>
      <c r="F30" s="3" t="s">
        <v>86</v>
      </c>
      <c r="G30" s="9" t="s">
        <v>93</v>
      </c>
      <c r="H30" s="9" t="s">
        <v>94</v>
      </c>
      <c r="I30" s="3"/>
      <c r="J30" s="3"/>
      <c r="K30" s="9"/>
    </row>
    <row r="31" ht="15.75" customHeight="1">
      <c r="A31" s="10" t="s">
        <v>12</v>
      </c>
      <c r="B31" s="10" t="s">
        <v>82</v>
      </c>
      <c r="C31" s="10" t="s">
        <v>255</v>
      </c>
      <c r="D31" s="11" t="str">
        <f t="shared" si="1"/>
        <v>Abrir anúncio ↗</v>
      </c>
      <c r="E31" s="12" t="s">
        <v>257</v>
      </c>
      <c r="F31" s="10" t="s">
        <v>29</v>
      </c>
      <c r="G31" s="12" t="s">
        <v>87</v>
      </c>
      <c r="H31" s="12" t="s">
        <v>218</v>
      </c>
      <c r="I31" s="10"/>
      <c r="J31" s="10"/>
      <c r="K31" s="12"/>
    </row>
    <row r="32" ht="15.75" customHeight="1">
      <c r="A32" s="3" t="s">
        <v>12</v>
      </c>
      <c r="B32" s="3" t="s">
        <v>82</v>
      </c>
      <c r="C32" s="3" t="s">
        <v>266</v>
      </c>
      <c r="D32" s="8" t="str">
        <f t="shared" si="1"/>
        <v>Abrir anúncio ↗</v>
      </c>
      <c r="E32" s="9" t="s">
        <v>268</v>
      </c>
      <c r="F32" s="3" t="s">
        <v>29</v>
      </c>
      <c r="G32" s="9" t="s">
        <v>99</v>
      </c>
      <c r="H32" s="9" t="s">
        <v>100</v>
      </c>
      <c r="I32" s="3"/>
      <c r="J32" s="3"/>
      <c r="K32" s="9"/>
    </row>
    <row r="33" ht="15.75" customHeight="1">
      <c r="A33" s="10" t="s">
        <v>12</v>
      </c>
      <c r="B33" s="10" t="s">
        <v>82</v>
      </c>
      <c r="C33" s="10" t="s">
        <v>273</v>
      </c>
      <c r="D33" s="11" t="str">
        <f t="shared" si="1"/>
        <v>Abrir anúncio ↗</v>
      </c>
      <c r="E33" s="12" t="s">
        <v>274</v>
      </c>
      <c r="F33" s="10" t="s">
        <v>29</v>
      </c>
      <c r="G33" s="12" t="s">
        <v>277</v>
      </c>
      <c r="H33" s="12" t="s">
        <v>278</v>
      </c>
      <c r="I33" s="10"/>
      <c r="J33" s="10"/>
      <c r="K33" s="12"/>
    </row>
    <row r="34" ht="15.75" customHeight="1">
      <c r="A34" s="3" t="s">
        <v>12</v>
      </c>
      <c r="B34" s="3" t="s">
        <v>82</v>
      </c>
      <c r="C34" s="3" t="s">
        <v>283</v>
      </c>
      <c r="D34" s="8" t="str">
        <f t="shared" si="1"/>
        <v>Abrir anúncio ↗</v>
      </c>
      <c r="E34" s="9" t="s">
        <v>284</v>
      </c>
      <c r="F34" s="3" t="s">
        <v>29</v>
      </c>
      <c r="G34" s="9" t="s">
        <v>99</v>
      </c>
      <c r="H34" s="9" t="s">
        <v>143</v>
      </c>
      <c r="I34" s="3"/>
      <c r="J34" s="3"/>
      <c r="K34" s="9"/>
    </row>
    <row r="35" ht="15.75" customHeight="1">
      <c r="A35" s="10" t="s">
        <v>12</v>
      </c>
      <c r="B35" s="10" t="s">
        <v>82</v>
      </c>
      <c r="C35" s="10" t="s">
        <v>290</v>
      </c>
      <c r="D35" s="11" t="str">
        <f t="shared" si="1"/>
        <v>Abrir anúncio ↗</v>
      </c>
      <c r="E35" s="12" t="s">
        <v>292</v>
      </c>
      <c r="F35" s="10" t="s">
        <v>29</v>
      </c>
      <c r="G35" s="12" t="s">
        <v>99</v>
      </c>
      <c r="H35" s="12" t="s">
        <v>143</v>
      </c>
      <c r="I35" s="10"/>
      <c r="J35" s="10"/>
      <c r="K35" s="12"/>
    </row>
    <row r="36" ht="15.75" customHeight="1">
      <c r="A36" s="3" t="s">
        <v>12</v>
      </c>
      <c r="B36" s="3" t="s">
        <v>82</v>
      </c>
      <c r="C36" s="3" t="s">
        <v>296</v>
      </c>
      <c r="D36" s="8" t="str">
        <f t="shared" si="1"/>
        <v>Abrir anúncio ↗</v>
      </c>
      <c r="E36" s="9" t="s">
        <v>299</v>
      </c>
      <c r="F36" s="3" t="s">
        <v>86</v>
      </c>
      <c r="G36" s="9" t="s">
        <v>87</v>
      </c>
      <c r="H36" s="9" t="s">
        <v>126</v>
      </c>
      <c r="I36" s="3"/>
      <c r="J36" s="3"/>
      <c r="K36" s="9"/>
    </row>
    <row r="37" ht="15.75" customHeight="1">
      <c r="A37" s="10" t="s">
        <v>12</v>
      </c>
      <c r="B37" s="10" t="s">
        <v>82</v>
      </c>
      <c r="C37" s="10" t="s">
        <v>305</v>
      </c>
      <c r="D37" s="11" t="str">
        <f t="shared" si="1"/>
        <v>Abrir anúncio ↗</v>
      </c>
      <c r="E37" s="12" t="s">
        <v>307</v>
      </c>
      <c r="F37" s="10" t="s">
        <v>29</v>
      </c>
      <c r="G37" s="12" t="s">
        <v>99</v>
      </c>
      <c r="H37" s="12" t="s">
        <v>311</v>
      </c>
      <c r="I37" s="10"/>
      <c r="J37" s="10"/>
      <c r="K37" s="12"/>
    </row>
    <row r="38" ht="15.75" customHeight="1">
      <c r="A38" s="3" t="s">
        <v>12</v>
      </c>
      <c r="B38" s="3" t="s">
        <v>82</v>
      </c>
      <c r="C38" s="3" t="s">
        <v>313</v>
      </c>
      <c r="D38" s="8" t="str">
        <f t="shared" si="1"/>
        <v>Abrir anúncio ↗</v>
      </c>
      <c r="E38" s="9" t="s">
        <v>315</v>
      </c>
      <c r="F38" s="3" t="s">
        <v>29</v>
      </c>
      <c r="G38" s="9" t="s">
        <v>99</v>
      </c>
      <c r="H38" s="9" t="s">
        <v>311</v>
      </c>
      <c r="I38" s="3"/>
      <c r="J38" s="3"/>
      <c r="K38" s="9"/>
    </row>
    <row r="39" ht="15.75" customHeight="1">
      <c r="A39" s="10" t="s">
        <v>12</v>
      </c>
      <c r="B39" s="10" t="s">
        <v>82</v>
      </c>
      <c r="C39" s="10" t="s">
        <v>320</v>
      </c>
      <c r="D39" s="11" t="str">
        <f t="shared" si="1"/>
        <v>Abrir anúncio ↗</v>
      </c>
      <c r="E39" s="12" t="s">
        <v>321</v>
      </c>
      <c r="F39" s="10" t="s">
        <v>86</v>
      </c>
      <c r="G39" s="12" t="s">
        <v>323</v>
      </c>
      <c r="H39" s="12" t="s">
        <v>324</v>
      </c>
      <c r="I39" s="10"/>
      <c r="J39" s="10"/>
      <c r="K39" s="12"/>
    </row>
    <row r="40" ht="15.75" customHeight="1">
      <c r="A40" s="3" t="s">
        <v>12</v>
      </c>
      <c r="B40" s="3" t="s">
        <v>82</v>
      </c>
      <c r="C40" s="3" t="s">
        <v>328</v>
      </c>
      <c r="D40" s="8" t="str">
        <f t="shared" si="1"/>
        <v>Abrir anúncio ↗</v>
      </c>
      <c r="E40" s="9" t="s">
        <v>330</v>
      </c>
      <c r="F40" s="3" t="s">
        <v>29</v>
      </c>
      <c r="G40" s="9" t="s">
        <v>332</v>
      </c>
      <c r="H40" s="9" t="s">
        <v>333</v>
      </c>
      <c r="I40" s="3"/>
      <c r="J40" s="3"/>
      <c r="K40" s="9"/>
    </row>
    <row r="41" ht="15.75" customHeight="1">
      <c r="A41" s="10" t="s">
        <v>12</v>
      </c>
      <c r="B41" s="10" t="s">
        <v>82</v>
      </c>
      <c r="C41" s="10" t="s">
        <v>337</v>
      </c>
      <c r="D41" s="11" t="str">
        <f t="shared" si="1"/>
        <v>Abrir anúncio ↗</v>
      </c>
      <c r="E41" s="12" t="s">
        <v>338</v>
      </c>
      <c r="F41" s="10" t="s">
        <v>86</v>
      </c>
      <c r="G41" s="12" t="s">
        <v>93</v>
      </c>
      <c r="H41" s="12" t="s">
        <v>94</v>
      </c>
      <c r="I41" s="10"/>
      <c r="J41" s="10"/>
      <c r="K41" s="12"/>
    </row>
    <row r="42" ht="15.75" customHeight="1">
      <c r="A42" s="3" t="s">
        <v>12</v>
      </c>
      <c r="B42" s="3" t="s">
        <v>82</v>
      </c>
      <c r="C42" s="3" t="s">
        <v>341</v>
      </c>
      <c r="D42" s="8" t="str">
        <f t="shared" si="1"/>
        <v>Abrir anúncio ↗</v>
      </c>
      <c r="E42" s="9" t="s">
        <v>342</v>
      </c>
      <c r="F42" s="3" t="s">
        <v>86</v>
      </c>
      <c r="G42" s="9" t="s">
        <v>87</v>
      </c>
      <c r="H42" s="9" t="s">
        <v>88</v>
      </c>
      <c r="I42" s="3"/>
      <c r="J42" s="3"/>
      <c r="K42" s="9"/>
    </row>
    <row r="43" ht="15.75" customHeight="1">
      <c r="A43" s="10" t="s">
        <v>12</v>
      </c>
      <c r="B43" s="10" t="s">
        <v>82</v>
      </c>
      <c r="C43" s="10" t="s">
        <v>346</v>
      </c>
      <c r="D43" s="11" t="str">
        <f t="shared" si="1"/>
        <v>Abrir anúncio ↗</v>
      </c>
      <c r="E43" s="12" t="s">
        <v>349</v>
      </c>
      <c r="F43" s="10" t="s">
        <v>29</v>
      </c>
      <c r="G43" s="12" t="s">
        <v>332</v>
      </c>
      <c r="H43" s="12" t="s">
        <v>333</v>
      </c>
      <c r="I43" s="10"/>
      <c r="J43" s="10"/>
      <c r="K43" s="12"/>
    </row>
    <row r="44" ht="15.75" customHeight="1">
      <c r="A44" s="3" t="s">
        <v>12</v>
      </c>
      <c r="B44" s="3" t="s">
        <v>82</v>
      </c>
      <c r="C44" s="3" t="s">
        <v>353</v>
      </c>
      <c r="D44" s="8" t="str">
        <f t="shared" si="1"/>
        <v>Abrir anúncio ↗</v>
      </c>
      <c r="E44" s="9" t="s">
        <v>356</v>
      </c>
      <c r="F44" s="3" t="s">
        <v>86</v>
      </c>
      <c r="G44" s="9" t="s">
        <v>93</v>
      </c>
      <c r="H44" s="9" t="s">
        <v>94</v>
      </c>
      <c r="I44" s="3"/>
      <c r="J44" s="3"/>
      <c r="K44" s="9"/>
    </row>
    <row r="45" ht="15.75" customHeight="1">
      <c r="A45" s="10" t="s">
        <v>12</v>
      </c>
      <c r="B45" s="10" t="s">
        <v>82</v>
      </c>
      <c r="C45" s="10" t="s">
        <v>360</v>
      </c>
      <c r="D45" s="11" t="str">
        <f t="shared" si="1"/>
        <v>Abrir anúncio ↗</v>
      </c>
      <c r="E45" s="12" t="s">
        <v>363</v>
      </c>
      <c r="F45" s="10" t="s">
        <v>29</v>
      </c>
      <c r="G45" s="12" t="s">
        <v>99</v>
      </c>
      <c r="H45" s="12" t="s">
        <v>143</v>
      </c>
      <c r="I45" s="10"/>
      <c r="J45" s="10"/>
      <c r="K45" s="12"/>
    </row>
    <row r="46" ht="15.75" customHeight="1">
      <c r="A46" s="3" t="s">
        <v>12</v>
      </c>
      <c r="B46" s="3" t="s">
        <v>82</v>
      </c>
      <c r="C46" s="3" t="s">
        <v>367</v>
      </c>
      <c r="D46" s="8" t="str">
        <f t="shared" si="1"/>
        <v>Abrir anúncio ↗</v>
      </c>
      <c r="E46" s="9" t="s">
        <v>369</v>
      </c>
      <c r="F46" s="3" t="s">
        <v>86</v>
      </c>
      <c r="G46" s="9" t="s">
        <v>87</v>
      </c>
      <c r="H46" s="9" t="s">
        <v>88</v>
      </c>
      <c r="I46" s="3"/>
      <c r="J46" s="3"/>
      <c r="K46" s="9"/>
    </row>
    <row r="47" ht="15.75" customHeight="1">
      <c r="A47" s="10" t="s">
        <v>12</v>
      </c>
      <c r="B47" s="10" t="s">
        <v>82</v>
      </c>
      <c r="C47" s="10" t="s">
        <v>374</v>
      </c>
      <c r="D47" s="11" t="str">
        <f t="shared" si="1"/>
        <v>Abrir anúncio ↗</v>
      </c>
      <c r="E47" s="12" t="s">
        <v>375</v>
      </c>
      <c r="F47" s="10" t="s">
        <v>29</v>
      </c>
      <c r="G47" s="12" t="s">
        <v>332</v>
      </c>
      <c r="H47" s="12" t="s">
        <v>333</v>
      </c>
      <c r="I47" s="10"/>
      <c r="J47" s="10"/>
      <c r="K47" s="12"/>
    </row>
    <row r="48" ht="15.75" customHeight="1">
      <c r="A48" s="3" t="s">
        <v>12</v>
      </c>
      <c r="B48" s="3" t="s">
        <v>82</v>
      </c>
      <c r="C48" s="3" t="s">
        <v>379</v>
      </c>
      <c r="D48" s="8" t="str">
        <f t="shared" si="1"/>
        <v>Abrir anúncio ↗</v>
      </c>
      <c r="E48" s="9" t="s">
        <v>381</v>
      </c>
      <c r="F48" s="3" t="s">
        <v>86</v>
      </c>
      <c r="G48" s="9" t="s">
        <v>87</v>
      </c>
      <c r="H48" s="9" t="s">
        <v>126</v>
      </c>
      <c r="I48" s="3"/>
      <c r="J48" s="3"/>
      <c r="K48" s="9"/>
    </row>
    <row r="49" ht="15.75" customHeight="1">
      <c r="A49" s="10" t="s">
        <v>12</v>
      </c>
      <c r="B49" s="10" t="s">
        <v>82</v>
      </c>
      <c r="C49" s="10" t="s">
        <v>385</v>
      </c>
      <c r="D49" s="11" t="str">
        <f t="shared" si="1"/>
        <v>Abrir anúncio ↗</v>
      </c>
      <c r="E49" s="12" t="s">
        <v>388</v>
      </c>
      <c r="F49" s="10" t="s">
        <v>29</v>
      </c>
      <c r="G49" s="12" t="s">
        <v>99</v>
      </c>
      <c r="H49" s="12" t="s">
        <v>143</v>
      </c>
      <c r="I49" s="10"/>
      <c r="J49" s="10"/>
      <c r="K49" s="12"/>
    </row>
    <row r="50" ht="15.75" customHeight="1">
      <c r="A50" s="3" t="s">
        <v>12</v>
      </c>
      <c r="B50" s="3" t="s">
        <v>82</v>
      </c>
      <c r="C50" s="3" t="s">
        <v>393</v>
      </c>
      <c r="D50" s="8" t="str">
        <f t="shared" si="1"/>
        <v>Abrir anúncio ↗</v>
      </c>
      <c r="E50" s="9" t="s">
        <v>395</v>
      </c>
      <c r="F50" s="3" t="s">
        <v>29</v>
      </c>
      <c r="G50" s="9" t="s">
        <v>99</v>
      </c>
      <c r="H50" s="9" t="s">
        <v>143</v>
      </c>
      <c r="I50" s="3"/>
      <c r="J50" s="3"/>
      <c r="K50" s="9"/>
    </row>
    <row r="51" ht="15.75" customHeight="1">
      <c r="A51" s="10" t="s">
        <v>12</v>
      </c>
      <c r="B51" s="10" t="s">
        <v>82</v>
      </c>
      <c r="C51" s="10" t="s">
        <v>400</v>
      </c>
      <c r="D51" s="11" t="str">
        <f t="shared" si="1"/>
        <v>Abrir anúncio ↗</v>
      </c>
      <c r="E51" s="12" t="s">
        <v>402</v>
      </c>
      <c r="F51" s="10" t="s">
        <v>29</v>
      </c>
      <c r="G51" s="12" t="s">
        <v>99</v>
      </c>
      <c r="H51" s="12" t="s">
        <v>143</v>
      </c>
      <c r="I51" s="10"/>
      <c r="J51" s="10"/>
      <c r="K51" s="12"/>
    </row>
    <row r="52" ht="15.75" customHeight="1">
      <c r="A52" s="3" t="s">
        <v>12</v>
      </c>
      <c r="B52" s="3" t="s">
        <v>82</v>
      </c>
      <c r="C52" s="3" t="s">
        <v>408</v>
      </c>
      <c r="D52" s="8" t="str">
        <f t="shared" si="1"/>
        <v>Abrir anúncio ↗</v>
      </c>
      <c r="E52" s="9" t="s">
        <v>409</v>
      </c>
      <c r="F52" s="3" t="s">
        <v>29</v>
      </c>
      <c r="G52" s="9" t="s">
        <v>87</v>
      </c>
      <c r="H52" s="9" t="s">
        <v>88</v>
      </c>
      <c r="I52" s="3"/>
      <c r="J52" s="3"/>
      <c r="K52" s="9"/>
    </row>
    <row r="53" ht="15.75" customHeight="1">
      <c r="A53" s="10" t="s">
        <v>12</v>
      </c>
      <c r="B53" s="10" t="s">
        <v>82</v>
      </c>
      <c r="C53" s="10" t="s">
        <v>414</v>
      </c>
      <c r="D53" s="11" t="str">
        <f t="shared" si="1"/>
        <v>Abrir anúncio ↗</v>
      </c>
      <c r="E53" s="12" t="s">
        <v>416</v>
      </c>
      <c r="F53" s="10" t="s">
        <v>29</v>
      </c>
      <c r="G53" s="12" t="s">
        <v>99</v>
      </c>
      <c r="H53" s="12" t="s">
        <v>311</v>
      </c>
      <c r="I53" s="10"/>
      <c r="J53" s="10"/>
      <c r="K53" s="12"/>
    </row>
    <row r="54" ht="15.75" customHeight="1">
      <c r="A54" s="3" t="s">
        <v>12</v>
      </c>
      <c r="B54" s="3" t="s">
        <v>82</v>
      </c>
      <c r="C54" s="3" t="s">
        <v>421</v>
      </c>
      <c r="D54" s="8" t="str">
        <f t="shared" si="1"/>
        <v>Abrir anúncio ↗</v>
      </c>
      <c r="E54" s="9" t="s">
        <v>424</v>
      </c>
      <c r="F54" s="3" t="s">
        <v>29</v>
      </c>
      <c r="G54" s="9" t="s">
        <v>99</v>
      </c>
      <c r="H54" s="9" t="s">
        <v>311</v>
      </c>
      <c r="I54" s="3"/>
      <c r="J54" s="3"/>
      <c r="K54" s="9"/>
    </row>
    <row r="55" ht="15.75" customHeight="1">
      <c r="A55" s="10" t="s">
        <v>12</v>
      </c>
      <c r="B55" s="10" t="s">
        <v>82</v>
      </c>
      <c r="C55" s="10" t="s">
        <v>428</v>
      </c>
      <c r="D55" s="11" t="str">
        <f t="shared" si="1"/>
        <v>Abrir anúncio ↗</v>
      </c>
      <c r="E55" s="12" t="s">
        <v>430</v>
      </c>
      <c r="F55" s="10" t="s">
        <v>86</v>
      </c>
      <c r="G55" s="12" t="s">
        <v>87</v>
      </c>
      <c r="H55" s="12" t="s">
        <v>88</v>
      </c>
      <c r="I55" s="10"/>
      <c r="J55" s="10"/>
      <c r="K55" s="12"/>
    </row>
    <row r="56" ht="15.75" customHeight="1">
      <c r="A56" s="3" t="s">
        <v>12</v>
      </c>
      <c r="B56" s="3" t="s">
        <v>82</v>
      </c>
      <c r="C56" s="3" t="s">
        <v>436</v>
      </c>
      <c r="D56" s="8" t="str">
        <f t="shared" si="1"/>
        <v>Abrir anúncio ↗</v>
      </c>
      <c r="E56" s="9" t="s">
        <v>438</v>
      </c>
      <c r="F56" s="3" t="s">
        <v>29</v>
      </c>
      <c r="G56" s="9" t="s">
        <v>99</v>
      </c>
      <c r="H56" s="9" t="s">
        <v>100</v>
      </c>
      <c r="I56" s="3"/>
      <c r="J56" s="3"/>
      <c r="K56" s="9"/>
    </row>
    <row r="57" ht="15.75" customHeight="1">
      <c r="A57" s="10" t="s">
        <v>12</v>
      </c>
      <c r="B57" s="10" t="s">
        <v>82</v>
      </c>
      <c r="C57" s="10" t="s">
        <v>448</v>
      </c>
      <c r="D57" s="11" t="str">
        <f t="shared" si="1"/>
        <v>Abrir anúncio ↗</v>
      </c>
      <c r="E57" s="12" t="s">
        <v>450</v>
      </c>
      <c r="F57" s="10" t="s">
        <v>86</v>
      </c>
      <c r="G57" s="12" t="s">
        <v>93</v>
      </c>
      <c r="H57" s="12" t="s">
        <v>94</v>
      </c>
      <c r="I57" s="10"/>
      <c r="J57" s="10"/>
      <c r="K57" s="12"/>
    </row>
    <row r="58" ht="15.75" customHeight="1">
      <c r="A58" s="3" t="s">
        <v>12</v>
      </c>
      <c r="B58" s="3" t="s">
        <v>82</v>
      </c>
      <c r="C58" s="3" t="s">
        <v>454</v>
      </c>
      <c r="D58" s="8" t="str">
        <f t="shared" si="1"/>
        <v>Abrir anúncio ↗</v>
      </c>
      <c r="E58" s="9" t="s">
        <v>456</v>
      </c>
      <c r="F58" s="3" t="s">
        <v>29</v>
      </c>
      <c r="G58" s="9" t="s">
        <v>106</v>
      </c>
      <c r="H58" s="9" t="s">
        <v>460</v>
      </c>
      <c r="I58" s="3"/>
      <c r="J58" s="3"/>
      <c r="K58" s="9"/>
    </row>
    <row r="59" ht="15.75" customHeight="1">
      <c r="A59" s="10" t="s">
        <v>12</v>
      </c>
      <c r="B59" s="10" t="s">
        <v>82</v>
      </c>
      <c r="C59" s="10" t="s">
        <v>462</v>
      </c>
      <c r="D59" s="11" t="str">
        <f t="shared" si="1"/>
        <v>Abrir anúncio ↗</v>
      </c>
      <c r="E59" s="12" t="s">
        <v>466</v>
      </c>
      <c r="F59" s="10" t="s">
        <v>29</v>
      </c>
      <c r="G59" s="12" t="s">
        <v>468</v>
      </c>
      <c r="H59" s="12" t="s">
        <v>469</v>
      </c>
      <c r="I59" s="10"/>
      <c r="J59" s="10"/>
      <c r="K59" s="12"/>
    </row>
    <row r="60" ht="15.75" customHeight="1">
      <c r="A60" s="3" t="s">
        <v>12</v>
      </c>
      <c r="B60" s="3" t="s">
        <v>82</v>
      </c>
      <c r="C60" s="3" t="s">
        <v>474</v>
      </c>
      <c r="D60" s="8" t="str">
        <f t="shared" si="1"/>
        <v>Abrir anúncio ↗</v>
      </c>
      <c r="E60" s="9" t="s">
        <v>475</v>
      </c>
      <c r="F60" s="3" t="s">
        <v>29</v>
      </c>
      <c r="G60" s="9" t="s">
        <v>87</v>
      </c>
      <c r="H60" s="9" t="s">
        <v>88</v>
      </c>
      <c r="I60" s="3"/>
      <c r="J60" s="3"/>
      <c r="K60" s="9"/>
    </row>
    <row r="61" ht="15.75" customHeight="1">
      <c r="A61" s="10" t="s">
        <v>12</v>
      </c>
      <c r="B61" s="10" t="s">
        <v>82</v>
      </c>
      <c r="C61" s="10" t="s">
        <v>480</v>
      </c>
      <c r="D61" s="11" t="str">
        <f t="shared" si="1"/>
        <v>Abrir anúncio ↗</v>
      </c>
      <c r="E61" s="12" t="s">
        <v>483</v>
      </c>
      <c r="F61" s="10" t="s">
        <v>29</v>
      </c>
      <c r="G61" s="12" t="s">
        <v>186</v>
      </c>
      <c r="H61" s="12" t="s">
        <v>485</v>
      </c>
      <c r="I61" s="10"/>
      <c r="J61" s="10"/>
      <c r="K61" s="12"/>
    </row>
    <row r="62" ht="15.75" customHeight="1">
      <c r="A62" s="3" t="s">
        <v>12</v>
      </c>
      <c r="B62" s="3" t="s">
        <v>82</v>
      </c>
      <c r="C62" s="3" t="s">
        <v>488</v>
      </c>
      <c r="D62" s="8" t="str">
        <f t="shared" si="1"/>
        <v>Abrir anúncio ↗</v>
      </c>
      <c r="E62" s="9" t="s">
        <v>491</v>
      </c>
      <c r="F62" s="3" t="s">
        <v>86</v>
      </c>
      <c r="G62" s="9" t="s">
        <v>492</v>
      </c>
      <c r="H62" s="9" t="s">
        <v>493</v>
      </c>
      <c r="I62" s="3"/>
      <c r="J62" s="3"/>
      <c r="K62" s="9"/>
    </row>
    <row r="63" ht="15.75" customHeight="1">
      <c r="A63" s="10" t="s">
        <v>12</v>
      </c>
      <c r="B63" s="10" t="s">
        <v>82</v>
      </c>
      <c r="C63" s="10" t="s">
        <v>498</v>
      </c>
      <c r="D63" s="11" t="str">
        <f t="shared" si="1"/>
        <v>Abrir anúncio ↗</v>
      </c>
      <c r="E63" s="12" t="s">
        <v>500</v>
      </c>
      <c r="F63" s="10" t="s">
        <v>29</v>
      </c>
      <c r="G63" s="12" t="s">
        <v>93</v>
      </c>
      <c r="H63" s="12" t="s">
        <v>94</v>
      </c>
      <c r="I63" s="10"/>
      <c r="J63" s="10"/>
      <c r="K63" s="12"/>
    </row>
    <row r="64" ht="15.75" customHeight="1">
      <c r="A64" s="3" t="s">
        <v>12</v>
      </c>
      <c r="B64" s="3" t="s">
        <v>82</v>
      </c>
      <c r="C64" s="3" t="s">
        <v>505</v>
      </c>
      <c r="D64" s="8" t="str">
        <f t="shared" si="1"/>
        <v>Abrir anúncio ↗</v>
      </c>
      <c r="E64" s="9" t="s">
        <v>509</v>
      </c>
      <c r="F64" s="3" t="s">
        <v>29</v>
      </c>
      <c r="G64" s="9" t="s">
        <v>99</v>
      </c>
      <c r="H64" s="9" t="s">
        <v>311</v>
      </c>
      <c r="I64" s="3"/>
      <c r="J64" s="3"/>
      <c r="K64" s="9"/>
    </row>
    <row r="65" ht="15.75" customHeight="1">
      <c r="A65" s="10" t="s">
        <v>12</v>
      </c>
      <c r="B65" s="10" t="s">
        <v>82</v>
      </c>
      <c r="C65" s="10" t="s">
        <v>512</v>
      </c>
      <c r="D65" s="11" t="str">
        <f t="shared" si="1"/>
        <v>Abrir anúncio ↗</v>
      </c>
      <c r="E65" s="12" t="s">
        <v>514</v>
      </c>
      <c r="F65" s="10" t="s">
        <v>29</v>
      </c>
      <c r="G65" s="12" t="s">
        <v>93</v>
      </c>
      <c r="H65" s="12" t="s">
        <v>94</v>
      </c>
      <c r="I65" s="10"/>
      <c r="J65" s="10"/>
      <c r="K65" s="12"/>
    </row>
    <row r="66" ht="15.75" customHeight="1">
      <c r="A66" s="3" t="s">
        <v>12</v>
      </c>
      <c r="B66" s="3" t="s">
        <v>82</v>
      </c>
      <c r="C66" s="3" t="s">
        <v>520</v>
      </c>
      <c r="D66" s="8" t="str">
        <f t="shared" si="1"/>
        <v>Abrir anúncio ↗</v>
      </c>
      <c r="E66" s="9" t="s">
        <v>523</v>
      </c>
      <c r="F66" s="3" t="s">
        <v>29</v>
      </c>
      <c r="G66" s="9" t="s">
        <v>93</v>
      </c>
      <c r="H66" s="9" t="s">
        <v>94</v>
      </c>
      <c r="I66" s="3"/>
      <c r="J66" s="3"/>
      <c r="K66" s="9"/>
    </row>
    <row r="67" ht="15.75" customHeight="1">
      <c r="A67" s="10" t="s">
        <v>12</v>
      </c>
      <c r="B67" s="10" t="s">
        <v>82</v>
      </c>
      <c r="C67" s="10" t="s">
        <v>529</v>
      </c>
      <c r="D67" s="11" t="str">
        <f t="shared" si="1"/>
        <v>Abrir anúncio ↗</v>
      </c>
      <c r="E67" s="12" t="s">
        <v>530</v>
      </c>
      <c r="F67" s="10" t="s">
        <v>29</v>
      </c>
      <c r="G67" s="12" t="s">
        <v>87</v>
      </c>
      <c r="H67" s="12" t="s">
        <v>88</v>
      </c>
      <c r="I67" s="10"/>
      <c r="J67" s="10"/>
      <c r="K67" s="12"/>
    </row>
    <row r="68" ht="15.75" customHeight="1">
      <c r="A68" s="3" t="s">
        <v>12</v>
      </c>
      <c r="B68" s="3" t="s">
        <v>82</v>
      </c>
      <c r="C68" s="3" t="s">
        <v>535</v>
      </c>
      <c r="D68" s="8" t="str">
        <f t="shared" si="1"/>
        <v>Abrir anúncio ↗</v>
      </c>
      <c r="E68" s="9" t="s">
        <v>537</v>
      </c>
      <c r="F68" s="3" t="s">
        <v>29</v>
      </c>
      <c r="G68" s="9" t="s">
        <v>87</v>
      </c>
      <c r="H68" s="9" t="s">
        <v>88</v>
      </c>
      <c r="I68" s="3"/>
      <c r="J68" s="3"/>
      <c r="K68" s="9"/>
    </row>
    <row r="69" ht="15.75" customHeight="1">
      <c r="A69" s="10" t="s">
        <v>12</v>
      </c>
      <c r="B69" s="10" t="s">
        <v>82</v>
      </c>
      <c r="C69" s="10" t="s">
        <v>542</v>
      </c>
      <c r="D69" s="11" t="str">
        <f t="shared" si="1"/>
        <v>Abrir anúncio ↗</v>
      </c>
      <c r="E69" s="12" t="s">
        <v>545</v>
      </c>
      <c r="F69" s="10" t="s">
        <v>29</v>
      </c>
      <c r="G69" s="12" t="s">
        <v>99</v>
      </c>
      <c r="H69" s="12" t="s">
        <v>100</v>
      </c>
      <c r="I69" s="10"/>
      <c r="J69" s="10"/>
      <c r="K69" s="12"/>
    </row>
    <row r="70" ht="15.75" customHeight="1">
      <c r="A70" s="3" t="s">
        <v>12</v>
      </c>
      <c r="B70" s="3" t="s">
        <v>82</v>
      </c>
      <c r="C70" s="3" t="s">
        <v>549</v>
      </c>
      <c r="D70" s="8" t="str">
        <f t="shared" si="1"/>
        <v>Abrir anúncio ↗</v>
      </c>
      <c r="E70" s="9" t="s">
        <v>550</v>
      </c>
      <c r="F70" s="3" t="s">
        <v>29</v>
      </c>
      <c r="G70" s="9" t="s">
        <v>93</v>
      </c>
      <c r="H70" s="9" t="s">
        <v>94</v>
      </c>
      <c r="I70" s="3"/>
      <c r="J70" s="3"/>
      <c r="K70" s="9"/>
    </row>
    <row r="71" ht="15.75" customHeight="1">
      <c r="A71" s="10" t="s">
        <v>12</v>
      </c>
      <c r="B71" s="10" t="s">
        <v>82</v>
      </c>
      <c r="C71" s="10" t="s">
        <v>555</v>
      </c>
      <c r="D71" s="11" t="str">
        <f t="shared" si="1"/>
        <v>Abrir anúncio ↗</v>
      </c>
      <c r="E71" s="12" t="s">
        <v>556</v>
      </c>
      <c r="F71" s="10" t="s">
        <v>29</v>
      </c>
      <c r="G71" s="12" t="s">
        <v>99</v>
      </c>
      <c r="H71" s="12" t="s">
        <v>560</v>
      </c>
      <c r="I71" s="10"/>
      <c r="J71" s="10"/>
      <c r="K71" s="12"/>
    </row>
    <row r="72" ht="15.75" customHeight="1">
      <c r="A72" s="3" t="s">
        <v>12</v>
      </c>
      <c r="B72" s="3" t="s">
        <v>82</v>
      </c>
      <c r="C72" s="3" t="s">
        <v>563</v>
      </c>
      <c r="D72" s="8" t="str">
        <f t="shared" si="1"/>
        <v>Abrir anúncio ↗</v>
      </c>
      <c r="E72" s="9" t="s">
        <v>566</v>
      </c>
      <c r="F72" s="3" t="s">
        <v>29</v>
      </c>
      <c r="G72" s="9" t="s">
        <v>99</v>
      </c>
      <c r="H72" s="9" t="s">
        <v>143</v>
      </c>
      <c r="I72" s="3"/>
      <c r="J72" s="3"/>
      <c r="K72" s="9"/>
    </row>
    <row r="73" ht="15.75" customHeight="1">
      <c r="A73" s="10" t="s">
        <v>12</v>
      </c>
      <c r="B73" s="10" t="s">
        <v>82</v>
      </c>
      <c r="C73" s="10" t="s">
        <v>571</v>
      </c>
      <c r="D73" s="11" t="str">
        <f t="shared" si="1"/>
        <v>Abrir anúncio ↗</v>
      </c>
      <c r="E73" s="12" t="s">
        <v>573</v>
      </c>
      <c r="F73" s="10" t="s">
        <v>29</v>
      </c>
      <c r="G73" s="12" t="s">
        <v>574</v>
      </c>
      <c r="H73" s="12" t="s">
        <v>575</v>
      </c>
      <c r="I73" s="10"/>
      <c r="J73" s="10"/>
      <c r="K73" s="12"/>
    </row>
    <row r="74" ht="15.75" customHeight="1">
      <c r="A74" s="3" t="s">
        <v>12</v>
      </c>
      <c r="B74" s="3" t="s">
        <v>82</v>
      </c>
      <c r="C74" s="3" t="s">
        <v>579</v>
      </c>
      <c r="D74" s="8" t="str">
        <f t="shared" si="1"/>
        <v>Abrir anúncio ↗</v>
      </c>
      <c r="E74" s="9" t="s">
        <v>581</v>
      </c>
      <c r="F74" s="3" t="s">
        <v>29</v>
      </c>
      <c r="G74" s="9" t="s">
        <v>583</v>
      </c>
      <c r="H74" s="9" t="s">
        <v>586</v>
      </c>
      <c r="I74" s="3"/>
      <c r="J74" s="3"/>
      <c r="K74" s="9"/>
    </row>
    <row r="75" ht="15.75" customHeight="1">
      <c r="A75" s="10" t="s">
        <v>12</v>
      </c>
      <c r="B75" s="10" t="s">
        <v>82</v>
      </c>
      <c r="C75" s="10" t="s">
        <v>588</v>
      </c>
      <c r="D75" s="11" t="str">
        <f t="shared" si="1"/>
        <v>Abrir anúncio ↗</v>
      </c>
      <c r="E75" s="12" t="s">
        <v>591</v>
      </c>
      <c r="F75" s="10" t="s">
        <v>86</v>
      </c>
      <c r="G75" s="12" t="s">
        <v>574</v>
      </c>
      <c r="H75" s="12" t="s">
        <v>575</v>
      </c>
      <c r="I75" s="10"/>
      <c r="J75" s="10"/>
      <c r="K75" s="12"/>
    </row>
    <row r="76" ht="15.75" customHeight="1">
      <c r="A76" s="3" t="s">
        <v>12</v>
      </c>
      <c r="B76" s="3" t="s">
        <v>82</v>
      </c>
      <c r="C76" s="3" t="s">
        <v>595</v>
      </c>
      <c r="D76" s="8" t="str">
        <f t="shared" si="1"/>
        <v>Abrir anúncio ↗</v>
      </c>
      <c r="E76" s="9" t="s">
        <v>596</v>
      </c>
      <c r="F76" s="3" t="s">
        <v>29</v>
      </c>
      <c r="G76" s="9" t="s">
        <v>574</v>
      </c>
      <c r="H76" s="9" t="s">
        <v>575</v>
      </c>
      <c r="I76" s="3"/>
      <c r="J76" s="3"/>
      <c r="K76" s="9"/>
    </row>
    <row r="77" ht="15.75" customHeight="1">
      <c r="A77" s="10" t="s">
        <v>12</v>
      </c>
      <c r="B77" s="10" t="s">
        <v>82</v>
      </c>
      <c r="C77" s="10" t="s">
        <v>601</v>
      </c>
      <c r="D77" s="11" t="str">
        <f t="shared" si="1"/>
        <v>Abrir anúncio ↗</v>
      </c>
      <c r="E77" s="12" t="s">
        <v>604</v>
      </c>
      <c r="F77" s="10" t="s">
        <v>29</v>
      </c>
      <c r="G77" s="12" t="s">
        <v>574</v>
      </c>
      <c r="H77" s="12" t="s">
        <v>575</v>
      </c>
      <c r="I77" s="10"/>
      <c r="J77" s="10"/>
      <c r="K77" s="12"/>
    </row>
    <row r="78" ht="15.75" customHeight="1">
      <c r="A78" s="3" t="s">
        <v>12</v>
      </c>
      <c r="B78" s="3" t="s">
        <v>82</v>
      </c>
      <c r="C78" s="3" t="s">
        <v>608</v>
      </c>
      <c r="D78" s="8" t="str">
        <f t="shared" si="1"/>
        <v>Abrir anúncio ↗</v>
      </c>
      <c r="E78" s="9" t="s">
        <v>610</v>
      </c>
      <c r="F78" s="3" t="s">
        <v>29</v>
      </c>
      <c r="G78" s="9" t="s">
        <v>574</v>
      </c>
      <c r="H78" s="9" t="s">
        <v>575</v>
      </c>
      <c r="I78" s="3"/>
      <c r="J78" s="3"/>
      <c r="K78" s="9"/>
    </row>
    <row r="79" ht="15.75" customHeight="1">
      <c r="A79" s="10" t="s">
        <v>12</v>
      </c>
      <c r="B79" s="10" t="s">
        <v>82</v>
      </c>
      <c r="C79" s="10" t="s">
        <v>615</v>
      </c>
      <c r="D79" s="11" t="str">
        <f t="shared" si="1"/>
        <v>Abrir anúncio ↗</v>
      </c>
      <c r="E79" s="12" t="s">
        <v>616</v>
      </c>
      <c r="F79" s="10" t="s">
        <v>29</v>
      </c>
      <c r="G79" s="12" t="s">
        <v>574</v>
      </c>
      <c r="H79" s="12" t="s">
        <v>575</v>
      </c>
      <c r="I79" s="10"/>
      <c r="J79" s="10"/>
      <c r="K79" s="12"/>
    </row>
    <row r="80" ht="15.75" customHeight="1">
      <c r="A80" s="3" t="s">
        <v>12</v>
      </c>
      <c r="B80" s="3" t="s">
        <v>82</v>
      </c>
      <c r="C80" s="3" t="s">
        <v>622</v>
      </c>
      <c r="D80" s="8" t="str">
        <f t="shared" si="1"/>
        <v>Abrir anúncio ↗</v>
      </c>
      <c r="E80" s="9" t="s">
        <v>573</v>
      </c>
      <c r="F80" s="3" t="s">
        <v>86</v>
      </c>
      <c r="G80" s="9" t="s">
        <v>574</v>
      </c>
      <c r="H80" s="9" t="s">
        <v>575</v>
      </c>
      <c r="I80" s="3"/>
      <c r="J80" s="3"/>
      <c r="K80" s="9"/>
    </row>
    <row r="81" ht="15.75" customHeight="1">
      <c r="A81" s="10" t="s">
        <v>12</v>
      </c>
      <c r="B81" s="10" t="s">
        <v>82</v>
      </c>
      <c r="C81" s="10" t="s">
        <v>627</v>
      </c>
      <c r="D81" s="11" t="str">
        <f t="shared" si="1"/>
        <v>Abrir anúncio ↗</v>
      </c>
      <c r="E81" s="12" t="s">
        <v>631</v>
      </c>
      <c r="F81" s="10" t="s">
        <v>86</v>
      </c>
      <c r="G81" s="12" t="s">
        <v>633</v>
      </c>
      <c r="H81" s="12" t="s">
        <v>634</v>
      </c>
      <c r="I81" s="10"/>
      <c r="J81" s="10"/>
      <c r="K81" s="12"/>
    </row>
    <row r="82" ht="15.75" customHeight="1">
      <c r="A82" s="3" t="s">
        <v>12</v>
      </c>
      <c r="B82" s="3" t="s">
        <v>82</v>
      </c>
      <c r="C82" s="3" t="s">
        <v>637</v>
      </c>
      <c r="D82" s="8" t="str">
        <f t="shared" si="1"/>
        <v>Abrir anúncio ↗</v>
      </c>
      <c r="E82" s="9" t="s">
        <v>640</v>
      </c>
      <c r="F82" s="3" t="s">
        <v>29</v>
      </c>
      <c r="G82" s="9" t="s">
        <v>583</v>
      </c>
      <c r="H82" s="9" t="s">
        <v>586</v>
      </c>
      <c r="I82" s="3"/>
      <c r="J82" s="3"/>
      <c r="K82" s="9"/>
    </row>
    <row r="83" ht="15.75" customHeight="1">
      <c r="A83" s="10" t="s">
        <v>12</v>
      </c>
      <c r="B83" s="10" t="s">
        <v>82</v>
      </c>
      <c r="C83" s="10" t="s">
        <v>644</v>
      </c>
      <c r="D83" s="11" t="str">
        <f t="shared" si="1"/>
        <v>Abrir anúncio ↗</v>
      </c>
      <c r="E83" s="12" t="s">
        <v>646</v>
      </c>
      <c r="F83" s="10" t="s">
        <v>86</v>
      </c>
      <c r="G83" s="12" t="s">
        <v>574</v>
      </c>
      <c r="H83" s="12" t="s">
        <v>575</v>
      </c>
      <c r="I83" s="10"/>
      <c r="J83" s="10"/>
      <c r="K83" s="12"/>
    </row>
    <row r="84" ht="15.75" customHeight="1">
      <c r="A84" s="3" t="s">
        <v>12</v>
      </c>
      <c r="B84" s="3" t="s">
        <v>82</v>
      </c>
      <c r="C84" s="3" t="s">
        <v>649</v>
      </c>
      <c r="D84" s="8" t="str">
        <f t="shared" si="1"/>
        <v>Abrir anúncio ↗</v>
      </c>
      <c r="E84" s="9" t="s">
        <v>650</v>
      </c>
      <c r="F84" s="3" t="s">
        <v>29</v>
      </c>
      <c r="G84" s="9" t="s">
        <v>583</v>
      </c>
      <c r="H84" s="9" t="s">
        <v>586</v>
      </c>
      <c r="I84" s="3"/>
      <c r="J84" s="3"/>
      <c r="K84" s="9"/>
    </row>
    <row r="85" ht="15.75" customHeight="1">
      <c r="A85" s="10" t="s">
        <v>12</v>
      </c>
      <c r="B85" s="10" t="s">
        <v>82</v>
      </c>
      <c r="C85" s="10" t="s">
        <v>655</v>
      </c>
      <c r="D85" s="11" t="str">
        <f t="shared" si="1"/>
        <v>Abrir anúncio ↗</v>
      </c>
      <c r="E85" s="12" t="s">
        <v>656</v>
      </c>
      <c r="F85" s="10" t="s">
        <v>29</v>
      </c>
      <c r="G85" s="12" t="s">
        <v>574</v>
      </c>
      <c r="H85" s="12" t="s">
        <v>575</v>
      </c>
      <c r="I85" s="10"/>
      <c r="J85" s="10"/>
      <c r="K85" s="12"/>
    </row>
    <row r="86" ht="15.75" customHeight="1">
      <c r="A86" s="3" t="s">
        <v>12</v>
      </c>
      <c r="B86" s="3" t="s">
        <v>82</v>
      </c>
      <c r="C86" s="3" t="s">
        <v>661</v>
      </c>
      <c r="D86" s="8" t="str">
        <f t="shared" si="1"/>
        <v>Abrir anúncio ↗</v>
      </c>
      <c r="E86" s="9" t="s">
        <v>663</v>
      </c>
      <c r="F86" s="3" t="s">
        <v>29</v>
      </c>
      <c r="G86" s="9" t="s">
        <v>574</v>
      </c>
      <c r="H86" s="9" t="s">
        <v>575</v>
      </c>
      <c r="I86" s="3"/>
      <c r="J86" s="3"/>
      <c r="K86" s="9"/>
    </row>
    <row r="87" ht="15.75" customHeight="1">
      <c r="A87" s="10" t="s">
        <v>12</v>
      </c>
      <c r="B87" s="10" t="s">
        <v>82</v>
      </c>
      <c r="C87" s="10" t="s">
        <v>668</v>
      </c>
      <c r="D87" s="11" t="str">
        <f t="shared" si="1"/>
        <v>Abrir anúncio ↗</v>
      </c>
      <c r="E87" s="12" t="s">
        <v>670</v>
      </c>
      <c r="F87" s="10" t="s">
        <v>29</v>
      </c>
      <c r="G87" s="12" t="s">
        <v>468</v>
      </c>
      <c r="H87" s="12" t="s">
        <v>469</v>
      </c>
      <c r="I87" s="10"/>
      <c r="J87" s="10"/>
      <c r="K87" s="12"/>
    </row>
    <row r="88" ht="15.75" customHeight="1">
      <c r="A88" s="3" t="s">
        <v>12</v>
      </c>
      <c r="B88" s="3" t="s">
        <v>82</v>
      </c>
      <c r="C88" s="3" t="s">
        <v>675</v>
      </c>
      <c r="D88" s="8" t="str">
        <f t="shared" si="1"/>
        <v>Abrir anúncio ↗</v>
      </c>
      <c r="E88" s="9" t="s">
        <v>676</v>
      </c>
      <c r="F88" s="3" t="s">
        <v>29</v>
      </c>
      <c r="G88" s="9" t="s">
        <v>583</v>
      </c>
      <c r="H88" s="9" t="s">
        <v>586</v>
      </c>
      <c r="I88" s="3"/>
      <c r="J88" s="3"/>
      <c r="K88" s="9"/>
    </row>
    <row r="89" ht="15.75" customHeight="1">
      <c r="A89" s="10" t="s">
        <v>12</v>
      </c>
      <c r="B89" s="10" t="s">
        <v>82</v>
      </c>
      <c r="C89" s="10" t="s">
        <v>680</v>
      </c>
      <c r="D89" s="11" t="str">
        <f t="shared" si="1"/>
        <v>Abrir anúncio ↗</v>
      </c>
      <c r="E89" s="12" t="s">
        <v>682</v>
      </c>
      <c r="F89" s="10" t="s">
        <v>29</v>
      </c>
      <c r="G89" s="12" t="s">
        <v>583</v>
      </c>
      <c r="H89" s="12" t="s">
        <v>586</v>
      </c>
      <c r="I89" s="10"/>
      <c r="J89" s="10"/>
      <c r="K89" s="12"/>
    </row>
    <row r="90" ht="15.75" customHeight="1">
      <c r="A90" s="3" t="s">
        <v>12</v>
      </c>
      <c r="B90" s="3" t="s">
        <v>82</v>
      </c>
      <c r="C90" s="3" t="s">
        <v>686</v>
      </c>
      <c r="D90" s="8" t="str">
        <f t="shared" si="1"/>
        <v>Abrir anúncio ↗</v>
      </c>
      <c r="E90" s="9" t="s">
        <v>689</v>
      </c>
      <c r="F90" s="3" t="s">
        <v>29</v>
      </c>
      <c r="G90" s="9" t="s">
        <v>574</v>
      </c>
      <c r="H90" s="9" t="s">
        <v>575</v>
      </c>
      <c r="I90" s="3"/>
      <c r="J90" s="3"/>
      <c r="K90" s="9"/>
    </row>
    <row r="91" ht="15.75" customHeight="1">
      <c r="A91" s="10" t="s">
        <v>12</v>
      </c>
      <c r="B91" s="10" t="s">
        <v>82</v>
      </c>
      <c r="C91" s="10" t="s">
        <v>693</v>
      </c>
      <c r="D91" s="11" t="str">
        <f t="shared" si="1"/>
        <v>Abrir anúncio ↗</v>
      </c>
      <c r="E91" s="12" t="s">
        <v>694</v>
      </c>
      <c r="F91" s="10" t="s">
        <v>86</v>
      </c>
      <c r="G91" s="12" t="s">
        <v>574</v>
      </c>
      <c r="H91" s="12" t="s">
        <v>696</v>
      </c>
      <c r="I91" s="10"/>
      <c r="J91" s="10"/>
      <c r="K91" s="12"/>
    </row>
    <row r="92" ht="15.75" customHeight="1">
      <c r="A92" s="3" t="s">
        <v>12</v>
      </c>
      <c r="B92" s="3" t="s">
        <v>82</v>
      </c>
      <c r="C92" s="3" t="s">
        <v>700</v>
      </c>
      <c r="D92" s="8" t="str">
        <f t="shared" si="1"/>
        <v>Abrir anúncio ↗</v>
      </c>
      <c r="E92" s="9" t="s">
        <v>701</v>
      </c>
      <c r="F92" s="3" t="s">
        <v>29</v>
      </c>
      <c r="G92" s="9" t="s">
        <v>583</v>
      </c>
      <c r="H92" s="9" t="s">
        <v>704</v>
      </c>
      <c r="I92" s="3"/>
      <c r="J92" s="3"/>
      <c r="K92" s="9"/>
    </row>
    <row r="93" ht="15.75" customHeight="1">
      <c r="A93" s="10" t="s">
        <v>12</v>
      </c>
      <c r="B93" s="10" t="s">
        <v>82</v>
      </c>
      <c r="C93" s="10" t="s">
        <v>708</v>
      </c>
      <c r="D93" s="11" t="str">
        <f t="shared" si="1"/>
        <v>Abrir anúncio ↗</v>
      </c>
      <c r="E93" s="12" t="s">
        <v>710</v>
      </c>
      <c r="F93" s="10" t="s">
        <v>29</v>
      </c>
      <c r="G93" s="12" t="s">
        <v>468</v>
      </c>
      <c r="H93" s="12" t="s">
        <v>469</v>
      </c>
      <c r="I93" s="10"/>
      <c r="J93" s="10"/>
      <c r="K93" s="12"/>
    </row>
    <row r="94" ht="15.75" customHeight="1">
      <c r="A94" s="3" t="s">
        <v>12</v>
      </c>
      <c r="B94" s="3" t="s">
        <v>82</v>
      </c>
      <c r="C94" s="3" t="s">
        <v>716</v>
      </c>
      <c r="D94" s="8" t="str">
        <f t="shared" si="1"/>
        <v>Abrir anúncio ↗</v>
      </c>
      <c r="E94" s="9" t="s">
        <v>717</v>
      </c>
      <c r="F94" s="3" t="s">
        <v>29</v>
      </c>
      <c r="G94" s="9" t="s">
        <v>574</v>
      </c>
      <c r="H94" s="9" t="s">
        <v>696</v>
      </c>
      <c r="I94" s="3"/>
      <c r="J94" s="3"/>
      <c r="K94" s="9"/>
    </row>
    <row r="95" ht="15.75" customHeight="1">
      <c r="A95" s="10" t="s">
        <v>12</v>
      </c>
      <c r="B95" s="10" t="s">
        <v>82</v>
      </c>
      <c r="C95" s="10" t="s">
        <v>726</v>
      </c>
      <c r="D95" s="11" t="str">
        <f t="shared" si="1"/>
        <v>Abrir anúncio ↗</v>
      </c>
      <c r="E95" s="12" t="s">
        <v>728</v>
      </c>
      <c r="F95" s="10" t="s">
        <v>29</v>
      </c>
      <c r="G95" s="12" t="s">
        <v>574</v>
      </c>
      <c r="H95" s="12" t="s">
        <v>696</v>
      </c>
      <c r="I95" s="10"/>
      <c r="J95" s="10"/>
      <c r="K95" s="12"/>
    </row>
    <row r="96" ht="15.75" customHeight="1">
      <c r="A96" s="3" t="s">
        <v>12</v>
      </c>
      <c r="B96" s="3" t="s">
        <v>82</v>
      </c>
      <c r="C96" s="3" t="s">
        <v>735</v>
      </c>
      <c r="D96" s="8" t="str">
        <f t="shared" si="1"/>
        <v>Abrir anúncio ↗</v>
      </c>
      <c r="E96" s="9" t="s">
        <v>740</v>
      </c>
      <c r="F96" s="3" t="s">
        <v>29</v>
      </c>
      <c r="G96" s="9" t="s">
        <v>583</v>
      </c>
      <c r="H96" s="9" t="s">
        <v>704</v>
      </c>
      <c r="I96" s="3"/>
      <c r="J96" s="3"/>
      <c r="K96" s="9"/>
    </row>
    <row r="97" ht="15.75" customHeight="1">
      <c r="A97" s="10" t="s">
        <v>12</v>
      </c>
      <c r="B97" s="10" t="s">
        <v>82</v>
      </c>
      <c r="C97" s="10" t="s">
        <v>746</v>
      </c>
      <c r="D97" s="11" t="str">
        <f t="shared" si="1"/>
        <v>Abrir anúncio ↗</v>
      </c>
      <c r="E97" s="12" t="s">
        <v>749</v>
      </c>
      <c r="F97" s="10" t="s">
        <v>29</v>
      </c>
      <c r="G97" s="12" t="s">
        <v>574</v>
      </c>
      <c r="H97" s="12" t="s">
        <v>696</v>
      </c>
      <c r="I97" s="10"/>
      <c r="J97" s="10"/>
      <c r="K97" s="12"/>
    </row>
    <row r="98" ht="15.75" customHeight="1">
      <c r="A98" s="3" t="s">
        <v>12</v>
      </c>
      <c r="B98" s="3" t="s">
        <v>82</v>
      </c>
      <c r="C98" s="3" t="s">
        <v>756</v>
      </c>
      <c r="D98" s="8" t="str">
        <f t="shared" si="1"/>
        <v>Abrir anúncio ↗</v>
      </c>
      <c r="E98" s="9" t="s">
        <v>758</v>
      </c>
      <c r="F98" s="3" t="s">
        <v>86</v>
      </c>
      <c r="G98" s="9" t="s">
        <v>574</v>
      </c>
      <c r="H98" s="9" t="s">
        <v>696</v>
      </c>
      <c r="I98" s="3"/>
      <c r="J98" s="3"/>
      <c r="K98" s="9"/>
    </row>
    <row r="99" ht="15.75" customHeight="1">
      <c r="A99" s="10" t="s">
        <v>12</v>
      </c>
      <c r="B99" s="10" t="s">
        <v>82</v>
      </c>
      <c r="C99" s="10" t="s">
        <v>766</v>
      </c>
      <c r="D99" s="11" t="str">
        <f t="shared" si="1"/>
        <v>Abrir anúncio ↗</v>
      </c>
      <c r="E99" s="12" t="s">
        <v>769</v>
      </c>
      <c r="F99" s="10" t="s">
        <v>29</v>
      </c>
      <c r="G99" s="12" t="s">
        <v>574</v>
      </c>
      <c r="H99" s="12" t="s">
        <v>696</v>
      </c>
      <c r="I99" s="10"/>
      <c r="J99" s="10"/>
      <c r="K99" s="12"/>
    </row>
    <row r="100" ht="15.75" customHeight="1">
      <c r="A100" s="3" t="s">
        <v>12</v>
      </c>
      <c r="B100" s="3" t="s">
        <v>82</v>
      </c>
      <c r="C100" s="3" t="s">
        <v>776</v>
      </c>
      <c r="D100" s="8" t="str">
        <f t="shared" si="1"/>
        <v>Abrir anúncio ↗</v>
      </c>
      <c r="E100" s="9" t="s">
        <v>780</v>
      </c>
      <c r="F100" s="3" t="s">
        <v>29</v>
      </c>
      <c r="G100" s="9" t="s">
        <v>574</v>
      </c>
      <c r="H100" s="9" t="s">
        <v>696</v>
      </c>
      <c r="I100" s="3"/>
      <c r="J100" s="3"/>
      <c r="K100" s="9"/>
    </row>
    <row r="101" ht="15.75" customHeight="1">
      <c r="A101" s="10" t="s">
        <v>12</v>
      </c>
      <c r="B101" s="10" t="s">
        <v>82</v>
      </c>
      <c r="C101" s="10" t="s">
        <v>787</v>
      </c>
      <c r="D101" s="11" t="str">
        <f t="shared" si="1"/>
        <v>Abrir anúncio ↗</v>
      </c>
      <c r="E101" s="12" t="s">
        <v>791</v>
      </c>
      <c r="F101" s="10" t="s">
        <v>29</v>
      </c>
      <c r="G101" s="12" t="s">
        <v>574</v>
      </c>
      <c r="H101" s="12" t="s">
        <v>696</v>
      </c>
      <c r="I101" s="10"/>
      <c r="J101" s="10"/>
      <c r="K101" s="12"/>
    </row>
    <row r="102" ht="15.75" customHeight="1">
      <c r="A102" s="3" t="s">
        <v>12</v>
      </c>
      <c r="B102" s="3" t="s">
        <v>82</v>
      </c>
      <c r="C102" s="3" t="s">
        <v>799</v>
      </c>
      <c r="D102" s="8" t="str">
        <f t="shared" si="1"/>
        <v>Abrir anúncio ↗</v>
      </c>
      <c r="E102" s="9" t="s">
        <v>800</v>
      </c>
      <c r="F102" s="3" t="s">
        <v>29</v>
      </c>
      <c r="G102" s="9" t="s">
        <v>99</v>
      </c>
      <c r="H102" s="9" t="s">
        <v>803</v>
      </c>
      <c r="I102" s="3"/>
      <c r="J102" s="3"/>
      <c r="K102" s="9"/>
    </row>
    <row r="103" ht="15.75" customHeight="1">
      <c r="A103" s="10" t="s">
        <v>12</v>
      </c>
      <c r="B103" s="10" t="s">
        <v>82</v>
      </c>
      <c r="C103" s="10" t="s">
        <v>808</v>
      </c>
      <c r="D103" s="11" t="str">
        <f t="shared" si="1"/>
        <v>Abrir anúncio ↗</v>
      </c>
      <c r="E103" s="12" t="s">
        <v>809</v>
      </c>
      <c r="F103" s="10" t="s">
        <v>86</v>
      </c>
      <c r="G103" s="12" t="s">
        <v>87</v>
      </c>
      <c r="H103" s="12" t="s">
        <v>126</v>
      </c>
      <c r="I103" s="10"/>
      <c r="J103" s="10"/>
      <c r="K103" s="12"/>
    </row>
    <row r="104" ht="15.75" customHeight="1">
      <c r="A104" s="3" t="s">
        <v>12</v>
      </c>
      <c r="B104" s="3" t="s">
        <v>82</v>
      </c>
      <c r="C104" s="3" t="s">
        <v>817</v>
      </c>
      <c r="D104" s="8" t="str">
        <f t="shared" si="1"/>
        <v>Abrir anúncio ↗</v>
      </c>
      <c r="E104" s="9" t="s">
        <v>819</v>
      </c>
      <c r="F104" s="3" t="s">
        <v>86</v>
      </c>
      <c r="G104" s="9" t="s">
        <v>574</v>
      </c>
      <c r="H104" s="9" t="s">
        <v>575</v>
      </c>
      <c r="I104" s="3"/>
      <c r="J104" s="3"/>
      <c r="K104" s="9"/>
    </row>
    <row r="105" ht="15.75" customHeight="1">
      <c r="A105" s="10" t="s">
        <v>12</v>
      </c>
      <c r="B105" s="10" t="s">
        <v>82</v>
      </c>
      <c r="C105" s="10" t="s">
        <v>827</v>
      </c>
      <c r="D105" s="11" t="str">
        <f t="shared" si="1"/>
        <v>Abrir anúncio ↗</v>
      </c>
      <c r="E105" s="12" t="s">
        <v>829</v>
      </c>
      <c r="F105" s="10" t="s">
        <v>29</v>
      </c>
      <c r="G105" s="12" t="s">
        <v>468</v>
      </c>
      <c r="H105" s="12" t="s">
        <v>469</v>
      </c>
      <c r="I105" s="10"/>
      <c r="J105" s="10"/>
      <c r="K105" s="12"/>
    </row>
    <row r="106" ht="15.75" customHeight="1">
      <c r="A106" s="3" t="s">
        <v>12</v>
      </c>
      <c r="B106" s="3" t="s">
        <v>82</v>
      </c>
      <c r="C106" s="3" t="s">
        <v>838</v>
      </c>
      <c r="D106" s="8" t="str">
        <f t="shared" si="1"/>
        <v>Abrir anúncio ↗</v>
      </c>
      <c r="E106" s="9" t="s">
        <v>844</v>
      </c>
      <c r="F106" s="3" t="s">
        <v>29</v>
      </c>
      <c r="G106" s="9" t="s">
        <v>583</v>
      </c>
      <c r="H106" s="9" t="s">
        <v>586</v>
      </c>
      <c r="I106" s="3"/>
      <c r="J106" s="3"/>
      <c r="K106" s="9"/>
    </row>
    <row r="107" ht="15.75" customHeight="1">
      <c r="A107" s="10" t="s">
        <v>12</v>
      </c>
      <c r="B107" s="10" t="s">
        <v>82</v>
      </c>
      <c r="C107" s="10" t="s">
        <v>850</v>
      </c>
      <c r="D107" s="11" t="str">
        <f t="shared" si="1"/>
        <v>Abrir anúncio ↗</v>
      </c>
      <c r="E107" s="12" t="s">
        <v>853</v>
      </c>
      <c r="F107" s="10" t="s">
        <v>29</v>
      </c>
      <c r="G107" s="12" t="s">
        <v>583</v>
      </c>
      <c r="H107" s="12" t="s">
        <v>586</v>
      </c>
      <c r="I107" s="10"/>
      <c r="J107" s="10"/>
      <c r="K107" s="12"/>
    </row>
    <row r="108" ht="15.75" customHeight="1">
      <c r="A108" s="3" t="s">
        <v>12</v>
      </c>
      <c r="B108" s="3" t="s">
        <v>82</v>
      </c>
      <c r="C108" s="3" t="s">
        <v>859</v>
      </c>
      <c r="D108" s="8" t="str">
        <f t="shared" si="1"/>
        <v>Abrir anúncio ↗</v>
      </c>
      <c r="E108" s="9" t="s">
        <v>861</v>
      </c>
      <c r="F108" s="3" t="s">
        <v>29</v>
      </c>
      <c r="G108" s="9" t="s">
        <v>574</v>
      </c>
      <c r="H108" s="9" t="s">
        <v>575</v>
      </c>
      <c r="I108" s="3"/>
      <c r="J108" s="3"/>
      <c r="K108" s="9"/>
    </row>
    <row r="109" ht="15.75" customHeight="1">
      <c r="A109" s="10" t="s">
        <v>12</v>
      </c>
      <c r="B109" s="10" t="s">
        <v>82</v>
      </c>
      <c r="C109" s="10" t="s">
        <v>867</v>
      </c>
      <c r="D109" s="11" t="str">
        <f t="shared" si="1"/>
        <v>Abrir anúncio ↗</v>
      </c>
      <c r="E109" s="12" t="s">
        <v>870</v>
      </c>
      <c r="F109" s="10" t="s">
        <v>29</v>
      </c>
      <c r="G109" s="12" t="s">
        <v>583</v>
      </c>
      <c r="H109" s="12" t="s">
        <v>586</v>
      </c>
      <c r="I109" s="10"/>
      <c r="J109" s="10"/>
      <c r="K109" s="12"/>
    </row>
    <row r="110" ht="15.75" customHeight="1">
      <c r="A110" s="3" t="s">
        <v>12</v>
      </c>
      <c r="B110" s="3" t="s">
        <v>82</v>
      </c>
      <c r="C110" s="3" t="s">
        <v>877</v>
      </c>
      <c r="D110" s="8" t="str">
        <f t="shared" si="1"/>
        <v>Abrir anúncio ↗</v>
      </c>
      <c r="E110" s="9" t="s">
        <v>879</v>
      </c>
      <c r="F110" s="3" t="s">
        <v>29</v>
      </c>
      <c r="G110" s="9" t="s">
        <v>574</v>
      </c>
      <c r="H110" s="9" t="s">
        <v>575</v>
      </c>
      <c r="I110" s="3"/>
      <c r="J110" s="3"/>
      <c r="K110" s="9"/>
    </row>
    <row r="111" ht="15.75" customHeight="1">
      <c r="A111" s="10" t="s">
        <v>12</v>
      </c>
      <c r="B111" s="10" t="s">
        <v>82</v>
      </c>
      <c r="C111" s="10" t="s">
        <v>885</v>
      </c>
      <c r="D111" s="11" t="str">
        <f t="shared" si="1"/>
        <v>Abrir anúncio ↗</v>
      </c>
      <c r="E111" s="12" t="s">
        <v>886</v>
      </c>
      <c r="F111" s="10" t="s">
        <v>29</v>
      </c>
      <c r="G111" s="12" t="s">
        <v>574</v>
      </c>
      <c r="H111" s="12" t="s">
        <v>575</v>
      </c>
      <c r="I111" s="10"/>
      <c r="J111" s="10"/>
      <c r="K111" s="12"/>
    </row>
    <row r="112" ht="15.75" customHeight="1">
      <c r="A112" s="3" t="s">
        <v>12</v>
      </c>
      <c r="B112" s="3" t="s">
        <v>82</v>
      </c>
      <c r="C112" s="3" t="s">
        <v>895</v>
      </c>
      <c r="D112" s="8" t="str">
        <f t="shared" si="1"/>
        <v>Abrir anúncio ↗</v>
      </c>
      <c r="E112" s="9" t="s">
        <v>897</v>
      </c>
      <c r="F112" s="3" t="s">
        <v>29</v>
      </c>
      <c r="G112" s="9" t="s">
        <v>99</v>
      </c>
      <c r="H112" s="9" t="s">
        <v>899</v>
      </c>
      <c r="I112" s="3"/>
      <c r="J112" s="3"/>
      <c r="K112" s="9"/>
    </row>
    <row r="113" ht="15.75" customHeight="1">
      <c r="A113" s="10" t="s">
        <v>12</v>
      </c>
      <c r="B113" s="10" t="s">
        <v>82</v>
      </c>
      <c r="C113" s="10" t="s">
        <v>905</v>
      </c>
      <c r="D113" s="11" t="str">
        <f t="shared" si="1"/>
        <v>Abrir anúncio ↗</v>
      </c>
      <c r="E113" s="12" t="s">
        <v>907</v>
      </c>
      <c r="F113" s="10" t="s">
        <v>29</v>
      </c>
      <c r="G113" s="12" t="s">
        <v>583</v>
      </c>
      <c r="H113" s="12" t="s">
        <v>586</v>
      </c>
      <c r="I113" s="10"/>
      <c r="J113" s="10"/>
      <c r="K113" s="12"/>
    </row>
    <row r="114" ht="15.75" customHeight="1">
      <c r="A114" s="3" t="s">
        <v>12</v>
      </c>
      <c r="B114" s="3" t="s">
        <v>82</v>
      </c>
      <c r="C114" s="3" t="s">
        <v>912</v>
      </c>
      <c r="D114" s="8" t="str">
        <f t="shared" si="1"/>
        <v>Abrir anúncio ↗</v>
      </c>
      <c r="E114" s="9" t="s">
        <v>914</v>
      </c>
      <c r="F114" s="3" t="s">
        <v>29</v>
      </c>
      <c r="G114" s="9" t="s">
        <v>468</v>
      </c>
      <c r="H114" s="9" t="s">
        <v>469</v>
      </c>
      <c r="I114" s="3"/>
      <c r="J114" s="3"/>
      <c r="K114" s="9"/>
    </row>
    <row r="115" ht="15.75" customHeight="1">
      <c r="A115" s="10" t="s">
        <v>12</v>
      </c>
      <c r="B115" s="10" t="s">
        <v>82</v>
      </c>
      <c r="C115" s="10" t="s">
        <v>924</v>
      </c>
      <c r="D115" s="11" t="str">
        <f t="shared" si="1"/>
        <v>Abrir anúncio ↗</v>
      </c>
      <c r="E115" s="12" t="s">
        <v>929</v>
      </c>
      <c r="F115" s="10" t="s">
        <v>29</v>
      </c>
      <c r="G115" s="12" t="s">
        <v>99</v>
      </c>
      <c r="H115" s="12" t="s">
        <v>143</v>
      </c>
      <c r="I115" s="10"/>
      <c r="J115" s="10"/>
      <c r="K115" s="12"/>
    </row>
    <row r="116" ht="15.75" customHeight="1">
      <c r="A116" s="3" t="s">
        <v>12</v>
      </c>
      <c r="B116" s="3" t="s">
        <v>82</v>
      </c>
      <c r="C116" s="3" t="s">
        <v>937</v>
      </c>
      <c r="D116" s="8" t="str">
        <f t="shared" si="1"/>
        <v>Abrir anúncio ↗</v>
      </c>
      <c r="E116" s="9" t="s">
        <v>940</v>
      </c>
      <c r="F116" s="3" t="s">
        <v>29</v>
      </c>
      <c r="G116" s="9" t="s">
        <v>99</v>
      </c>
      <c r="H116" s="9" t="s">
        <v>143</v>
      </c>
      <c r="I116" s="3"/>
      <c r="J116" s="3"/>
      <c r="K116" s="9"/>
    </row>
    <row r="117" ht="15.75" customHeight="1">
      <c r="A117" s="10" t="s">
        <v>12</v>
      </c>
      <c r="B117" s="10" t="s">
        <v>82</v>
      </c>
      <c r="C117" s="10" t="s">
        <v>946</v>
      </c>
      <c r="D117" s="11" t="str">
        <f t="shared" si="1"/>
        <v>Abrir anúncio ↗</v>
      </c>
      <c r="E117" s="12" t="s">
        <v>950</v>
      </c>
      <c r="F117" s="10" t="s">
        <v>29</v>
      </c>
      <c r="G117" s="12" t="s">
        <v>87</v>
      </c>
      <c r="H117" s="12" t="s">
        <v>126</v>
      </c>
      <c r="I117" s="10"/>
      <c r="J117" s="10"/>
      <c r="K117" s="12"/>
    </row>
    <row r="118" ht="15.75" customHeight="1">
      <c r="A118" s="3" t="s">
        <v>12</v>
      </c>
      <c r="B118" s="3" t="s">
        <v>82</v>
      </c>
      <c r="C118" s="3" t="s">
        <v>956</v>
      </c>
      <c r="D118" s="8" t="str">
        <f t="shared" si="1"/>
        <v>Abrir anúncio ↗</v>
      </c>
      <c r="E118" s="9" t="s">
        <v>958</v>
      </c>
      <c r="F118" s="3" t="s">
        <v>29</v>
      </c>
      <c r="G118" s="9" t="s">
        <v>99</v>
      </c>
      <c r="H118" s="9" t="s">
        <v>560</v>
      </c>
      <c r="I118" s="3"/>
      <c r="J118" s="3"/>
      <c r="K118" s="9"/>
    </row>
    <row r="119" ht="15.75" customHeight="1">
      <c r="A119" s="10" t="s">
        <v>12</v>
      </c>
      <c r="B119" s="10" t="s">
        <v>82</v>
      </c>
      <c r="C119" s="10" t="s">
        <v>968</v>
      </c>
      <c r="D119" s="11" t="str">
        <f t="shared" si="1"/>
        <v>Abrir anúncio ↗</v>
      </c>
      <c r="E119" s="12" t="s">
        <v>969</v>
      </c>
      <c r="F119" s="10" t="s">
        <v>29</v>
      </c>
      <c r="G119" s="12" t="s">
        <v>99</v>
      </c>
      <c r="H119" s="12" t="s">
        <v>143</v>
      </c>
      <c r="I119" s="10"/>
      <c r="J119" s="10"/>
      <c r="K119" s="12"/>
    </row>
    <row r="120" ht="15.75" customHeight="1">
      <c r="A120" s="3" t="s">
        <v>12</v>
      </c>
      <c r="B120" s="3" t="s">
        <v>82</v>
      </c>
      <c r="C120" s="3" t="s">
        <v>978</v>
      </c>
      <c r="D120" s="8" t="str">
        <f t="shared" si="1"/>
        <v>Abrir anúncio ↗</v>
      </c>
      <c r="E120" s="9" t="s">
        <v>980</v>
      </c>
      <c r="F120" s="3" t="s">
        <v>29</v>
      </c>
      <c r="G120" s="9" t="s">
        <v>468</v>
      </c>
      <c r="H120" s="9" t="s">
        <v>469</v>
      </c>
      <c r="I120" s="3"/>
      <c r="J120" s="3"/>
      <c r="K120" s="9"/>
    </row>
    <row r="121" ht="15.75" customHeight="1">
      <c r="A121" s="10" t="s">
        <v>12</v>
      </c>
      <c r="B121" s="10" t="s">
        <v>82</v>
      </c>
      <c r="C121" s="10" t="s">
        <v>988</v>
      </c>
      <c r="D121" s="11" t="str">
        <f t="shared" si="1"/>
        <v>Abrir anúncio ↗</v>
      </c>
      <c r="E121" s="12" t="s">
        <v>990</v>
      </c>
      <c r="F121" s="10" t="s">
        <v>86</v>
      </c>
      <c r="G121" s="12" t="s">
        <v>574</v>
      </c>
      <c r="H121" s="12" t="s">
        <v>994</v>
      </c>
      <c r="I121" s="10"/>
      <c r="J121" s="10"/>
      <c r="K121" s="12"/>
    </row>
    <row r="122" ht="15.75" customHeight="1">
      <c r="A122" s="3" t="s">
        <v>12</v>
      </c>
      <c r="B122" s="3" t="s">
        <v>82</v>
      </c>
      <c r="C122" s="3" t="s">
        <v>998</v>
      </c>
      <c r="D122" s="8" t="str">
        <f t="shared" si="1"/>
        <v>Abrir anúncio ↗</v>
      </c>
      <c r="E122" s="9" t="s">
        <v>1001</v>
      </c>
      <c r="F122" s="3" t="s">
        <v>86</v>
      </c>
      <c r="G122" s="9" t="s">
        <v>574</v>
      </c>
      <c r="H122" s="9" t="s">
        <v>1005</v>
      </c>
      <c r="I122" s="3"/>
      <c r="J122" s="3"/>
      <c r="K122" s="9"/>
    </row>
    <row r="123" ht="15.75" customHeight="1">
      <c r="A123" s="10" t="s">
        <v>12</v>
      </c>
      <c r="B123" s="10" t="s">
        <v>82</v>
      </c>
      <c r="C123" s="10" t="s">
        <v>1009</v>
      </c>
      <c r="D123" s="11" t="str">
        <f t="shared" si="1"/>
        <v>Abrir anúncio ↗</v>
      </c>
      <c r="E123" s="12" t="s">
        <v>1013</v>
      </c>
      <c r="F123" s="10" t="s">
        <v>86</v>
      </c>
      <c r="G123" s="12" t="s">
        <v>574</v>
      </c>
      <c r="H123" s="12" t="s">
        <v>1005</v>
      </c>
      <c r="I123" s="10"/>
      <c r="J123" s="10"/>
      <c r="K123" s="12"/>
    </row>
    <row r="124" ht="15.75" customHeight="1">
      <c r="A124" s="3" t="s">
        <v>12</v>
      </c>
      <c r="B124" s="3" t="s">
        <v>82</v>
      </c>
      <c r="C124" s="3" t="s">
        <v>1019</v>
      </c>
      <c r="D124" s="8" t="str">
        <f t="shared" si="1"/>
        <v>Abrir anúncio ↗</v>
      </c>
      <c r="E124" s="9" t="s">
        <v>1022</v>
      </c>
      <c r="F124" s="3" t="s">
        <v>86</v>
      </c>
      <c r="G124" s="9" t="s">
        <v>574</v>
      </c>
      <c r="H124" s="9" t="s">
        <v>1005</v>
      </c>
      <c r="I124" s="3"/>
      <c r="J124" s="3"/>
      <c r="K124" s="9"/>
    </row>
    <row r="125" ht="15.75" customHeight="1">
      <c r="A125" s="10" t="s">
        <v>12</v>
      </c>
      <c r="B125" s="10" t="s">
        <v>82</v>
      </c>
      <c r="C125" s="10" t="s">
        <v>1029</v>
      </c>
      <c r="D125" s="11" t="str">
        <f t="shared" si="1"/>
        <v>Abrir anúncio ↗</v>
      </c>
      <c r="E125" s="12" t="s">
        <v>1032</v>
      </c>
      <c r="F125" s="10" t="s">
        <v>86</v>
      </c>
      <c r="G125" s="12" t="s">
        <v>574</v>
      </c>
      <c r="H125" s="12" t="s">
        <v>1005</v>
      </c>
      <c r="I125" s="10"/>
      <c r="J125" s="10"/>
      <c r="K125" s="12"/>
    </row>
    <row r="126" ht="15.75" customHeight="1">
      <c r="A126" s="3" t="s">
        <v>12</v>
      </c>
      <c r="B126" s="3" t="s">
        <v>82</v>
      </c>
      <c r="C126" s="3" t="s">
        <v>1035</v>
      </c>
      <c r="D126" s="8" t="str">
        <f t="shared" si="1"/>
        <v>Abrir anúncio ↗</v>
      </c>
      <c r="E126" s="9" t="s">
        <v>1039</v>
      </c>
      <c r="F126" s="3" t="s">
        <v>86</v>
      </c>
      <c r="G126" s="9" t="s">
        <v>574</v>
      </c>
      <c r="H126" s="9" t="s">
        <v>1005</v>
      </c>
      <c r="I126" s="3"/>
      <c r="J126" s="3"/>
      <c r="K126" s="9"/>
    </row>
    <row r="127" ht="15.75" customHeight="1">
      <c r="A127" s="10" t="s">
        <v>12</v>
      </c>
      <c r="B127" s="10" t="s">
        <v>82</v>
      </c>
      <c r="C127" s="10" t="s">
        <v>1044</v>
      </c>
      <c r="D127" s="11" t="str">
        <f t="shared" si="1"/>
        <v>Abrir anúncio ↗</v>
      </c>
      <c r="E127" s="12" t="s">
        <v>1047</v>
      </c>
      <c r="F127" s="10" t="s">
        <v>86</v>
      </c>
      <c r="G127" s="12" t="s">
        <v>574</v>
      </c>
      <c r="H127" s="12" t="s">
        <v>1005</v>
      </c>
      <c r="I127" s="10"/>
      <c r="J127" s="10"/>
      <c r="K127" s="12"/>
    </row>
    <row r="128" ht="15.75" customHeight="1">
      <c r="A128" s="3" t="s">
        <v>12</v>
      </c>
      <c r="B128" s="3" t="s">
        <v>82</v>
      </c>
      <c r="C128" s="3" t="s">
        <v>1055</v>
      </c>
      <c r="D128" s="8" t="str">
        <f t="shared" si="1"/>
        <v>Abrir anúncio ↗</v>
      </c>
      <c r="E128" s="9" t="s">
        <v>1058</v>
      </c>
      <c r="F128" s="3" t="s">
        <v>29</v>
      </c>
      <c r="G128" s="9" t="s">
        <v>99</v>
      </c>
      <c r="H128" s="9" t="s">
        <v>143</v>
      </c>
      <c r="I128" s="3"/>
      <c r="J128" s="3"/>
      <c r="K128" s="9"/>
    </row>
    <row r="129" ht="15.75" customHeight="1">
      <c r="A129" s="10" t="s">
        <v>12</v>
      </c>
      <c r="B129" s="10" t="s">
        <v>82</v>
      </c>
      <c r="C129" s="10" t="s">
        <v>1065</v>
      </c>
      <c r="D129" s="11" t="str">
        <f t="shared" si="1"/>
        <v>Abrir anúncio ↗</v>
      </c>
      <c r="E129" s="12" t="s">
        <v>1067</v>
      </c>
      <c r="F129" s="10" t="s">
        <v>86</v>
      </c>
      <c r="G129" s="12" t="s">
        <v>574</v>
      </c>
      <c r="H129" s="12" t="s">
        <v>1005</v>
      </c>
      <c r="I129" s="10"/>
      <c r="J129" s="10"/>
      <c r="K129" s="12"/>
    </row>
    <row r="130" ht="15.75" customHeight="1">
      <c r="A130" s="3" t="s">
        <v>12</v>
      </c>
      <c r="B130" s="3" t="s">
        <v>82</v>
      </c>
      <c r="C130" s="3" t="s">
        <v>1076</v>
      </c>
      <c r="D130" s="8" t="str">
        <f t="shared" si="1"/>
        <v>Abrir anúncio ↗</v>
      </c>
      <c r="E130" s="9" t="s">
        <v>1079</v>
      </c>
      <c r="F130" s="3" t="s">
        <v>86</v>
      </c>
      <c r="G130" s="9" t="s">
        <v>574</v>
      </c>
      <c r="H130" s="9" t="s">
        <v>1082</v>
      </c>
      <c r="I130" s="3"/>
      <c r="J130" s="3"/>
      <c r="K130" s="9"/>
    </row>
    <row r="131" ht="15.75" customHeight="1">
      <c r="A131" s="10" t="s">
        <v>12</v>
      </c>
      <c r="B131" s="10" t="s">
        <v>82</v>
      </c>
      <c r="C131" s="10" t="s">
        <v>1086</v>
      </c>
      <c r="D131" s="11" t="str">
        <f t="shared" si="1"/>
        <v>Abrir anúncio ↗</v>
      </c>
      <c r="E131" s="12" t="s">
        <v>1088</v>
      </c>
      <c r="F131" s="10" t="s">
        <v>86</v>
      </c>
      <c r="G131" s="12" t="s">
        <v>574</v>
      </c>
      <c r="H131" s="12" t="s">
        <v>1005</v>
      </c>
      <c r="I131" s="10"/>
      <c r="J131" s="10"/>
      <c r="K131" s="12"/>
    </row>
    <row r="132" ht="15.75" customHeight="1">
      <c r="A132" s="3" t="s">
        <v>12</v>
      </c>
      <c r="B132" s="3" t="s">
        <v>82</v>
      </c>
      <c r="C132" s="3" t="s">
        <v>1095</v>
      </c>
      <c r="D132" s="8" t="str">
        <f t="shared" si="1"/>
        <v>Abrir anúncio ↗</v>
      </c>
      <c r="E132" s="9" t="s">
        <v>1096</v>
      </c>
      <c r="F132" s="3" t="s">
        <v>86</v>
      </c>
      <c r="G132" s="9" t="s">
        <v>574</v>
      </c>
      <c r="H132" s="9" t="s">
        <v>1082</v>
      </c>
      <c r="I132" s="3"/>
      <c r="J132" s="3"/>
      <c r="K132" s="9"/>
    </row>
    <row r="133" ht="15.75" customHeight="1">
      <c r="A133" s="10" t="s">
        <v>12</v>
      </c>
      <c r="B133" s="10" t="s">
        <v>82</v>
      </c>
      <c r="C133" s="10" t="s">
        <v>1103</v>
      </c>
      <c r="D133" s="11" t="str">
        <f t="shared" si="1"/>
        <v>Abrir anúncio ↗</v>
      </c>
      <c r="E133" s="12" t="s">
        <v>1105</v>
      </c>
      <c r="F133" s="10" t="s">
        <v>29</v>
      </c>
      <c r="G133" s="12" t="s">
        <v>583</v>
      </c>
      <c r="H133" s="12" t="s">
        <v>1107</v>
      </c>
      <c r="I133" s="10"/>
      <c r="J133" s="10"/>
      <c r="K133" s="12"/>
    </row>
    <row r="134" ht="15.75" customHeight="1">
      <c r="A134" s="3" t="s">
        <v>12</v>
      </c>
      <c r="B134" s="3" t="s">
        <v>82</v>
      </c>
      <c r="C134" s="3" t="s">
        <v>1114</v>
      </c>
      <c r="D134" s="8" t="str">
        <f t="shared" si="1"/>
        <v>Abrir anúncio ↗</v>
      </c>
      <c r="E134" s="9" t="s">
        <v>1116</v>
      </c>
      <c r="F134" s="3" t="s">
        <v>86</v>
      </c>
      <c r="G134" s="9" t="s">
        <v>574</v>
      </c>
      <c r="H134" s="9" t="s">
        <v>1005</v>
      </c>
      <c r="I134" s="3"/>
      <c r="J134" s="3"/>
      <c r="K134" s="9"/>
    </row>
    <row r="135" ht="15.75" customHeight="1">
      <c r="A135" s="10" t="s">
        <v>12</v>
      </c>
      <c r="B135" s="10" t="s">
        <v>82</v>
      </c>
      <c r="C135" s="10" t="s">
        <v>1123</v>
      </c>
      <c r="D135" s="11" t="str">
        <f t="shared" si="1"/>
        <v>Abrir anúncio ↗</v>
      </c>
      <c r="E135" s="12" t="s">
        <v>1126</v>
      </c>
      <c r="F135" s="10" t="s">
        <v>86</v>
      </c>
      <c r="G135" s="12" t="s">
        <v>574</v>
      </c>
      <c r="H135" s="12" t="s">
        <v>1005</v>
      </c>
      <c r="I135" s="10"/>
      <c r="J135" s="10"/>
      <c r="K135" s="12"/>
    </row>
    <row r="136" ht="15.75" customHeight="1">
      <c r="A136" s="3" t="s">
        <v>12</v>
      </c>
      <c r="B136" s="3" t="s">
        <v>82</v>
      </c>
      <c r="C136" s="3" t="s">
        <v>1131</v>
      </c>
      <c r="D136" s="8" t="str">
        <f t="shared" si="1"/>
        <v>Abrir anúncio ↗</v>
      </c>
      <c r="E136" s="9" t="s">
        <v>1134</v>
      </c>
      <c r="F136" s="3" t="s">
        <v>86</v>
      </c>
      <c r="G136" s="9" t="s">
        <v>574</v>
      </c>
      <c r="H136" s="9" t="s">
        <v>1082</v>
      </c>
      <c r="I136" s="3"/>
      <c r="J136" s="3"/>
      <c r="K136" s="9"/>
    </row>
    <row r="137" ht="15.75" customHeight="1">
      <c r="A137" s="10" t="s">
        <v>12</v>
      </c>
      <c r="B137" s="10" t="s">
        <v>82</v>
      </c>
      <c r="C137" s="10" t="s">
        <v>1148</v>
      </c>
      <c r="D137" s="11" t="str">
        <f t="shared" si="1"/>
        <v>Abrir anúncio ↗</v>
      </c>
      <c r="E137" s="12" t="s">
        <v>1150</v>
      </c>
      <c r="F137" s="10" t="s">
        <v>29</v>
      </c>
      <c r="G137" s="12" t="s">
        <v>87</v>
      </c>
      <c r="H137" s="12" t="s">
        <v>126</v>
      </c>
      <c r="I137" s="10"/>
      <c r="J137" s="10"/>
      <c r="K137" s="12"/>
    </row>
    <row r="138" ht="15.75" customHeight="1">
      <c r="A138" s="3" t="s">
        <v>12</v>
      </c>
      <c r="B138" s="3" t="s">
        <v>82</v>
      </c>
      <c r="C138" s="3" t="s">
        <v>1157</v>
      </c>
      <c r="D138" s="8" t="str">
        <f t="shared" si="1"/>
        <v>Abrir anúncio ↗</v>
      </c>
      <c r="E138" s="9" t="s">
        <v>958</v>
      </c>
      <c r="F138" s="3" t="s">
        <v>86</v>
      </c>
      <c r="G138" s="9" t="s">
        <v>574</v>
      </c>
      <c r="H138" s="9" t="s">
        <v>1162</v>
      </c>
      <c r="I138" s="3"/>
      <c r="J138" s="3"/>
      <c r="K138" s="9"/>
    </row>
    <row r="139" ht="15.75" customHeight="1">
      <c r="A139" s="10" t="s">
        <v>12</v>
      </c>
      <c r="B139" s="10" t="s">
        <v>82</v>
      </c>
      <c r="C139" s="10" t="s">
        <v>1166</v>
      </c>
      <c r="D139" s="11" t="str">
        <f t="shared" si="1"/>
        <v>Abrir anúncio ↗</v>
      </c>
      <c r="E139" s="12" t="s">
        <v>1167</v>
      </c>
      <c r="F139" s="10" t="s">
        <v>86</v>
      </c>
      <c r="G139" s="12" t="s">
        <v>574</v>
      </c>
      <c r="H139" s="12" t="s">
        <v>1005</v>
      </c>
      <c r="I139" s="10"/>
      <c r="J139" s="10"/>
      <c r="K139" s="12"/>
    </row>
    <row r="140" ht="15.75" customHeight="1">
      <c r="A140" s="3" t="s">
        <v>12</v>
      </c>
      <c r="B140" s="3" t="s">
        <v>82</v>
      </c>
      <c r="C140" s="3" t="s">
        <v>1174</v>
      </c>
      <c r="D140" s="8" t="str">
        <f t="shared" si="1"/>
        <v>Abrir anúncio ↗</v>
      </c>
      <c r="E140" s="9" t="s">
        <v>1176</v>
      </c>
      <c r="F140" s="3" t="s">
        <v>86</v>
      </c>
      <c r="G140" s="9" t="s">
        <v>574</v>
      </c>
      <c r="H140" s="9" t="s">
        <v>1005</v>
      </c>
      <c r="I140" s="3"/>
      <c r="J140" s="3"/>
      <c r="K140" s="9"/>
    </row>
    <row r="141" ht="15.75" customHeight="1">
      <c r="A141" s="10" t="s">
        <v>12</v>
      </c>
      <c r="B141" s="10" t="s">
        <v>82</v>
      </c>
      <c r="C141" s="10" t="s">
        <v>1184</v>
      </c>
      <c r="D141" s="11" t="str">
        <f t="shared" si="1"/>
        <v>Abrir anúncio ↗</v>
      </c>
      <c r="E141" s="12" t="s">
        <v>1186</v>
      </c>
      <c r="F141" s="10" t="s">
        <v>86</v>
      </c>
      <c r="G141" s="12" t="s">
        <v>574</v>
      </c>
      <c r="H141" s="12" t="s">
        <v>1005</v>
      </c>
      <c r="I141" s="10"/>
      <c r="J141" s="10"/>
      <c r="K141" s="12"/>
    </row>
    <row r="142" ht="15.75" customHeight="1">
      <c r="A142" s="3" t="s">
        <v>12</v>
      </c>
      <c r="B142" s="3" t="s">
        <v>82</v>
      </c>
      <c r="C142" s="3" t="s">
        <v>1191</v>
      </c>
      <c r="D142" s="8" t="str">
        <f t="shared" si="1"/>
        <v>Abrir anúncio ↗</v>
      </c>
      <c r="E142" s="9" t="s">
        <v>1196</v>
      </c>
      <c r="F142" s="3" t="s">
        <v>86</v>
      </c>
      <c r="G142" s="9" t="s">
        <v>574</v>
      </c>
      <c r="H142" s="9" t="s">
        <v>1005</v>
      </c>
      <c r="I142" s="3"/>
      <c r="J142" s="3"/>
      <c r="K142" s="9"/>
    </row>
    <row r="143" ht="15.75" customHeight="1">
      <c r="A143" s="10" t="s">
        <v>12</v>
      </c>
      <c r="B143" s="10" t="s">
        <v>82</v>
      </c>
      <c r="C143" s="10" t="s">
        <v>1201</v>
      </c>
      <c r="D143" s="11" t="str">
        <f t="shared" si="1"/>
        <v>Abrir anúncio ↗</v>
      </c>
      <c r="E143" s="12" t="s">
        <v>1203</v>
      </c>
      <c r="F143" s="10" t="s">
        <v>86</v>
      </c>
      <c r="G143" s="12" t="s">
        <v>574</v>
      </c>
      <c r="H143" s="12" t="s">
        <v>1005</v>
      </c>
      <c r="I143" s="10"/>
      <c r="J143" s="10"/>
      <c r="K143" s="12"/>
    </row>
    <row r="144" ht="15.75" customHeight="1">
      <c r="A144" s="3" t="s">
        <v>12</v>
      </c>
      <c r="B144" s="3" t="s">
        <v>82</v>
      </c>
      <c r="C144" s="3" t="s">
        <v>1211</v>
      </c>
      <c r="D144" s="8" t="str">
        <f t="shared" si="1"/>
        <v>Abrir anúncio ↗</v>
      </c>
      <c r="E144" s="9" t="s">
        <v>1212</v>
      </c>
      <c r="F144" s="3" t="s">
        <v>86</v>
      </c>
      <c r="G144" s="9" t="s">
        <v>574</v>
      </c>
      <c r="H144" s="9" t="s">
        <v>1082</v>
      </c>
      <c r="I144" s="3"/>
      <c r="J144" s="3"/>
      <c r="K144" s="9"/>
    </row>
    <row r="145" ht="15.75" customHeight="1">
      <c r="A145" s="10" t="s">
        <v>12</v>
      </c>
      <c r="B145" s="10" t="s">
        <v>82</v>
      </c>
      <c r="C145" s="10" t="s">
        <v>1219</v>
      </c>
      <c r="D145" s="11" t="str">
        <f t="shared" si="1"/>
        <v>Abrir anúncio ↗</v>
      </c>
      <c r="E145" s="12" t="s">
        <v>1222</v>
      </c>
      <c r="F145" s="10" t="s">
        <v>86</v>
      </c>
      <c r="G145" s="12" t="s">
        <v>574</v>
      </c>
      <c r="H145" s="12" t="s">
        <v>1005</v>
      </c>
      <c r="I145" s="10"/>
      <c r="J145" s="10"/>
      <c r="K145" s="12"/>
    </row>
    <row r="146" ht="15.75" customHeight="1">
      <c r="A146" s="3" t="s">
        <v>12</v>
      </c>
      <c r="B146" s="3" t="s">
        <v>82</v>
      </c>
      <c r="C146" s="3" t="s">
        <v>1228</v>
      </c>
      <c r="D146" s="8" t="str">
        <f t="shared" si="1"/>
        <v>Abrir anúncio ↗</v>
      </c>
      <c r="E146" s="9" t="s">
        <v>1230</v>
      </c>
      <c r="F146" s="3" t="s">
        <v>86</v>
      </c>
      <c r="G146" s="9" t="s">
        <v>574</v>
      </c>
      <c r="H146" s="9" t="s">
        <v>1005</v>
      </c>
      <c r="I146" s="3"/>
      <c r="J146" s="3"/>
      <c r="K146" s="9"/>
    </row>
    <row r="147" ht="15.75" customHeight="1">
      <c r="A147" s="10" t="s">
        <v>12</v>
      </c>
      <c r="B147" s="10" t="s">
        <v>82</v>
      </c>
      <c r="C147" s="10" t="s">
        <v>1237</v>
      </c>
      <c r="D147" s="11" t="str">
        <f t="shared" si="1"/>
        <v>Abrir anúncio ↗</v>
      </c>
      <c r="E147" s="12" t="s">
        <v>1240</v>
      </c>
      <c r="F147" s="10" t="s">
        <v>86</v>
      </c>
      <c r="G147" s="12" t="s">
        <v>574</v>
      </c>
      <c r="H147" s="12" t="s">
        <v>1005</v>
      </c>
      <c r="I147" s="10"/>
      <c r="J147" s="10"/>
      <c r="K147" s="12"/>
    </row>
    <row r="148" ht="15.75" customHeight="1">
      <c r="A148" s="3" t="s">
        <v>12</v>
      </c>
      <c r="B148" s="3" t="s">
        <v>82</v>
      </c>
      <c r="C148" s="3" t="s">
        <v>1247</v>
      </c>
      <c r="D148" s="8" t="str">
        <f t="shared" si="1"/>
        <v>Abrir anúncio ↗</v>
      </c>
      <c r="E148" s="9" t="s">
        <v>1249</v>
      </c>
      <c r="F148" s="3" t="s">
        <v>29</v>
      </c>
      <c r="G148" s="9" t="s">
        <v>583</v>
      </c>
      <c r="H148" s="9" t="s">
        <v>1107</v>
      </c>
      <c r="I148" s="3"/>
      <c r="J148" s="3"/>
      <c r="K148" s="9"/>
    </row>
    <row r="149" ht="15.75" customHeight="1">
      <c r="A149" s="10" t="s">
        <v>12</v>
      </c>
      <c r="B149" s="10" t="s">
        <v>82</v>
      </c>
      <c r="C149" s="10" t="s">
        <v>1255</v>
      </c>
      <c r="D149" s="11" t="str">
        <f t="shared" si="1"/>
        <v>Abrir anúncio ↗</v>
      </c>
      <c r="E149" s="12" t="s">
        <v>1258</v>
      </c>
      <c r="F149" s="10" t="s">
        <v>29</v>
      </c>
      <c r="G149" s="12" t="s">
        <v>1259</v>
      </c>
      <c r="H149" s="12" t="s">
        <v>1261</v>
      </c>
      <c r="I149" s="10"/>
      <c r="J149" s="10"/>
      <c r="K149" s="12"/>
    </row>
    <row r="150" ht="15.75" customHeight="1">
      <c r="A150" s="3" t="s">
        <v>12</v>
      </c>
      <c r="B150" s="3" t="s">
        <v>82</v>
      </c>
      <c r="C150" s="3" t="s">
        <v>1266</v>
      </c>
      <c r="D150" s="8" t="str">
        <f t="shared" si="1"/>
        <v>Abrir anúncio ↗</v>
      </c>
      <c r="E150" s="9" t="s">
        <v>1269</v>
      </c>
      <c r="F150" s="3" t="s">
        <v>86</v>
      </c>
      <c r="G150" s="9" t="s">
        <v>87</v>
      </c>
      <c r="H150" s="9" t="s">
        <v>126</v>
      </c>
      <c r="I150" s="3"/>
      <c r="J150" s="3"/>
      <c r="K150" s="9"/>
    </row>
    <row r="151" ht="15.75" customHeight="1">
      <c r="A151" s="10" t="s">
        <v>12</v>
      </c>
      <c r="B151" s="10" t="s">
        <v>82</v>
      </c>
      <c r="C151" s="10" t="s">
        <v>1276</v>
      </c>
      <c r="D151" s="11" t="str">
        <f t="shared" si="1"/>
        <v>Abrir anúncio ↗</v>
      </c>
      <c r="E151" s="12" t="s">
        <v>1278</v>
      </c>
      <c r="F151" s="10" t="s">
        <v>29</v>
      </c>
      <c r="G151" s="12" t="s">
        <v>1279</v>
      </c>
      <c r="H151" s="12" t="s">
        <v>1282</v>
      </c>
      <c r="I151" s="10"/>
      <c r="J151" s="10"/>
      <c r="K151" s="12"/>
    </row>
    <row r="152" ht="15.75" customHeight="1">
      <c r="A152" s="3" t="s">
        <v>12</v>
      </c>
      <c r="B152" s="3" t="s">
        <v>82</v>
      </c>
      <c r="C152" s="3" t="s">
        <v>1286</v>
      </c>
      <c r="D152" s="8" t="str">
        <f t="shared" si="1"/>
        <v>Abrir anúncio ↗</v>
      </c>
      <c r="E152" s="9" t="s">
        <v>1290</v>
      </c>
      <c r="F152" s="3" t="s">
        <v>29</v>
      </c>
      <c r="G152" s="9" t="s">
        <v>468</v>
      </c>
      <c r="H152" s="9" t="s">
        <v>469</v>
      </c>
      <c r="I152" s="3"/>
      <c r="J152" s="3"/>
      <c r="K152" s="9"/>
    </row>
    <row r="153" ht="15.75" customHeight="1">
      <c r="A153" s="10" t="s">
        <v>12</v>
      </c>
      <c r="B153" s="10" t="s">
        <v>82</v>
      </c>
      <c r="C153" s="10" t="s">
        <v>1297</v>
      </c>
      <c r="D153" s="11" t="str">
        <f t="shared" si="1"/>
        <v>Abrir anúncio ↗</v>
      </c>
      <c r="E153" s="12" t="s">
        <v>1298</v>
      </c>
      <c r="F153" s="10" t="s">
        <v>29</v>
      </c>
      <c r="G153" s="12" t="s">
        <v>468</v>
      </c>
      <c r="H153" s="12" t="s">
        <v>469</v>
      </c>
      <c r="I153" s="10"/>
      <c r="J153" s="10"/>
      <c r="K153" s="12"/>
    </row>
    <row r="154" ht="15.75" customHeight="1">
      <c r="A154" s="3" t="s">
        <v>12</v>
      </c>
      <c r="B154" s="3" t="s">
        <v>82</v>
      </c>
      <c r="C154" s="3" t="s">
        <v>1303</v>
      </c>
      <c r="D154" s="8" t="str">
        <f t="shared" si="1"/>
        <v>Abrir anúncio ↗</v>
      </c>
      <c r="E154" s="9" t="s">
        <v>1305</v>
      </c>
      <c r="F154" s="3" t="s">
        <v>29</v>
      </c>
      <c r="G154" s="9" t="s">
        <v>99</v>
      </c>
      <c r="H154" s="9" t="s">
        <v>143</v>
      </c>
      <c r="I154" s="3"/>
      <c r="J154" s="3"/>
      <c r="K154" s="9"/>
    </row>
    <row r="155" ht="15.75" customHeight="1">
      <c r="A155" s="10" t="s">
        <v>12</v>
      </c>
      <c r="B155" s="10" t="s">
        <v>82</v>
      </c>
      <c r="C155" s="10" t="s">
        <v>1311</v>
      </c>
      <c r="D155" s="11" t="str">
        <f t="shared" si="1"/>
        <v>Abrir anúncio ↗</v>
      </c>
      <c r="E155" s="12" t="s">
        <v>1313</v>
      </c>
      <c r="F155" s="10" t="s">
        <v>29</v>
      </c>
      <c r="G155" s="12" t="s">
        <v>99</v>
      </c>
      <c r="H155" s="12" t="s">
        <v>143</v>
      </c>
      <c r="I155" s="10"/>
      <c r="J155" s="10"/>
      <c r="K155" s="12"/>
    </row>
    <row r="156" ht="15.75" customHeight="1">
      <c r="A156" s="3" t="s">
        <v>12</v>
      </c>
      <c r="B156" s="3" t="s">
        <v>82</v>
      </c>
      <c r="C156" s="3" t="s">
        <v>1320</v>
      </c>
      <c r="D156" s="8" t="str">
        <f t="shared" si="1"/>
        <v>Abrir anúncio ↗</v>
      </c>
      <c r="E156" s="9" t="s">
        <v>1321</v>
      </c>
      <c r="F156" s="3" t="s">
        <v>86</v>
      </c>
      <c r="G156" s="9" t="s">
        <v>87</v>
      </c>
      <c r="H156" s="9" t="s">
        <v>126</v>
      </c>
      <c r="I156" s="3"/>
      <c r="J156" s="3"/>
      <c r="K156" s="9"/>
    </row>
    <row r="157" ht="15.75" customHeight="1">
      <c r="A157" s="10" t="s">
        <v>12</v>
      </c>
      <c r="B157" s="10" t="s">
        <v>82</v>
      </c>
      <c r="C157" s="10" t="s">
        <v>1329</v>
      </c>
      <c r="D157" s="11" t="str">
        <f t="shared" si="1"/>
        <v>Abrir anúncio ↗</v>
      </c>
      <c r="E157" s="12" t="s">
        <v>1331</v>
      </c>
      <c r="F157" s="10" t="s">
        <v>86</v>
      </c>
      <c r="G157" s="12" t="s">
        <v>87</v>
      </c>
      <c r="H157" s="12" t="s">
        <v>126</v>
      </c>
      <c r="I157" s="10"/>
      <c r="J157" s="10"/>
      <c r="K157" s="12"/>
    </row>
    <row r="158" ht="15.75" customHeight="1">
      <c r="A158" s="3" t="s">
        <v>12</v>
      </c>
      <c r="B158" s="3" t="s">
        <v>82</v>
      </c>
      <c r="C158" s="3" t="s">
        <v>1338</v>
      </c>
      <c r="D158" s="8" t="str">
        <f t="shared" si="1"/>
        <v>Abrir anúncio ↗</v>
      </c>
      <c r="E158" s="9" t="s">
        <v>1342</v>
      </c>
      <c r="F158" s="3" t="s">
        <v>29</v>
      </c>
      <c r="G158" s="9" t="s">
        <v>99</v>
      </c>
      <c r="H158" s="9" t="s">
        <v>143</v>
      </c>
      <c r="I158" s="3"/>
      <c r="J158" s="3"/>
      <c r="K158" s="9"/>
    </row>
    <row r="159" ht="15.75" customHeight="1">
      <c r="A159" s="10" t="s">
        <v>12</v>
      </c>
      <c r="B159" s="10" t="s">
        <v>82</v>
      </c>
      <c r="C159" s="10" t="s">
        <v>1348</v>
      </c>
      <c r="D159" s="11" t="str">
        <f t="shared" si="1"/>
        <v>Abrir anúncio ↗</v>
      </c>
      <c r="E159" s="12" t="s">
        <v>1353</v>
      </c>
      <c r="F159" s="10" t="s">
        <v>86</v>
      </c>
      <c r="G159" s="12" t="s">
        <v>93</v>
      </c>
      <c r="H159" s="12" t="s">
        <v>1355</v>
      </c>
      <c r="I159" s="10"/>
      <c r="J159" s="10"/>
      <c r="K159" s="12"/>
    </row>
    <row r="160" ht="15.75" customHeight="1">
      <c r="A160" s="3" t="s">
        <v>12</v>
      </c>
      <c r="B160" s="3" t="s">
        <v>82</v>
      </c>
      <c r="C160" s="3" t="s">
        <v>1360</v>
      </c>
      <c r="D160" s="8" t="str">
        <f t="shared" si="1"/>
        <v>Abrir anúncio ↗</v>
      </c>
      <c r="E160" s="9" t="s">
        <v>1363</v>
      </c>
      <c r="F160" s="3" t="s">
        <v>86</v>
      </c>
      <c r="G160" s="9" t="s">
        <v>492</v>
      </c>
      <c r="H160" s="9" t="s">
        <v>1366</v>
      </c>
      <c r="I160" s="3"/>
      <c r="J160" s="3"/>
      <c r="K160" s="9"/>
    </row>
    <row r="161" ht="15.75" customHeight="1">
      <c r="A161" s="10" t="s">
        <v>12</v>
      </c>
      <c r="B161" s="10" t="s">
        <v>82</v>
      </c>
      <c r="C161" s="10" t="s">
        <v>1372</v>
      </c>
      <c r="D161" s="11" t="str">
        <f t="shared" si="1"/>
        <v>Abrir anúncio ↗</v>
      </c>
      <c r="E161" s="12" t="s">
        <v>1374</v>
      </c>
      <c r="F161" s="10" t="s">
        <v>86</v>
      </c>
      <c r="G161" s="12" t="s">
        <v>93</v>
      </c>
      <c r="H161" s="12" t="s">
        <v>1355</v>
      </c>
      <c r="I161" s="10"/>
      <c r="J161" s="10"/>
      <c r="K161" s="12"/>
    </row>
    <row r="162" ht="15.75" customHeight="1">
      <c r="A162" s="3" t="s">
        <v>12</v>
      </c>
      <c r="B162" s="3" t="s">
        <v>82</v>
      </c>
      <c r="C162" s="3" t="s">
        <v>1378</v>
      </c>
      <c r="D162" s="8" t="str">
        <f t="shared" si="1"/>
        <v>Abrir anúncio ↗</v>
      </c>
      <c r="E162" s="9" t="s">
        <v>1381</v>
      </c>
      <c r="F162" s="3" t="s">
        <v>86</v>
      </c>
      <c r="G162" s="9" t="s">
        <v>492</v>
      </c>
      <c r="H162" s="9" t="s">
        <v>1366</v>
      </c>
      <c r="I162" s="3"/>
      <c r="J162" s="3"/>
      <c r="K162" s="9"/>
    </row>
    <row r="163" ht="15.75" customHeight="1">
      <c r="A163" s="10" t="s">
        <v>12</v>
      </c>
      <c r="B163" s="10" t="s">
        <v>82</v>
      </c>
      <c r="C163" s="10" t="s">
        <v>1388</v>
      </c>
      <c r="D163" s="11" t="str">
        <f t="shared" si="1"/>
        <v>Abrir anúncio ↗</v>
      </c>
      <c r="E163" s="12" t="s">
        <v>1390</v>
      </c>
      <c r="F163" s="10" t="s">
        <v>29</v>
      </c>
      <c r="G163" s="12" t="s">
        <v>119</v>
      </c>
      <c r="H163" s="12" t="s">
        <v>1394</v>
      </c>
      <c r="I163" s="10"/>
      <c r="J163" s="10"/>
      <c r="K163" s="12"/>
    </row>
    <row r="164" ht="15.75" customHeight="1">
      <c r="A164" s="3" t="s">
        <v>12</v>
      </c>
      <c r="B164" s="3" t="s">
        <v>82</v>
      </c>
      <c r="C164" s="3" t="s">
        <v>1398</v>
      </c>
      <c r="D164" s="8" t="str">
        <f t="shared" si="1"/>
        <v>Abrir anúncio ↗</v>
      </c>
      <c r="E164" s="9" t="s">
        <v>1401</v>
      </c>
      <c r="F164" s="3" t="s">
        <v>86</v>
      </c>
      <c r="G164" s="9" t="s">
        <v>93</v>
      </c>
      <c r="H164" s="9" t="s">
        <v>1355</v>
      </c>
      <c r="I164" s="3"/>
      <c r="J164" s="3"/>
      <c r="K164" s="9"/>
    </row>
    <row r="165" ht="15.75" customHeight="1">
      <c r="A165" s="10" t="s">
        <v>12</v>
      </c>
      <c r="B165" s="10" t="s">
        <v>82</v>
      </c>
      <c r="C165" s="10" t="s">
        <v>1407</v>
      </c>
      <c r="D165" s="11" t="str">
        <f t="shared" si="1"/>
        <v>Abrir anúncio ↗</v>
      </c>
      <c r="E165" s="12" t="s">
        <v>1409</v>
      </c>
      <c r="F165" s="10" t="s">
        <v>86</v>
      </c>
      <c r="G165" s="12" t="s">
        <v>492</v>
      </c>
      <c r="H165" s="12" t="s">
        <v>1366</v>
      </c>
      <c r="I165" s="10"/>
      <c r="J165" s="10"/>
      <c r="K165" s="12"/>
    </row>
    <row r="166" ht="15.75" customHeight="1">
      <c r="A166" s="3" t="s">
        <v>12</v>
      </c>
      <c r="B166" s="3" t="s">
        <v>82</v>
      </c>
      <c r="C166" s="3" t="s">
        <v>1417</v>
      </c>
      <c r="D166" s="8" t="str">
        <f t="shared" si="1"/>
        <v>Abrir anúncio ↗</v>
      </c>
      <c r="E166" s="9" t="s">
        <v>1419</v>
      </c>
      <c r="F166" s="3" t="s">
        <v>86</v>
      </c>
      <c r="G166" s="9" t="s">
        <v>93</v>
      </c>
      <c r="H166" s="9" t="s">
        <v>1355</v>
      </c>
      <c r="I166" s="3"/>
      <c r="J166" s="3"/>
      <c r="K166" s="9"/>
    </row>
    <row r="167" ht="15.75" customHeight="1">
      <c r="A167" s="10" t="s">
        <v>12</v>
      </c>
      <c r="B167" s="10" t="s">
        <v>82</v>
      </c>
      <c r="C167" s="10" t="s">
        <v>1426</v>
      </c>
      <c r="D167" s="11" t="str">
        <f t="shared" si="1"/>
        <v>Abrir anúncio ↗</v>
      </c>
      <c r="E167" s="12" t="s">
        <v>1427</v>
      </c>
      <c r="F167" s="10" t="s">
        <v>86</v>
      </c>
      <c r="G167" s="12" t="s">
        <v>492</v>
      </c>
      <c r="H167" s="12" t="s">
        <v>1366</v>
      </c>
      <c r="I167" s="10"/>
      <c r="J167" s="10"/>
      <c r="K167" s="12"/>
    </row>
    <row r="168" ht="15.75" customHeight="1">
      <c r="A168" s="3" t="s">
        <v>12</v>
      </c>
      <c r="B168" s="3" t="s">
        <v>82</v>
      </c>
      <c r="C168" s="3" t="s">
        <v>1436</v>
      </c>
      <c r="D168" s="8" t="str">
        <f t="shared" si="1"/>
        <v>Abrir anúncio ↗</v>
      </c>
      <c r="E168" s="9" t="s">
        <v>1438</v>
      </c>
      <c r="F168" s="3" t="s">
        <v>86</v>
      </c>
      <c r="G168" s="9" t="s">
        <v>492</v>
      </c>
      <c r="H168" s="9" t="s">
        <v>1366</v>
      </c>
      <c r="I168" s="3"/>
      <c r="J168" s="3"/>
      <c r="K168" s="9"/>
    </row>
    <row r="169" ht="15.75" customHeight="1">
      <c r="A169" s="10" t="s">
        <v>12</v>
      </c>
      <c r="B169" s="10" t="s">
        <v>82</v>
      </c>
      <c r="C169" s="10" t="s">
        <v>1444</v>
      </c>
      <c r="D169" s="11" t="str">
        <f t="shared" si="1"/>
        <v>Abrir anúncio ↗</v>
      </c>
      <c r="E169" s="12" t="s">
        <v>1447</v>
      </c>
      <c r="F169" s="10" t="s">
        <v>29</v>
      </c>
      <c r="G169" s="12" t="s">
        <v>323</v>
      </c>
      <c r="H169" s="12" t="s">
        <v>324</v>
      </c>
      <c r="I169" s="10"/>
      <c r="J169" s="10"/>
      <c r="K169" s="12"/>
    </row>
    <row r="170" ht="15.75" customHeight="1">
      <c r="A170" s="3" t="s">
        <v>12</v>
      </c>
      <c r="B170" s="3" t="s">
        <v>82</v>
      </c>
      <c r="C170" s="3" t="s">
        <v>1454</v>
      </c>
      <c r="D170" s="8" t="str">
        <f t="shared" si="1"/>
        <v>Abrir anúncio ↗</v>
      </c>
      <c r="E170" s="9" t="s">
        <v>1456</v>
      </c>
      <c r="F170" s="3" t="s">
        <v>29</v>
      </c>
      <c r="G170" s="9" t="s">
        <v>99</v>
      </c>
      <c r="H170" s="9" t="s">
        <v>143</v>
      </c>
      <c r="I170" s="3"/>
      <c r="J170" s="3"/>
      <c r="K170" s="9"/>
    </row>
    <row r="171" ht="15.75" customHeight="1">
      <c r="A171" s="10" t="s">
        <v>12</v>
      </c>
      <c r="B171" s="10" t="s">
        <v>82</v>
      </c>
      <c r="C171" s="10" t="s">
        <v>1463</v>
      </c>
      <c r="D171" s="11" t="str">
        <f t="shared" si="1"/>
        <v>Abrir anúncio ↗</v>
      </c>
      <c r="E171" s="12" t="s">
        <v>1466</v>
      </c>
      <c r="F171" s="10" t="s">
        <v>86</v>
      </c>
      <c r="G171" s="12" t="s">
        <v>93</v>
      </c>
      <c r="H171" s="12" t="s">
        <v>1355</v>
      </c>
      <c r="I171" s="10"/>
      <c r="J171" s="10"/>
      <c r="K171" s="12"/>
    </row>
    <row r="172" ht="15.75" customHeight="1">
      <c r="A172" s="3" t="s">
        <v>12</v>
      </c>
      <c r="B172" s="3" t="s">
        <v>82</v>
      </c>
      <c r="C172" s="3" t="s">
        <v>1473</v>
      </c>
      <c r="D172" s="8" t="str">
        <f t="shared" si="1"/>
        <v>Abrir anúncio ↗</v>
      </c>
      <c r="E172" s="9" t="s">
        <v>1476</v>
      </c>
      <c r="F172" s="3" t="s">
        <v>86</v>
      </c>
      <c r="G172" s="9" t="s">
        <v>1478</v>
      </c>
      <c r="H172" s="9" t="s">
        <v>1480</v>
      </c>
      <c r="I172" s="3"/>
      <c r="J172" s="3"/>
      <c r="K172" s="9"/>
    </row>
    <row r="173" ht="15.75" customHeight="1">
      <c r="A173" s="10" t="s">
        <v>12</v>
      </c>
      <c r="B173" s="10" t="s">
        <v>82</v>
      </c>
      <c r="C173" s="10" t="s">
        <v>1486</v>
      </c>
      <c r="D173" s="11" t="str">
        <f t="shared" si="1"/>
        <v>Abrir anúncio ↗</v>
      </c>
      <c r="E173" s="12" t="s">
        <v>1487</v>
      </c>
      <c r="F173" s="10" t="s">
        <v>86</v>
      </c>
      <c r="G173" s="12" t="s">
        <v>93</v>
      </c>
      <c r="H173" s="12" t="s">
        <v>1355</v>
      </c>
      <c r="I173" s="10"/>
      <c r="J173" s="10"/>
      <c r="K173" s="12"/>
    </row>
    <row r="174" ht="15.75" customHeight="1">
      <c r="A174" s="3" t="s">
        <v>12</v>
      </c>
      <c r="B174" s="3" t="s">
        <v>82</v>
      </c>
      <c r="C174" s="3" t="s">
        <v>1495</v>
      </c>
      <c r="D174" s="8" t="str">
        <f t="shared" si="1"/>
        <v>Abrir anúncio ↗</v>
      </c>
      <c r="E174" s="9" t="s">
        <v>1498</v>
      </c>
      <c r="F174" s="3" t="s">
        <v>86</v>
      </c>
      <c r="G174" s="9" t="s">
        <v>492</v>
      </c>
      <c r="H174" s="9" t="s">
        <v>1366</v>
      </c>
      <c r="I174" s="3"/>
      <c r="J174" s="3"/>
      <c r="K174" s="9"/>
    </row>
    <row r="175" ht="15.75" customHeight="1">
      <c r="A175" s="10" t="s">
        <v>12</v>
      </c>
      <c r="B175" s="10" t="s">
        <v>82</v>
      </c>
      <c r="C175" s="10" t="s">
        <v>1504</v>
      </c>
      <c r="D175" s="11" t="str">
        <f t="shared" si="1"/>
        <v>Abrir anúncio ↗</v>
      </c>
      <c r="E175" s="12" t="s">
        <v>1508</v>
      </c>
      <c r="F175" s="10" t="s">
        <v>86</v>
      </c>
      <c r="G175" s="12" t="s">
        <v>492</v>
      </c>
      <c r="H175" s="12" t="s">
        <v>1366</v>
      </c>
      <c r="I175" s="10"/>
      <c r="J175" s="10"/>
      <c r="K175" s="12"/>
    </row>
    <row r="176" ht="15.75" customHeight="1">
      <c r="A176" s="3" t="s">
        <v>12</v>
      </c>
      <c r="B176" s="3" t="s">
        <v>82</v>
      </c>
      <c r="C176" s="3" t="s">
        <v>1513</v>
      </c>
      <c r="D176" s="8" t="str">
        <f t="shared" si="1"/>
        <v>Abrir anúncio ↗</v>
      </c>
      <c r="E176" s="9" t="s">
        <v>1516</v>
      </c>
      <c r="F176" s="3" t="s">
        <v>86</v>
      </c>
      <c r="G176" s="9" t="s">
        <v>93</v>
      </c>
      <c r="H176" s="9" t="s">
        <v>1355</v>
      </c>
      <c r="I176" s="3"/>
      <c r="J176" s="3"/>
      <c r="K176" s="9"/>
    </row>
    <row r="177" ht="15.75" customHeight="1">
      <c r="A177" s="10" t="s">
        <v>12</v>
      </c>
      <c r="B177" s="10" t="s">
        <v>82</v>
      </c>
      <c r="C177" s="10" t="s">
        <v>1523</v>
      </c>
      <c r="D177" s="11" t="str">
        <f t="shared" si="1"/>
        <v>Abrir anúncio ↗</v>
      </c>
      <c r="E177" s="12" t="s">
        <v>1528</v>
      </c>
      <c r="F177" s="10" t="s">
        <v>86</v>
      </c>
      <c r="G177" s="12" t="s">
        <v>492</v>
      </c>
      <c r="H177" s="12" t="s">
        <v>1366</v>
      </c>
      <c r="I177" s="10"/>
      <c r="J177" s="10"/>
      <c r="K177" s="12"/>
    </row>
    <row r="178" ht="15.75" customHeight="1">
      <c r="A178" s="3" t="s">
        <v>12</v>
      </c>
      <c r="B178" s="3" t="s">
        <v>82</v>
      </c>
      <c r="C178" s="3" t="s">
        <v>1531</v>
      </c>
      <c r="D178" s="8" t="str">
        <f t="shared" si="1"/>
        <v>Abrir anúncio ↗</v>
      </c>
      <c r="E178" s="9" t="s">
        <v>1535</v>
      </c>
      <c r="F178" s="3" t="s">
        <v>86</v>
      </c>
      <c r="G178" s="9" t="s">
        <v>492</v>
      </c>
      <c r="H178" s="9" t="s">
        <v>1366</v>
      </c>
      <c r="I178" s="3"/>
      <c r="J178" s="3"/>
      <c r="K178" s="9"/>
    </row>
    <row r="179" ht="15.75" customHeight="1">
      <c r="A179" s="10" t="s">
        <v>12</v>
      </c>
      <c r="B179" s="10" t="s">
        <v>82</v>
      </c>
      <c r="C179" s="10" t="s">
        <v>1541</v>
      </c>
      <c r="D179" s="11" t="str">
        <f t="shared" si="1"/>
        <v>Abrir anúncio ↗</v>
      </c>
      <c r="E179" s="12" t="s">
        <v>1542</v>
      </c>
      <c r="F179" s="10" t="s">
        <v>86</v>
      </c>
      <c r="G179" s="12" t="s">
        <v>1478</v>
      </c>
      <c r="H179" s="12" t="s">
        <v>1480</v>
      </c>
      <c r="I179" s="10"/>
      <c r="J179" s="10"/>
      <c r="K179" s="12"/>
    </row>
    <row r="180" ht="15.75" customHeight="1">
      <c r="A180" s="3" t="s">
        <v>12</v>
      </c>
      <c r="B180" s="3" t="s">
        <v>82</v>
      </c>
      <c r="C180" s="3" t="s">
        <v>1550</v>
      </c>
      <c r="D180" s="8" t="str">
        <f t="shared" si="1"/>
        <v>Abrir anúncio ↗</v>
      </c>
      <c r="E180" s="9" t="s">
        <v>1552</v>
      </c>
      <c r="F180" s="3" t="s">
        <v>86</v>
      </c>
      <c r="G180" s="9" t="s">
        <v>492</v>
      </c>
      <c r="H180" s="9" t="s">
        <v>1366</v>
      </c>
      <c r="I180" s="3"/>
      <c r="J180" s="3"/>
      <c r="K180" s="9"/>
    </row>
    <row r="181" ht="15.75" customHeight="1">
      <c r="A181" s="10" t="s">
        <v>12</v>
      </c>
      <c r="B181" s="10" t="s">
        <v>82</v>
      </c>
      <c r="C181" s="10" t="s">
        <v>1556</v>
      </c>
      <c r="D181" s="11" t="str">
        <f t="shared" si="1"/>
        <v>Abrir anúncio ↗</v>
      </c>
      <c r="E181" s="12" t="s">
        <v>1560</v>
      </c>
      <c r="F181" s="10" t="s">
        <v>86</v>
      </c>
      <c r="G181" s="12" t="s">
        <v>492</v>
      </c>
      <c r="H181" s="12" t="s">
        <v>1366</v>
      </c>
      <c r="I181" s="10"/>
      <c r="J181" s="10"/>
      <c r="K181" s="12"/>
    </row>
    <row r="182" ht="15.75" customHeight="1">
      <c r="A182" s="3" t="s">
        <v>12</v>
      </c>
      <c r="B182" s="3" t="s">
        <v>82</v>
      </c>
      <c r="C182" s="3" t="s">
        <v>1566</v>
      </c>
      <c r="D182" s="8" t="str">
        <f t="shared" si="1"/>
        <v>Abrir anúncio ↗</v>
      </c>
      <c r="E182" s="9" t="s">
        <v>1570</v>
      </c>
      <c r="F182" s="3" t="s">
        <v>86</v>
      </c>
      <c r="G182" s="9" t="s">
        <v>93</v>
      </c>
      <c r="H182" s="9" t="s">
        <v>1355</v>
      </c>
      <c r="I182" s="3"/>
      <c r="J182" s="3"/>
      <c r="K182" s="9"/>
    </row>
    <row r="183" ht="15.75" customHeight="1">
      <c r="A183" s="10" t="s">
        <v>12</v>
      </c>
      <c r="B183" s="10" t="s">
        <v>82</v>
      </c>
      <c r="C183" s="10" t="s">
        <v>1574</v>
      </c>
      <c r="D183" s="11" t="str">
        <f t="shared" si="1"/>
        <v>Abrir anúncio ↗</v>
      </c>
      <c r="E183" s="12" t="s">
        <v>1575</v>
      </c>
      <c r="F183" s="10" t="s">
        <v>86</v>
      </c>
      <c r="G183" s="12" t="s">
        <v>93</v>
      </c>
      <c r="H183" s="12" t="s">
        <v>1355</v>
      </c>
      <c r="I183" s="10"/>
      <c r="J183" s="10"/>
      <c r="K183" s="12"/>
    </row>
    <row r="184" ht="15.75" customHeight="1">
      <c r="A184" s="3" t="s">
        <v>12</v>
      </c>
      <c r="B184" s="3" t="s">
        <v>82</v>
      </c>
      <c r="C184" s="3" t="s">
        <v>1585</v>
      </c>
      <c r="D184" s="8" t="str">
        <f t="shared" si="1"/>
        <v>Abrir anúncio ↗</v>
      </c>
      <c r="E184" s="9" t="s">
        <v>1586</v>
      </c>
      <c r="F184" s="3" t="s">
        <v>86</v>
      </c>
      <c r="G184" s="9" t="s">
        <v>492</v>
      </c>
      <c r="H184" s="9" t="s">
        <v>1366</v>
      </c>
      <c r="I184" s="3"/>
      <c r="J184" s="3"/>
      <c r="K184" s="9"/>
    </row>
    <row r="185" ht="15.75" customHeight="1">
      <c r="A185" s="10" t="s">
        <v>12</v>
      </c>
      <c r="B185" s="10" t="s">
        <v>82</v>
      </c>
      <c r="C185" s="10" t="s">
        <v>1592</v>
      </c>
      <c r="D185" s="11" t="str">
        <f t="shared" si="1"/>
        <v>Abrir anúncio ↗</v>
      </c>
      <c r="E185" s="12" t="s">
        <v>1595</v>
      </c>
      <c r="F185" s="10" t="s">
        <v>29</v>
      </c>
      <c r="G185" s="12" t="s">
        <v>99</v>
      </c>
      <c r="H185" s="12" t="s">
        <v>143</v>
      </c>
      <c r="I185" s="10"/>
      <c r="J185" s="10"/>
      <c r="K185" s="12"/>
    </row>
    <row r="186" ht="15.75" customHeight="1">
      <c r="A186" s="3" t="s">
        <v>12</v>
      </c>
      <c r="B186" s="3" t="s">
        <v>82</v>
      </c>
      <c r="C186" s="3" t="s">
        <v>1599</v>
      </c>
      <c r="D186" s="8" t="str">
        <f t="shared" si="1"/>
        <v>Abrir anúncio ↗</v>
      </c>
      <c r="E186" s="9" t="s">
        <v>1603</v>
      </c>
      <c r="F186" s="3" t="s">
        <v>86</v>
      </c>
      <c r="G186" s="9" t="s">
        <v>93</v>
      </c>
      <c r="H186" s="9" t="s">
        <v>1355</v>
      </c>
      <c r="I186" s="3"/>
      <c r="J186" s="3"/>
      <c r="K186" s="9"/>
    </row>
    <row r="187" ht="15.75" customHeight="1">
      <c r="A187" s="10" t="s">
        <v>12</v>
      </c>
      <c r="B187" s="10" t="s">
        <v>82</v>
      </c>
      <c r="C187" s="10" t="s">
        <v>1608</v>
      </c>
      <c r="D187" s="11" t="str">
        <f t="shared" si="1"/>
        <v>Abrir anúncio ↗</v>
      </c>
      <c r="E187" s="12" t="s">
        <v>1611</v>
      </c>
      <c r="F187" s="10" t="s">
        <v>86</v>
      </c>
      <c r="G187" s="12" t="s">
        <v>186</v>
      </c>
      <c r="H187" s="12" t="s">
        <v>1614</v>
      </c>
      <c r="I187" s="10"/>
      <c r="J187" s="10"/>
      <c r="K187" s="12"/>
    </row>
    <row r="188" ht="15.75" customHeight="1">
      <c r="A188" s="3" t="s">
        <v>12</v>
      </c>
      <c r="B188" s="3" t="s">
        <v>82</v>
      </c>
      <c r="C188" s="3" t="s">
        <v>1619</v>
      </c>
      <c r="D188" s="8" t="str">
        <f t="shared" si="1"/>
        <v>Abrir anúncio ↗</v>
      </c>
      <c r="E188" s="9" t="s">
        <v>1620</v>
      </c>
      <c r="F188" s="3" t="s">
        <v>86</v>
      </c>
      <c r="G188" s="9" t="s">
        <v>93</v>
      </c>
      <c r="H188" s="9" t="s">
        <v>1355</v>
      </c>
      <c r="I188" s="3"/>
      <c r="J188" s="3"/>
      <c r="K188" s="9"/>
    </row>
    <row r="189" ht="15.75" customHeight="1">
      <c r="A189" s="10" t="s">
        <v>12</v>
      </c>
      <c r="B189" s="10" t="s">
        <v>82</v>
      </c>
      <c r="C189" s="10" t="s">
        <v>1627</v>
      </c>
      <c r="D189" s="11" t="str">
        <f t="shared" si="1"/>
        <v>Abrir anúncio ↗</v>
      </c>
      <c r="E189" s="12" t="s">
        <v>1630</v>
      </c>
      <c r="F189" s="10" t="s">
        <v>86</v>
      </c>
      <c r="G189" s="12" t="s">
        <v>93</v>
      </c>
      <c r="H189" s="12" t="s">
        <v>1355</v>
      </c>
      <c r="I189" s="10"/>
      <c r="J189" s="10"/>
      <c r="K189" s="12"/>
    </row>
    <row r="190" ht="15.75" customHeight="1">
      <c r="A190" s="3" t="s">
        <v>12</v>
      </c>
      <c r="B190" s="3" t="s">
        <v>82</v>
      </c>
      <c r="C190" s="3" t="s">
        <v>1635</v>
      </c>
      <c r="D190" s="8" t="str">
        <f t="shared" si="1"/>
        <v>Abrir anúncio ↗</v>
      </c>
      <c r="E190" s="9" t="s">
        <v>1637</v>
      </c>
      <c r="F190" s="3" t="s">
        <v>86</v>
      </c>
      <c r="G190" s="9" t="s">
        <v>93</v>
      </c>
      <c r="H190" s="9" t="s">
        <v>1355</v>
      </c>
      <c r="I190" s="3"/>
      <c r="J190" s="3"/>
      <c r="K190" s="9"/>
    </row>
    <row r="191" ht="15.75" customHeight="1">
      <c r="A191" s="10" t="s">
        <v>12</v>
      </c>
      <c r="B191" s="10" t="s">
        <v>82</v>
      </c>
      <c r="C191" s="10" t="s">
        <v>1642</v>
      </c>
      <c r="D191" s="11" t="str">
        <f t="shared" si="1"/>
        <v>Abrir anúncio ↗</v>
      </c>
      <c r="E191" s="12" t="s">
        <v>1643</v>
      </c>
      <c r="F191" s="10" t="s">
        <v>86</v>
      </c>
      <c r="G191" s="12" t="s">
        <v>93</v>
      </c>
      <c r="H191" s="12" t="s">
        <v>1646</v>
      </c>
      <c r="I191" s="10"/>
      <c r="J191" s="10"/>
      <c r="K191" s="12"/>
    </row>
    <row r="192" ht="15.75" customHeight="1">
      <c r="A192" s="3" t="s">
        <v>12</v>
      </c>
      <c r="B192" s="3" t="s">
        <v>82</v>
      </c>
      <c r="C192" s="3" t="s">
        <v>1652</v>
      </c>
      <c r="D192" s="8" t="str">
        <f t="shared" si="1"/>
        <v>Abrir anúncio ↗</v>
      </c>
      <c r="E192" s="9" t="s">
        <v>1654</v>
      </c>
      <c r="F192" s="3" t="s">
        <v>86</v>
      </c>
      <c r="G192" s="9" t="s">
        <v>492</v>
      </c>
      <c r="H192" s="9" t="s">
        <v>1366</v>
      </c>
      <c r="I192" s="3"/>
      <c r="J192" s="3"/>
      <c r="K192" s="9"/>
    </row>
    <row r="193" ht="15.75" customHeight="1">
      <c r="A193" s="10" t="s">
        <v>12</v>
      </c>
      <c r="B193" s="10" t="s">
        <v>82</v>
      </c>
      <c r="C193" s="10" t="s">
        <v>1661</v>
      </c>
      <c r="D193" s="11" t="str">
        <f t="shared" si="1"/>
        <v>Abrir anúncio ↗</v>
      </c>
      <c r="E193" s="12" t="s">
        <v>1664</v>
      </c>
      <c r="F193" s="10" t="s">
        <v>86</v>
      </c>
      <c r="G193" s="12" t="s">
        <v>93</v>
      </c>
      <c r="H193" s="12" t="s">
        <v>1355</v>
      </c>
      <c r="I193" s="10"/>
      <c r="J193" s="10"/>
      <c r="K193" s="12"/>
    </row>
    <row r="194" ht="15.75" customHeight="1">
      <c r="A194" s="3" t="s">
        <v>12</v>
      </c>
      <c r="B194" s="3" t="s">
        <v>82</v>
      </c>
      <c r="C194" s="3" t="s">
        <v>1669</v>
      </c>
      <c r="D194" s="8" t="str">
        <f t="shared" si="1"/>
        <v>Abrir anúncio ↗</v>
      </c>
      <c r="E194" s="9" t="s">
        <v>1674</v>
      </c>
      <c r="F194" s="3" t="s">
        <v>86</v>
      </c>
      <c r="G194" s="9" t="s">
        <v>492</v>
      </c>
      <c r="H194" s="9" t="s">
        <v>1366</v>
      </c>
      <c r="I194" s="3"/>
      <c r="J194" s="3"/>
      <c r="K194" s="9"/>
    </row>
    <row r="195" ht="15.75" customHeight="1">
      <c r="A195" s="10" t="s">
        <v>12</v>
      </c>
      <c r="B195" s="10" t="s">
        <v>82</v>
      </c>
      <c r="C195" s="10" t="s">
        <v>1680</v>
      </c>
      <c r="D195" s="11" t="str">
        <f t="shared" si="1"/>
        <v>Abrir anúncio ↗</v>
      </c>
      <c r="E195" s="12" t="s">
        <v>1684</v>
      </c>
      <c r="F195" s="10" t="s">
        <v>86</v>
      </c>
      <c r="G195" s="12" t="s">
        <v>93</v>
      </c>
      <c r="H195" s="12" t="s">
        <v>1355</v>
      </c>
      <c r="I195" s="10"/>
      <c r="J195" s="10"/>
      <c r="K195" s="12"/>
    </row>
    <row r="196" ht="15.75" customHeight="1">
      <c r="A196" s="3" t="s">
        <v>12</v>
      </c>
      <c r="B196" s="3" t="s">
        <v>82</v>
      </c>
      <c r="C196" s="3" t="s">
        <v>1689</v>
      </c>
      <c r="D196" s="8" t="str">
        <f t="shared" si="1"/>
        <v>Abrir anúncio ↗</v>
      </c>
      <c r="E196" s="9" t="s">
        <v>1693</v>
      </c>
      <c r="F196" s="3" t="s">
        <v>86</v>
      </c>
      <c r="G196" s="9" t="s">
        <v>93</v>
      </c>
      <c r="H196" s="9" t="s">
        <v>1355</v>
      </c>
      <c r="I196" s="3"/>
      <c r="J196" s="3"/>
      <c r="K196" s="9"/>
    </row>
    <row r="197" ht="15.75" customHeight="1">
      <c r="A197" s="10" t="s">
        <v>12</v>
      </c>
      <c r="B197" s="10" t="s">
        <v>82</v>
      </c>
      <c r="C197" s="10" t="s">
        <v>1700</v>
      </c>
      <c r="D197" s="11" t="str">
        <f t="shared" si="1"/>
        <v>Abrir anúncio ↗</v>
      </c>
      <c r="E197" s="12" t="s">
        <v>1701</v>
      </c>
      <c r="F197" s="10" t="s">
        <v>86</v>
      </c>
      <c r="G197" s="12" t="s">
        <v>93</v>
      </c>
      <c r="H197" s="12" t="s">
        <v>1355</v>
      </c>
      <c r="I197" s="10"/>
      <c r="J197" s="10"/>
      <c r="K197" s="12"/>
    </row>
    <row r="198" ht="15.75" customHeight="1">
      <c r="A198" s="3" t="s">
        <v>12</v>
      </c>
      <c r="B198" s="3" t="s">
        <v>82</v>
      </c>
      <c r="C198" s="3" t="s">
        <v>1708</v>
      </c>
      <c r="D198" s="8" t="str">
        <f t="shared" si="1"/>
        <v>Abrir anúncio ↗</v>
      </c>
      <c r="E198" s="9" t="s">
        <v>1710</v>
      </c>
      <c r="F198" s="3" t="s">
        <v>86</v>
      </c>
      <c r="G198" s="9" t="s">
        <v>492</v>
      </c>
      <c r="H198" s="9" t="s">
        <v>1366</v>
      </c>
      <c r="I198" s="3"/>
      <c r="J198" s="3"/>
      <c r="K198" s="9"/>
    </row>
    <row r="199" ht="15.75" customHeight="1">
      <c r="A199" s="10" t="s">
        <v>12</v>
      </c>
      <c r="B199" s="10" t="s">
        <v>82</v>
      </c>
      <c r="C199" s="10" t="s">
        <v>1718</v>
      </c>
      <c r="D199" s="11" t="str">
        <f t="shared" si="1"/>
        <v>Abrir anúncio ↗</v>
      </c>
      <c r="E199" s="12" t="s">
        <v>1719</v>
      </c>
      <c r="F199" s="10" t="s">
        <v>86</v>
      </c>
      <c r="G199" s="12" t="s">
        <v>492</v>
      </c>
      <c r="H199" s="12" t="s">
        <v>1366</v>
      </c>
      <c r="I199" s="10"/>
      <c r="J199" s="10"/>
      <c r="K199" s="12"/>
    </row>
    <row r="200" ht="15.75" customHeight="1">
      <c r="A200" s="3" t="s">
        <v>12</v>
      </c>
      <c r="B200" s="3" t="s">
        <v>82</v>
      </c>
      <c r="C200" s="3" t="s">
        <v>1725</v>
      </c>
      <c r="D200" s="8" t="str">
        <f t="shared" si="1"/>
        <v>Abrir anúncio ↗</v>
      </c>
      <c r="E200" s="9" t="s">
        <v>1728</v>
      </c>
      <c r="F200" s="3" t="s">
        <v>86</v>
      </c>
      <c r="G200" s="9" t="s">
        <v>93</v>
      </c>
      <c r="H200" s="9" t="s">
        <v>1355</v>
      </c>
      <c r="I200" s="3"/>
      <c r="J200" s="3"/>
      <c r="K200" s="9"/>
    </row>
    <row r="201" ht="15.75" customHeight="1">
      <c r="A201" s="10" t="s">
        <v>12</v>
      </c>
      <c r="B201" s="10" t="s">
        <v>82</v>
      </c>
      <c r="C201" s="10" t="s">
        <v>1733</v>
      </c>
      <c r="D201" s="11" t="str">
        <f t="shared" si="1"/>
        <v>Abrir anúncio ↗</v>
      </c>
      <c r="E201" s="12" t="s">
        <v>1736</v>
      </c>
      <c r="F201" s="10" t="s">
        <v>86</v>
      </c>
      <c r="G201" s="12" t="s">
        <v>492</v>
      </c>
      <c r="H201" s="12" t="s">
        <v>1366</v>
      </c>
      <c r="I201" s="10"/>
      <c r="J201" s="10"/>
      <c r="K201" s="12"/>
    </row>
    <row r="202" ht="15.75" customHeight="1">
      <c r="A202" s="3" t="s">
        <v>12</v>
      </c>
      <c r="B202" s="3" t="s">
        <v>82</v>
      </c>
      <c r="C202" s="3" t="s">
        <v>1743</v>
      </c>
      <c r="D202" s="8" t="str">
        <f t="shared" si="1"/>
        <v>Abrir anúncio ↗</v>
      </c>
      <c r="E202" s="9" t="s">
        <v>1746</v>
      </c>
      <c r="F202" s="3" t="s">
        <v>86</v>
      </c>
      <c r="G202" s="9" t="s">
        <v>492</v>
      </c>
      <c r="H202" s="9" t="s">
        <v>1366</v>
      </c>
      <c r="I202" s="3"/>
      <c r="J202" s="3"/>
      <c r="K202" s="9"/>
    </row>
    <row r="203" ht="15.75" customHeight="1">
      <c r="A203" s="10" t="s">
        <v>12</v>
      </c>
      <c r="B203" s="10" t="s">
        <v>82</v>
      </c>
      <c r="C203" s="10" t="s">
        <v>1752</v>
      </c>
      <c r="D203" s="11" t="str">
        <f t="shared" si="1"/>
        <v>Abrir anúncio ↗</v>
      </c>
      <c r="E203" s="12" t="s">
        <v>1754</v>
      </c>
      <c r="F203" s="10" t="s">
        <v>86</v>
      </c>
      <c r="G203" s="12" t="s">
        <v>93</v>
      </c>
      <c r="H203" s="12" t="s">
        <v>1355</v>
      </c>
      <c r="I203" s="10"/>
      <c r="J203" s="10"/>
      <c r="K203" s="12"/>
    </row>
    <row r="204" ht="15.75" customHeight="1">
      <c r="A204" s="3" t="s">
        <v>12</v>
      </c>
      <c r="B204" s="3" t="s">
        <v>82</v>
      </c>
      <c r="C204" s="3" t="s">
        <v>1763</v>
      </c>
      <c r="D204" s="8" t="str">
        <f t="shared" si="1"/>
        <v>Abrir anúncio ↗</v>
      </c>
      <c r="E204" s="9" t="s">
        <v>1765</v>
      </c>
      <c r="F204" s="3" t="s">
        <v>86</v>
      </c>
      <c r="G204" s="9" t="s">
        <v>93</v>
      </c>
      <c r="H204" s="9" t="s">
        <v>1355</v>
      </c>
      <c r="I204" s="3"/>
      <c r="J204" s="3"/>
      <c r="K204" s="9"/>
    </row>
    <row r="205" ht="15.75" customHeight="1">
      <c r="A205" s="10" t="s">
        <v>12</v>
      </c>
      <c r="B205" s="10" t="s">
        <v>82</v>
      </c>
      <c r="C205" s="10" t="s">
        <v>1772</v>
      </c>
      <c r="D205" s="11" t="str">
        <f t="shared" si="1"/>
        <v>Abrir anúncio ↗</v>
      </c>
      <c r="E205" s="12" t="s">
        <v>1775</v>
      </c>
      <c r="F205" s="10" t="s">
        <v>86</v>
      </c>
      <c r="G205" s="12" t="s">
        <v>93</v>
      </c>
      <c r="H205" s="12" t="s">
        <v>1355</v>
      </c>
      <c r="I205" s="10"/>
      <c r="J205" s="10"/>
      <c r="K205" s="12"/>
    </row>
    <row r="206" ht="15.75" customHeight="1">
      <c r="A206" s="3" t="s">
        <v>12</v>
      </c>
      <c r="B206" s="3" t="s">
        <v>82</v>
      </c>
      <c r="C206" s="3" t="s">
        <v>1781</v>
      </c>
      <c r="D206" s="8" t="str">
        <f t="shared" si="1"/>
        <v>Abrir anúncio ↗</v>
      </c>
      <c r="E206" s="9" t="s">
        <v>1783</v>
      </c>
      <c r="F206" s="3" t="s">
        <v>86</v>
      </c>
      <c r="G206" s="9" t="s">
        <v>93</v>
      </c>
      <c r="H206" s="9" t="s">
        <v>1355</v>
      </c>
      <c r="I206" s="3"/>
      <c r="J206" s="3"/>
      <c r="K206" s="9"/>
    </row>
    <row r="207" ht="15.75" customHeight="1">
      <c r="A207" s="10" t="s">
        <v>12</v>
      </c>
      <c r="B207" s="10" t="s">
        <v>82</v>
      </c>
      <c r="C207" s="10" t="s">
        <v>1789</v>
      </c>
      <c r="D207" s="11" t="str">
        <f t="shared" si="1"/>
        <v>Abrir anúncio ↗</v>
      </c>
      <c r="E207" s="12" t="s">
        <v>1793</v>
      </c>
      <c r="F207" s="10" t="s">
        <v>86</v>
      </c>
      <c r="G207" s="12" t="s">
        <v>492</v>
      </c>
      <c r="H207" s="12" t="s">
        <v>1366</v>
      </c>
      <c r="I207" s="10"/>
      <c r="J207" s="10"/>
      <c r="K207" s="12"/>
    </row>
    <row r="208" ht="15.75" customHeight="1">
      <c r="A208" s="3" t="s">
        <v>12</v>
      </c>
      <c r="B208" s="3" t="s">
        <v>82</v>
      </c>
      <c r="C208" s="3" t="s">
        <v>1799</v>
      </c>
      <c r="D208" s="8" t="str">
        <f t="shared" si="1"/>
        <v>Abrir anúncio ↗</v>
      </c>
      <c r="E208" s="9" t="s">
        <v>1800</v>
      </c>
      <c r="F208" s="3" t="s">
        <v>86</v>
      </c>
      <c r="G208" s="9" t="s">
        <v>492</v>
      </c>
      <c r="H208" s="9" t="s">
        <v>1366</v>
      </c>
      <c r="I208" s="3"/>
      <c r="J208" s="3"/>
      <c r="K208" s="9"/>
    </row>
    <row r="209" ht="15.75" customHeight="1">
      <c r="A209" s="10" t="s">
        <v>12</v>
      </c>
      <c r="B209" s="10" t="s">
        <v>82</v>
      </c>
      <c r="C209" s="10" t="s">
        <v>1808</v>
      </c>
      <c r="D209" s="11" t="str">
        <f t="shared" si="1"/>
        <v>Abrir anúncio ↗</v>
      </c>
      <c r="E209" s="12" t="s">
        <v>1810</v>
      </c>
      <c r="F209" s="10" t="s">
        <v>86</v>
      </c>
      <c r="G209" s="12" t="s">
        <v>492</v>
      </c>
      <c r="H209" s="12" t="s">
        <v>1366</v>
      </c>
      <c r="I209" s="10"/>
      <c r="J209" s="10"/>
      <c r="K209" s="12"/>
    </row>
    <row r="210" ht="15.75" customHeight="1">
      <c r="A210" s="3" t="s">
        <v>12</v>
      </c>
      <c r="B210" s="3" t="s">
        <v>82</v>
      </c>
      <c r="C210" s="3" t="s">
        <v>1817</v>
      </c>
      <c r="D210" s="8" t="str">
        <f t="shared" si="1"/>
        <v>Abrir anúncio ↗</v>
      </c>
      <c r="E210" s="9" t="s">
        <v>1820</v>
      </c>
      <c r="F210" s="3" t="s">
        <v>86</v>
      </c>
      <c r="G210" s="9" t="s">
        <v>492</v>
      </c>
      <c r="H210" s="9" t="s">
        <v>1366</v>
      </c>
      <c r="I210" s="3"/>
      <c r="J210" s="3"/>
      <c r="K210" s="9"/>
    </row>
    <row r="211" ht="15.75" customHeight="1">
      <c r="A211" s="10" t="s">
        <v>12</v>
      </c>
      <c r="B211" s="10" t="s">
        <v>82</v>
      </c>
      <c r="C211" s="10" t="s">
        <v>1824</v>
      </c>
      <c r="D211" s="11" t="str">
        <f t="shared" si="1"/>
        <v>Abrir anúncio ↗</v>
      </c>
      <c r="E211" s="12" t="s">
        <v>1826</v>
      </c>
      <c r="F211" s="10" t="s">
        <v>86</v>
      </c>
      <c r="G211" s="12" t="s">
        <v>492</v>
      </c>
      <c r="H211" s="12" t="s">
        <v>1366</v>
      </c>
      <c r="I211" s="10"/>
      <c r="J211" s="10"/>
      <c r="K211" s="12"/>
    </row>
    <row r="212" ht="15.75" customHeight="1">
      <c r="A212" s="3" t="s">
        <v>12</v>
      </c>
      <c r="B212" s="3" t="s">
        <v>82</v>
      </c>
      <c r="C212" s="3" t="s">
        <v>1833</v>
      </c>
      <c r="D212" s="8" t="str">
        <f t="shared" si="1"/>
        <v>Abrir anúncio ↗</v>
      </c>
      <c r="E212" s="9" t="s">
        <v>1836</v>
      </c>
      <c r="F212" s="3" t="s">
        <v>86</v>
      </c>
      <c r="G212" s="9" t="s">
        <v>93</v>
      </c>
      <c r="H212" s="9" t="s">
        <v>1355</v>
      </c>
      <c r="I212" s="3"/>
      <c r="J212" s="3"/>
      <c r="K212" s="9"/>
    </row>
    <row r="213" ht="15.75" customHeight="1">
      <c r="A213" s="10" t="s">
        <v>12</v>
      </c>
      <c r="B213" s="10" t="s">
        <v>82</v>
      </c>
      <c r="C213" s="10" t="s">
        <v>1842</v>
      </c>
      <c r="D213" s="11" t="str">
        <f t="shared" si="1"/>
        <v>Abrir anúncio ↗</v>
      </c>
      <c r="E213" s="12" t="s">
        <v>1844</v>
      </c>
      <c r="F213" s="10" t="s">
        <v>86</v>
      </c>
      <c r="G213" s="12" t="s">
        <v>93</v>
      </c>
      <c r="H213" s="12" t="s">
        <v>1355</v>
      </c>
      <c r="I213" s="10"/>
      <c r="J213" s="10"/>
      <c r="K213" s="12"/>
    </row>
    <row r="214" ht="15.75" customHeight="1">
      <c r="A214" s="3" t="s">
        <v>12</v>
      </c>
      <c r="B214" s="3" t="s">
        <v>82</v>
      </c>
      <c r="C214" s="3" t="s">
        <v>1848</v>
      </c>
      <c r="D214" s="8" t="str">
        <f t="shared" si="1"/>
        <v>Abrir anúncio ↗</v>
      </c>
      <c r="E214" s="9" t="s">
        <v>1851</v>
      </c>
      <c r="F214" s="3" t="s">
        <v>86</v>
      </c>
      <c r="G214" s="9" t="s">
        <v>492</v>
      </c>
      <c r="H214" s="9" t="s">
        <v>1366</v>
      </c>
      <c r="I214" s="3"/>
      <c r="J214" s="3"/>
      <c r="K214" s="9"/>
    </row>
    <row r="215" ht="15.75" customHeight="1">
      <c r="A215" s="10" t="s">
        <v>12</v>
      </c>
      <c r="B215" s="10" t="s">
        <v>82</v>
      </c>
      <c r="C215" s="10" t="s">
        <v>1857</v>
      </c>
      <c r="D215" s="11" t="str">
        <f t="shared" si="1"/>
        <v>Abrir anúncio ↗</v>
      </c>
      <c r="E215" s="12" t="s">
        <v>1859</v>
      </c>
      <c r="F215" s="10" t="s">
        <v>86</v>
      </c>
      <c r="G215" s="12" t="s">
        <v>93</v>
      </c>
      <c r="H215" s="12" t="s">
        <v>1355</v>
      </c>
      <c r="I215" s="10"/>
      <c r="J215" s="10"/>
      <c r="K215" s="12"/>
    </row>
    <row r="216" ht="15.75" customHeight="1">
      <c r="A216" s="3" t="s">
        <v>12</v>
      </c>
      <c r="B216" s="3" t="s">
        <v>82</v>
      </c>
      <c r="C216" s="3" t="s">
        <v>1865</v>
      </c>
      <c r="D216" s="8" t="str">
        <f t="shared" si="1"/>
        <v>Abrir anúncio ↗</v>
      </c>
      <c r="E216" s="9" t="s">
        <v>1868</v>
      </c>
      <c r="F216" s="3" t="s">
        <v>86</v>
      </c>
      <c r="G216" s="9" t="s">
        <v>492</v>
      </c>
      <c r="H216" s="9" t="s">
        <v>1366</v>
      </c>
      <c r="I216" s="3"/>
      <c r="J216" s="3"/>
      <c r="K216" s="9"/>
    </row>
    <row r="217" ht="15.75" customHeight="1">
      <c r="A217" s="10" t="s">
        <v>12</v>
      </c>
      <c r="B217" s="10" t="s">
        <v>82</v>
      </c>
      <c r="C217" s="10" t="s">
        <v>1875</v>
      </c>
      <c r="D217" s="11" t="str">
        <f t="shared" si="1"/>
        <v>Abrir anúncio ↗</v>
      </c>
      <c r="E217" s="12" t="s">
        <v>1877</v>
      </c>
      <c r="F217" s="10" t="s">
        <v>86</v>
      </c>
      <c r="G217" s="12" t="s">
        <v>1478</v>
      </c>
      <c r="H217" s="12" t="s">
        <v>1480</v>
      </c>
      <c r="I217" s="10"/>
      <c r="J217" s="10"/>
      <c r="K217" s="12"/>
    </row>
    <row r="218" ht="15.75" customHeight="1">
      <c r="A218" s="3" t="s">
        <v>12</v>
      </c>
      <c r="B218" s="3" t="s">
        <v>82</v>
      </c>
      <c r="C218" s="3" t="s">
        <v>1883</v>
      </c>
      <c r="D218" s="8" t="str">
        <f t="shared" si="1"/>
        <v>Abrir anúncio ↗</v>
      </c>
      <c r="E218" s="9" t="s">
        <v>1884</v>
      </c>
      <c r="F218" s="3" t="s">
        <v>86</v>
      </c>
      <c r="G218" s="9" t="s">
        <v>492</v>
      </c>
      <c r="H218" s="9" t="s">
        <v>1366</v>
      </c>
      <c r="I218" s="3"/>
      <c r="J218" s="3"/>
      <c r="K218" s="9"/>
    </row>
    <row r="219" ht="15.75" customHeight="1">
      <c r="A219" s="10" t="s">
        <v>12</v>
      </c>
      <c r="B219" s="10" t="s">
        <v>82</v>
      </c>
      <c r="C219" s="10" t="s">
        <v>1891</v>
      </c>
      <c r="D219" s="11" t="str">
        <f t="shared" si="1"/>
        <v>Abrir anúncio ↗</v>
      </c>
      <c r="E219" s="12" t="s">
        <v>1893</v>
      </c>
      <c r="F219" s="10" t="s">
        <v>86</v>
      </c>
      <c r="G219" s="12" t="s">
        <v>186</v>
      </c>
      <c r="H219" s="12" t="s">
        <v>1614</v>
      </c>
      <c r="I219" s="10"/>
      <c r="J219" s="10"/>
      <c r="K219" s="12"/>
    </row>
    <row r="220" ht="15.75" customHeight="1">
      <c r="A220" s="3" t="s">
        <v>12</v>
      </c>
      <c r="B220" s="3" t="s">
        <v>82</v>
      </c>
      <c r="C220" s="3" t="s">
        <v>1901</v>
      </c>
      <c r="D220" s="8" t="str">
        <f t="shared" si="1"/>
        <v>Abrir anúncio ↗</v>
      </c>
      <c r="E220" s="9" t="s">
        <v>1905</v>
      </c>
      <c r="F220" s="3" t="s">
        <v>86</v>
      </c>
      <c r="G220" s="9" t="s">
        <v>93</v>
      </c>
      <c r="H220" s="9" t="s">
        <v>1355</v>
      </c>
      <c r="I220" s="3"/>
      <c r="J220" s="3"/>
      <c r="K220" s="9"/>
    </row>
    <row r="221" ht="15.75" customHeight="1">
      <c r="A221" s="10" t="s">
        <v>12</v>
      </c>
      <c r="B221" s="10" t="s">
        <v>82</v>
      </c>
      <c r="C221" s="10" t="s">
        <v>1907</v>
      </c>
      <c r="D221" s="11" t="str">
        <f t="shared" si="1"/>
        <v>Abrir anúncio ↗</v>
      </c>
      <c r="E221" s="12" t="s">
        <v>1911</v>
      </c>
      <c r="F221" s="10" t="s">
        <v>86</v>
      </c>
      <c r="G221" s="12" t="s">
        <v>492</v>
      </c>
      <c r="H221" s="12" t="s">
        <v>1366</v>
      </c>
      <c r="I221" s="10"/>
      <c r="J221" s="10"/>
      <c r="K221" s="12"/>
    </row>
    <row r="222" ht="15.75" customHeight="1">
      <c r="A222" s="3" t="s">
        <v>12</v>
      </c>
      <c r="B222" s="3" t="s">
        <v>82</v>
      </c>
      <c r="C222" s="3" t="s">
        <v>1915</v>
      </c>
      <c r="D222" s="8" t="str">
        <f t="shared" si="1"/>
        <v>Abrir anúncio ↗</v>
      </c>
      <c r="E222" s="9" t="s">
        <v>1916</v>
      </c>
      <c r="F222" s="3" t="s">
        <v>86</v>
      </c>
      <c r="G222" s="9" t="s">
        <v>492</v>
      </c>
      <c r="H222" s="9" t="s">
        <v>1366</v>
      </c>
      <c r="I222" s="3"/>
      <c r="J222" s="3"/>
      <c r="K222" s="9"/>
    </row>
    <row r="223" ht="15.75" customHeight="1">
      <c r="A223" s="10" t="s">
        <v>12</v>
      </c>
      <c r="B223" s="10" t="s">
        <v>82</v>
      </c>
      <c r="C223" s="10" t="s">
        <v>1925</v>
      </c>
      <c r="D223" s="11" t="str">
        <f t="shared" si="1"/>
        <v>Abrir anúncio ↗</v>
      </c>
      <c r="E223" s="12" t="s">
        <v>1927</v>
      </c>
      <c r="F223" s="10" t="s">
        <v>86</v>
      </c>
      <c r="G223" s="12" t="s">
        <v>492</v>
      </c>
      <c r="H223" s="12" t="s">
        <v>1366</v>
      </c>
      <c r="I223" s="10"/>
      <c r="J223" s="10"/>
      <c r="K223" s="12"/>
    </row>
    <row r="224" ht="15.75" customHeight="1">
      <c r="A224" s="3" t="s">
        <v>12</v>
      </c>
      <c r="B224" s="3" t="s">
        <v>82</v>
      </c>
      <c r="C224" s="3" t="s">
        <v>1933</v>
      </c>
      <c r="D224" s="8" t="str">
        <f t="shared" si="1"/>
        <v>Abrir anúncio ↗</v>
      </c>
      <c r="E224" s="9" t="s">
        <v>1935</v>
      </c>
      <c r="F224" s="3" t="s">
        <v>86</v>
      </c>
      <c r="G224" s="9" t="s">
        <v>492</v>
      </c>
      <c r="H224" s="9" t="s">
        <v>1366</v>
      </c>
      <c r="I224" s="3"/>
      <c r="J224" s="3"/>
      <c r="K224" s="9"/>
    </row>
    <row r="225" ht="15.75" customHeight="1">
      <c r="A225" s="10" t="s">
        <v>12</v>
      </c>
      <c r="B225" s="10" t="s">
        <v>82</v>
      </c>
      <c r="C225" s="10" t="s">
        <v>1942</v>
      </c>
      <c r="D225" s="11" t="str">
        <f t="shared" si="1"/>
        <v>Abrir anúncio ↗</v>
      </c>
      <c r="E225" s="12" t="s">
        <v>1945</v>
      </c>
      <c r="F225" s="10" t="s">
        <v>86</v>
      </c>
      <c r="G225" s="12" t="s">
        <v>492</v>
      </c>
      <c r="H225" s="12" t="s">
        <v>1366</v>
      </c>
      <c r="I225" s="10"/>
      <c r="J225" s="10"/>
      <c r="K225" s="12"/>
    </row>
    <row r="226" ht="15.75" customHeight="1">
      <c r="A226" s="3" t="s">
        <v>12</v>
      </c>
      <c r="B226" s="3" t="s">
        <v>82</v>
      </c>
      <c r="C226" s="3" t="s">
        <v>1951</v>
      </c>
      <c r="D226" s="8" t="str">
        <f t="shared" si="1"/>
        <v>Abrir anúncio ↗</v>
      </c>
      <c r="E226" s="9" t="s">
        <v>1953</v>
      </c>
      <c r="F226" s="3" t="s">
        <v>86</v>
      </c>
      <c r="G226" s="9" t="s">
        <v>492</v>
      </c>
      <c r="H226" s="9" t="s">
        <v>1366</v>
      </c>
      <c r="I226" s="3"/>
      <c r="J226" s="3"/>
      <c r="K226" s="9"/>
    </row>
    <row r="227" ht="15.75" customHeight="1">
      <c r="A227" s="10" t="s">
        <v>12</v>
      </c>
      <c r="B227" s="10" t="s">
        <v>82</v>
      </c>
      <c r="C227" s="10" t="s">
        <v>1961</v>
      </c>
      <c r="D227" s="11" t="str">
        <f t="shared" si="1"/>
        <v>Abrir anúncio ↗</v>
      </c>
      <c r="E227" s="12" t="s">
        <v>1964</v>
      </c>
      <c r="F227" s="10" t="s">
        <v>86</v>
      </c>
      <c r="G227" s="12" t="s">
        <v>1967</v>
      </c>
      <c r="H227" s="12" t="s">
        <v>1969</v>
      </c>
      <c r="I227" s="10"/>
      <c r="J227" s="10"/>
      <c r="K227" s="12"/>
    </row>
    <row r="228" ht="15.75" customHeight="1">
      <c r="A228" s="3" t="s">
        <v>12</v>
      </c>
      <c r="B228" s="3" t="s">
        <v>82</v>
      </c>
      <c r="C228" s="3" t="s">
        <v>1972</v>
      </c>
      <c r="D228" s="8" t="str">
        <f t="shared" si="1"/>
        <v>Abrir anúncio ↗</v>
      </c>
      <c r="E228" s="9" t="s">
        <v>1974</v>
      </c>
      <c r="F228" s="3" t="s">
        <v>86</v>
      </c>
      <c r="G228" s="9" t="s">
        <v>93</v>
      </c>
      <c r="H228" s="9" t="s">
        <v>1355</v>
      </c>
      <c r="I228" s="3"/>
      <c r="J228" s="3"/>
      <c r="K228" s="9"/>
    </row>
    <row r="229" ht="15.75" customHeight="1">
      <c r="A229" s="10" t="s">
        <v>12</v>
      </c>
      <c r="B229" s="10" t="s">
        <v>82</v>
      </c>
      <c r="C229" s="10" t="s">
        <v>1982</v>
      </c>
      <c r="D229" s="11" t="str">
        <f t="shared" si="1"/>
        <v>Abrir anúncio ↗</v>
      </c>
      <c r="E229" s="12" t="s">
        <v>1983</v>
      </c>
      <c r="F229" s="10" t="s">
        <v>86</v>
      </c>
      <c r="G229" s="12" t="s">
        <v>93</v>
      </c>
      <c r="H229" s="12" t="s">
        <v>1646</v>
      </c>
      <c r="I229" s="10"/>
      <c r="J229" s="10"/>
      <c r="K229" s="12"/>
    </row>
    <row r="230" ht="15.75" customHeight="1">
      <c r="A230" s="3" t="s">
        <v>12</v>
      </c>
      <c r="B230" s="3" t="s">
        <v>82</v>
      </c>
      <c r="C230" s="3" t="s">
        <v>1989</v>
      </c>
      <c r="D230" s="8" t="str">
        <f t="shared" si="1"/>
        <v>Abrir anúncio ↗</v>
      </c>
      <c r="E230" s="9" t="s">
        <v>1991</v>
      </c>
      <c r="F230" s="3" t="s">
        <v>86</v>
      </c>
      <c r="G230" s="9" t="s">
        <v>93</v>
      </c>
      <c r="H230" s="9" t="s">
        <v>1355</v>
      </c>
      <c r="I230" s="3"/>
      <c r="J230" s="3"/>
      <c r="K230" s="9"/>
    </row>
    <row r="231" ht="15.75" customHeight="1">
      <c r="A231" s="10" t="s">
        <v>12</v>
      </c>
      <c r="B231" s="10" t="s">
        <v>82</v>
      </c>
      <c r="C231" s="10" t="s">
        <v>1997</v>
      </c>
      <c r="D231" s="11" t="str">
        <f t="shared" si="1"/>
        <v>Abrir anúncio ↗</v>
      </c>
      <c r="E231" s="12" t="s">
        <v>1999</v>
      </c>
      <c r="F231" s="10" t="s">
        <v>86</v>
      </c>
      <c r="G231" s="12" t="s">
        <v>93</v>
      </c>
      <c r="H231" s="12" t="s">
        <v>1355</v>
      </c>
      <c r="I231" s="10"/>
      <c r="J231" s="10"/>
      <c r="K231" s="12"/>
    </row>
    <row r="232" ht="15.75" customHeight="1">
      <c r="A232" s="3" t="s">
        <v>12</v>
      </c>
      <c r="B232" s="3" t="s">
        <v>82</v>
      </c>
      <c r="C232" s="3" t="s">
        <v>2005</v>
      </c>
      <c r="D232" s="8" t="str">
        <f t="shared" si="1"/>
        <v>Abrir anúncio ↗</v>
      </c>
      <c r="E232" s="9" t="s">
        <v>2009</v>
      </c>
      <c r="F232" s="3" t="s">
        <v>86</v>
      </c>
      <c r="G232" s="9" t="s">
        <v>93</v>
      </c>
      <c r="H232" s="9" t="s">
        <v>1355</v>
      </c>
      <c r="I232" s="3"/>
      <c r="J232" s="3"/>
      <c r="K232" s="9"/>
    </row>
    <row r="233" ht="15.75" customHeight="1">
      <c r="A233" s="10" t="s">
        <v>12</v>
      </c>
      <c r="B233" s="10" t="s">
        <v>82</v>
      </c>
      <c r="C233" s="10" t="s">
        <v>2013</v>
      </c>
      <c r="D233" s="11" t="str">
        <f t="shared" si="1"/>
        <v>Abrir anúncio ↗</v>
      </c>
      <c r="E233" s="12" t="s">
        <v>2015</v>
      </c>
      <c r="F233" s="10" t="s">
        <v>86</v>
      </c>
      <c r="G233" s="12" t="s">
        <v>492</v>
      </c>
      <c r="H233" s="12" t="s">
        <v>1366</v>
      </c>
      <c r="I233" s="10"/>
      <c r="J233" s="10"/>
      <c r="K233" s="12"/>
    </row>
    <row r="234" ht="15.75" customHeight="1">
      <c r="A234" s="3" t="s">
        <v>12</v>
      </c>
      <c r="B234" s="3" t="s">
        <v>82</v>
      </c>
      <c r="C234" s="3" t="s">
        <v>2021</v>
      </c>
      <c r="D234" s="8" t="str">
        <f t="shared" si="1"/>
        <v>Abrir anúncio ↗</v>
      </c>
      <c r="E234" s="9" t="s">
        <v>2024</v>
      </c>
      <c r="F234" s="3" t="s">
        <v>86</v>
      </c>
      <c r="G234" s="9" t="s">
        <v>93</v>
      </c>
      <c r="H234" s="9" t="s">
        <v>1355</v>
      </c>
      <c r="I234" s="3"/>
      <c r="J234" s="3"/>
      <c r="K234" s="9"/>
    </row>
    <row r="235" ht="15.75" customHeight="1">
      <c r="A235" s="10" t="s">
        <v>12</v>
      </c>
      <c r="B235" s="10" t="s">
        <v>82</v>
      </c>
      <c r="C235" s="10" t="s">
        <v>2030</v>
      </c>
      <c r="D235" s="11" t="str">
        <f t="shared" si="1"/>
        <v>Abrir anúncio ↗</v>
      </c>
      <c r="E235" s="12" t="s">
        <v>2032</v>
      </c>
      <c r="F235" s="10" t="s">
        <v>86</v>
      </c>
      <c r="G235" s="12" t="s">
        <v>492</v>
      </c>
      <c r="H235" s="12" t="s">
        <v>1366</v>
      </c>
      <c r="I235" s="10"/>
      <c r="J235" s="10"/>
      <c r="K235" s="12"/>
    </row>
    <row r="236" ht="15.75" customHeight="1">
      <c r="A236" s="3" t="s">
        <v>12</v>
      </c>
      <c r="B236" s="3" t="s">
        <v>82</v>
      </c>
      <c r="C236" s="3" t="s">
        <v>2040</v>
      </c>
      <c r="D236" s="8" t="str">
        <f t="shared" si="1"/>
        <v>Abrir anúncio ↗</v>
      </c>
      <c r="E236" s="9" t="s">
        <v>2042</v>
      </c>
      <c r="F236" s="3" t="s">
        <v>86</v>
      </c>
      <c r="G236" s="9" t="s">
        <v>93</v>
      </c>
      <c r="H236" s="9" t="s">
        <v>1355</v>
      </c>
      <c r="I236" s="3"/>
      <c r="J236" s="3"/>
      <c r="K236" s="9"/>
    </row>
    <row r="237" ht="15.75" customHeight="1">
      <c r="A237" s="10" t="s">
        <v>12</v>
      </c>
      <c r="B237" s="10" t="s">
        <v>82</v>
      </c>
      <c r="C237" s="10" t="s">
        <v>2049</v>
      </c>
      <c r="D237" s="11" t="str">
        <f t="shared" si="1"/>
        <v>Abrir anúncio ↗</v>
      </c>
      <c r="E237" s="12" t="s">
        <v>2050</v>
      </c>
      <c r="F237" s="10" t="s">
        <v>86</v>
      </c>
      <c r="G237" s="12" t="s">
        <v>93</v>
      </c>
      <c r="H237" s="12" t="s">
        <v>1355</v>
      </c>
      <c r="I237" s="10"/>
      <c r="J237" s="10"/>
      <c r="K237" s="12"/>
    </row>
    <row r="238" ht="15.75" customHeight="1">
      <c r="A238" s="3" t="s">
        <v>12</v>
      </c>
      <c r="B238" s="3" t="s">
        <v>82</v>
      </c>
      <c r="C238" s="3" t="s">
        <v>2057</v>
      </c>
      <c r="D238" s="8" t="str">
        <f t="shared" si="1"/>
        <v>Abrir anúncio ↗</v>
      </c>
      <c r="E238" s="9" t="s">
        <v>2058</v>
      </c>
      <c r="F238" s="3" t="s">
        <v>86</v>
      </c>
      <c r="G238" s="9" t="s">
        <v>186</v>
      </c>
      <c r="H238" s="9" t="s">
        <v>1614</v>
      </c>
      <c r="I238" s="3"/>
      <c r="J238" s="3"/>
      <c r="K238" s="9"/>
    </row>
    <row r="239" ht="15.75" customHeight="1">
      <c r="A239" s="10" t="s">
        <v>12</v>
      </c>
      <c r="B239" s="10" t="s">
        <v>82</v>
      </c>
      <c r="C239" s="10" t="s">
        <v>2063</v>
      </c>
      <c r="D239" s="11" t="str">
        <f t="shared" si="1"/>
        <v>Abrir anúncio ↗</v>
      </c>
      <c r="E239" s="12" t="s">
        <v>1945</v>
      </c>
      <c r="F239" s="10" t="s">
        <v>86</v>
      </c>
      <c r="G239" s="12" t="s">
        <v>93</v>
      </c>
      <c r="H239" s="12" t="s">
        <v>1355</v>
      </c>
      <c r="I239" s="10"/>
      <c r="J239" s="10"/>
      <c r="K239" s="12"/>
    </row>
    <row r="240" ht="15.75" customHeight="1">
      <c r="A240" s="3" t="s">
        <v>12</v>
      </c>
      <c r="B240" s="3" t="s">
        <v>82</v>
      </c>
      <c r="C240" s="3" t="s">
        <v>2071</v>
      </c>
      <c r="D240" s="8" t="str">
        <f t="shared" si="1"/>
        <v>Abrir anúncio ↗</v>
      </c>
      <c r="E240" s="9" t="s">
        <v>2072</v>
      </c>
      <c r="F240" s="3" t="s">
        <v>86</v>
      </c>
      <c r="G240" s="9" t="s">
        <v>1478</v>
      </c>
      <c r="H240" s="9" t="s">
        <v>1480</v>
      </c>
      <c r="I240" s="3"/>
      <c r="J240" s="3"/>
      <c r="K240" s="9"/>
    </row>
    <row r="241" ht="15.75" customHeight="1">
      <c r="A241" s="10" t="s">
        <v>12</v>
      </c>
      <c r="B241" s="10" t="s">
        <v>82</v>
      </c>
      <c r="C241" s="10" t="s">
        <v>2079</v>
      </c>
      <c r="D241" s="11" t="str">
        <f t="shared" si="1"/>
        <v>Abrir anúncio ↗</v>
      </c>
      <c r="E241" s="12" t="s">
        <v>2080</v>
      </c>
      <c r="F241" s="10" t="s">
        <v>86</v>
      </c>
      <c r="G241" s="12" t="s">
        <v>492</v>
      </c>
      <c r="H241" s="12" t="s">
        <v>1366</v>
      </c>
      <c r="I241" s="10"/>
      <c r="J241" s="10"/>
      <c r="K241" s="12"/>
    </row>
    <row r="242" ht="15.75" customHeight="1">
      <c r="A242" s="3" t="s">
        <v>12</v>
      </c>
      <c r="B242" s="3" t="s">
        <v>82</v>
      </c>
      <c r="C242" s="3" t="s">
        <v>2086</v>
      </c>
      <c r="D242" s="8" t="str">
        <f t="shared" si="1"/>
        <v>Abrir anúncio ↗</v>
      </c>
      <c r="E242" s="9" t="s">
        <v>1905</v>
      </c>
      <c r="F242" s="3" t="s">
        <v>86</v>
      </c>
      <c r="G242" s="9" t="s">
        <v>93</v>
      </c>
      <c r="H242" s="9" t="s">
        <v>1355</v>
      </c>
      <c r="I242" s="3"/>
      <c r="J242" s="3"/>
      <c r="K242" s="9"/>
    </row>
    <row r="243" ht="15.75" customHeight="1">
      <c r="A243" s="10" t="s">
        <v>12</v>
      </c>
      <c r="B243" s="10" t="s">
        <v>82</v>
      </c>
      <c r="C243" s="10" t="s">
        <v>2093</v>
      </c>
      <c r="D243" s="11" t="str">
        <f t="shared" si="1"/>
        <v>Abrir anúncio ↗</v>
      </c>
      <c r="E243" s="12" t="s">
        <v>2095</v>
      </c>
      <c r="F243" s="10" t="s">
        <v>86</v>
      </c>
      <c r="G243" s="12" t="s">
        <v>93</v>
      </c>
      <c r="H243" s="12" t="s">
        <v>1355</v>
      </c>
      <c r="I243" s="10"/>
      <c r="J243" s="10"/>
      <c r="K243" s="12"/>
    </row>
    <row r="244" ht="15.75" customHeight="1">
      <c r="A244" s="3" t="s">
        <v>12</v>
      </c>
      <c r="B244" s="3" t="s">
        <v>82</v>
      </c>
      <c r="C244" s="3" t="s">
        <v>2102</v>
      </c>
      <c r="D244" s="8" t="str">
        <f t="shared" si="1"/>
        <v>Abrir anúncio ↗</v>
      </c>
      <c r="E244" s="9" t="s">
        <v>2106</v>
      </c>
      <c r="F244" s="3" t="s">
        <v>86</v>
      </c>
      <c r="G244" s="9" t="s">
        <v>492</v>
      </c>
      <c r="H244" s="9" t="s">
        <v>1366</v>
      </c>
      <c r="I244" s="3"/>
      <c r="J244" s="3"/>
      <c r="K244" s="9"/>
    </row>
    <row r="245" ht="15.75" customHeight="1">
      <c r="A245" s="10" t="s">
        <v>12</v>
      </c>
      <c r="B245" s="10" t="s">
        <v>82</v>
      </c>
      <c r="C245" s="10" t="s">
        <v>2114</v>
      </c>
      <c r="D245" s="11" t="str">
        <f t="shared" si="1"/>
        <v>Abrir anúncio ↗</v>
      </c>
      <c r="E245" s="12" t="s">
        <v>2117</v>
      </c>
      <c r="F245" s="10" t="s">
        <v>86</v>
      </c>
      <c r="G245" s="12" t="s">
        <v>93</v>
      </c>
      <c r="H245" s="12" t="s">
        <v>1355</v>
      </c>
      <c r="I245" s="10"/>
      <c r="J245" s="10"/>
      <c r="K245" s="12"/>
    </row>
    <row r="246" ht="15.75" customHeight="1">
      <c r="A246" s="3" t="s">
        <v>12</v>
      </c>
      <c r="B246" s="3" t="s">
        <v>82</v>
      </c>
      <c r="C246" s="3" t="s">
        <v>2122</v>
      </c>
      <c r="D246" s="8" t="str">
        <f t="shared" si="1"/>
        <v>Abrir anúncio ↗</v>
      </c>
      <c r="E246" s="9" t="s">
        <v>2125</v>
      </c>
      <c r="F246" s="3" t="s">
        <v>86</v>
      </c>
      <c r="G246" s="9" t="s">
        <v>492</v>
      </c>
      <c r="H246" s="9" t="s">
        <v>1366</v>
      </c>
      <c r="I246" s="3"/>
      <c r="J246" s="3"/>
      <c r="K246" s="9"/>
    </row>
    <row r="247" ht="15.75" customHeight="1">
      <c r="A247" s="10" t="s">
        <v>12</v>
      </c>
      <c r="B247" s="10" t="s">
        <v>82</v>
      </c>
      <c r="C247" s="10" t="s">
        <v>2130</v>
      </c>
      <c r="D247" s="11" t="str">
        <f t="shared" si="1"/>
        <v>Abrir anúncio ↗</v>
      </c>
      <c r="E247" s="12" t="s">
        <v>2134</v>
      </c>
      <c r="F247" s="10" t="s">
        <v>86</v>
      </c>
      <c r="G247" s="12" t="s">
        <v>93</v>
      </c>
      <c r="H247" s="12" t="s">
        <v>1355</v>
      </c>
      <c r="I247" s="10"/>
      <c r="J247" s="10"/>
      <c r="K247" s="12"/>
    </row>
    <row r="248" ht="15.75" customHeight="1">
      <c r="A248" s="3" t="s">
        <v>12</v>
      </c>
      <c r="B248" s="3" t="s">
        <v>82</v>
      </c>
      <c r="C248" s="3" t="s">
        <v>2139</v>
      </c>
      <c r="D248" s="8" t="str">
        <f t="shared" si="1"/>
        <v>Abrir anúncio ↗</v>
      </c>
      <c r="E248" s="9" t="s">
        <v>2142</v>
      </c>
      <c r="F248" s="3" t="s">
        <v>86</v>
      </c>
      <c r="G248" s="9" t="s">
        <v>93</v>
      </c>
      <c r="H248" s="9" t="s">
        <v>1355</v>
      </c>
      <c r="I248" s="3"/>
      <c r="J248" s="3"/>
      <c r="K248" s="9"/>
    </row>
    <row r="249" ht="15.75" customHeight="1">
      <c r="A249" s="10" t="s">
        <v>12</v>
      </c>
      <c r="B249" s="10" t="s">
        <v>82</v>
      </c>
      <c r="C249" s="10" t="s">
        <v>2151</v>
      </c>
      <c r="D249" s="11" t="str">
        <f t="shared" si="1"/>
        <v>Abrir anúncio ↗</v>
      </c>
      <c r="E249" s="12" t="s">
        <v>2152</v>
      </c>
      <c r="F249" s="10" t="s">
        <v>29</v>
      </c>
      <c r="G249" s="12" t="s">
        <v>2153</v>
      </c>
      <c r="H249" s="12" t="s">
        <v>2156</v>
      </c>
      <c r="I249" s="10"/>
      <c r="J249" s="10"/>
      <c r="K249" s="12"/>
    </row>
    <row r="250" ht="15.75" customHeight="1">
      <c r="A250" s="3" t="s">
        <v>12</v>
      </c>
      <c r="B250" s="3" t="s">
        <v>82</v>
      </c>
      <c r="C250" s="3" t="s">
        <v>2160</v>
      </c>
      <c r="D250" s="8" t="str">
        <f t="shared" si="1"/>
        <v>Abrir anúncio ↗</v>
      </c>
      <c r="E250" s="9" t="s">
        <v>2163</v>
      </c>
      <c r="F250" s="3" t="s">
        <v>29</v>
      </c>
      <c r="G250" s="9" t="s">
        <v>468</v>
      </c>
      <c r="H250" s="9" t="s">
        <v>469</v>
      </c>
      <c r="I250" s="3"/>
      <c r="J250" s="3"/>
      <c r="K250" s="9"/>
    </row>
    <row r="251" ht="15.75" customHeight="1">
      <c r="A251" s="10" t="s">
        <v>12</v>
      </c>
      <c r="B251" s="10" t="s">
        <v>82</v>
      </c>
      <c r="C251" s="10" t="s">
        <v>2169</v>
      </c>
      <c r="D251" s="11" t="str">
        <f t="shared" si="1"/>
        <v>Abrir anúncio ↗</v>
      </c>
      <c r="E251" s="12" t="s">
        <v>2171</v>
      </c>
      <c r="F251" s="10" t="s">
        <v>29</v>
      </c>
      <c r="G251" s="12" t="s">
        <v>468</v>
      </c>
      <c r="H251" s="12" t="s">
        <v>2175</v>
      </c>
      <c r="I251" s="10"/>
      <c r="J251" s="10"/>
      <c r="K251" s="12"/>
    </row>
    <row r="252" ht="15.75" customHeight="1">
      <c r="A252" s="3" t="s">
        <v>12</v>
      </c>
      <c r="B252" s="3" t="s">
        <v>82</v>
      </c>
      <c r="C252" s="3" t="s">
        <v>2177</v>
      </c>
      <c r="D252" s="8" t="str">
        <f t="shared" si="1"/>
        <v>Abrir anúncio ↗</v>
      </c>
      <c r="E252" s="9" t="s">
        <v>2181</v>
      </c>
      <c r="F252" s="3" t="s">
        <v>29</v>
      </c>
      <c r="G252" s="9" t="s">
        <v>468</v>
      </c>
      <c r="H252" s="9" t="s">
        <v>469</v>
      </c>
      <c r="I252" s="3"/>
      <c r="J252" s="3"/>
      <c r="K252" s="9"/>
    </row>
    <row r="253" ht="15.75" customHeight="1">
      <c r="A253" s="10" t="s">
        <v>12</v>
      </c>
      <c r="B253" s="10" t="s">
        <v>82</v>
      </c>
      <c r="C253" s="10" t="s">
        <v>2186</v>
      </c>
      <c r="D253" s="11" t="str">
        <f t="shared" si="1"/>
        <v>Abrir anúncio ↗</v>
      </c>
      <c r="E253" s="12" t="s">
        <v>2188</v>
      </c>
      <c r="F253" s="10" t="s">
        <v>29</v>
      </c>
      <c r="G253" s="12" t="s">
        <v>468</v>
      </c>
      <c r="H253" s="12" t="s">
        <v>469</v>
      </c>
      <c r="I253" s="10"/>
      <c r="J253" s="10"/>
      <c r="K253" s="12"/>
    </row>
    <row r="254" ht="15.75" customHeight="1">
      <c r="A254" s="3" t="s">
        <v>12</v>
      </c>
      <c r="B254" s="3" t="s">
        <v>82</v>
      </c>
      <c r="C254" s="3" t="s">
        <v>2196</v>
      </c>
      <c r="D254" s="8" t="str">
        <f t="shared" si="1"/>
        <v>Abrir anúncio ↗</v>
      </c>
      <c r="E254" s="9" t="s">
        <v>2197</v>
      </c>
      <c r="F254" s="3" t="s">
        <v>29</v>
      </c>
      <c r="G254" s="9" t="s">
        <v>2153</v>
      </c>
      <c r="H254" s="9" t="s">
        <v>2201</v>
      </c>
      <c r="I254" s="3"/>
      <c r="J254" s="3"/>
      <c r="K254" s="9"/>
    </row>
    <row r="255" ht="15.75" customHeight="1">
      <c r="A255" s="10" t="s">
        <v>12</v>
      </c>
      <c r="B255" s="10" t="s">
        <v>82</v>
      </c>
      <c r="C255" s="10" t="s">
        <v>2206</v>
      </c>
      <c r="D255" s="11" t="str">
        <f t="shared" si="1"/>
        <v>Abrir anúncio ↗</v>
      </c>
      <c r="E255" s="12" t="s">
        <v>2208</v>
      </c>
      <c r="F255" s="10" t="s">
        <v>29</v>
      </c>
      <c r="G255" s="12" t="s">
        <v>2209</v>
      </c>
      <c r="H255" s="12" t="s">
        <v>2210</v>
      </c>
      <c r="I255" s="10"/>
      <c r="J255" s="10"/>
      <c r="K255" s="12"/>
    </row>
    <row r="256" ht="15.75" customHeight="1">
      <c r="A256" s="3" t="s">
        <v>12</v>
      </c>
      <c r="B256" s="3" t="s">
        <v>82</v>
      </c>
      <c r="C256" s="3" t="s">
        <v>2217</v>
      </c>
      <c r="D256" s="8" t="str">
        <f t="shared" si="1"/>
        <v>Abrir anúncio ↗</v>
      </c>
      <c r="E256" s="9" t="s">
        <v>2218</v>
      </c>
      <c r="F256" s="3" t="s">
        <v>29</v>
      </c>
      <c r="G256" s="9" t="s">
        <v>2153</v>
      </c>
      <c r="H256" s="9" t="s">
        <v>2201</v>
      </c>
      <c r="I256" s="3"/>
      <c r="J256" s="3"/>
      <c r="K256" s="9"/>
    </row>
    <row r="257" ht="15.75" customHeight="1">
      <c r="A257" s="10" t="s">
        <v>12</v>
      </c>
      <c r="B257" s="10" t="s">
        <v>82</v>
      </c>
      <c r="C257" s="10" t="s">
        <v>2225</v>
      </c>
      <c r="D257" s="11" t="str">
        <f t="shared" si="1"/>
        <v>Abrir anúncio ↗</v>
      </c>
      <c r="E257" s="12" t="s">
        <v>2228</v>
      </c>
      <c r="F257" s="10" t="s">
        <v>29</v>
      </c>
      <c r="G257" s="12" t="s">
        <v>2153</v>
      </c>
      <c r="H257" s="12" t="s">
        <v>2201</v>
      </c>
      <c r="I257" s="10"/>
      <c r="J257" s="10"/>
      <c r="K257" s="12"/>
    </row>
    <row r="258" ht="15.75" customHeight="1">
      <c r="A258" s="3" t="s">
        <v>12</v>
      </c>
      <c r="B258" s="3" t="s">
        <v>82</v>
      </c>
      <c r="C258" s="3" t="s">
        <v>2233</v>
      </c>
      <c r="D258" s="8" t="str">
        <f t="shared" si="1"/>
        <v>Abrir anúncio ↗</v>
      </c>
      <c r="E258" s="9" t="s">
        <v>2236</v>
      </c>
      <c r="F258" s="3" t="s">
        <v>29</v>
      </c>
      <c r="G258" s="9" t="s">
        <v>2239</v>
      </c>
      <c r="H258" s="9" t="s">
        <v>2241</v>
      </c>
      <c r="I258" s="3"/>
      <c r="J258" s="3"/>
      <c r="K258" s="9"/>
    </row>
    <row r="259" ht="15.75" customHeight="1">
      <c r="A259" s="10" t="s">
        <v>12</v>
      </c>
      <c r="B259" s="10" t="s">
        <v>82</v>
      </c>
      <c r="C259" s="10" t="s">
        <v>2243</v>
      </c>
      <c r="D259" s="11" t="str">
        <f t="shared" si="1"/>
        <v>Abrir anúncio ↗</v>
      </c>
      <c r="E259" s="12" t="s">
        <v>2246</v>
      </c>
      <c r="F259" s="10" t="s">
        <v>86</v>
      </c>
      <c r="G259" s="12" t="s">
        <v>2249</v>
      </c>
      <c r="H259" s="12" t="s">
        <v>2252</v>
      </c>
      <c r="I259" s="10"/>
      <c r="J259" s="10"/>
      <c r="K259" s="12"/>
    </row>
    <row r="260" ht="15.75" customHeight="1">
      <c r="A260" s="3" t="s">
        <v>12</v>
      </c>
      <c r="B260" s="3" t="s">
        <v>82</v>
      </c>
      <c r="C260" s="3" t="s">
        <v>2254</v>
      </c>
      <c r="D260" s="8" t="str">
        <f t="shared" si="1"/>
        <v>Abrir anúncio ↗</v>
      </c>
      <c r="E260" s="9" t="s">
        <v>2256</v>
      </c>
      <c r="F260" s="3" t="s">
        <v>29</v>
      </c>
      <c r="G260" s="9" t="s">
        <v>468</v>
      </c>
      <c r="H260" s="9" t="s">
        <v>2260</v>
      </c>
      <c r="I260" s="3"/>
      <c r="J260" s="3"/>
      <c r="K260" s="9"/>
    </row>
    <row r="261" ht="15.75" customHeight="1">
      <c r="A261" s="10" t="s">
        <v>12</v>
      </c>
      <c r="B261" s="10" t="s">
        <v>82</v>
      </c>
      <c r="C261" s="10" t="s">
        <v>2264</v>
      </c>
      <c r="D261" s="11" t="str">
        <f t="shared" si="1"/>
        <v>Abrir anúncio ↗</v>
      </c>
      <c r="E261" s="12" t="s">
        <v>2265</v>
      </c>
      <c r="F261" s="10" t="s">
        <v>29</v>
      </c>
      <c r="G261" s="12" t="s">
        <v>468</v>
      </c>
      <c r="H261" s="12" t="s">
        <v>469</v>
      </c>
      <c r="I261" s="10"/>
      <c r="J261" s="10"/>
      <c r="K261" s="12"/>
    </row>
    <row r="262" ht="15.75" customHeight="1">
      <c r="A262" s="3" t="s">
        <v>12</v>
      </c>
      <c r="B262" s="3" t="s">
        <v>82</v>
      </c>
      <c r="C262" s="3" t="s">
        <v>2273</v>
      </c>
      <c r="D262" s="8" t="str">
        <f t="shared" si="1"/>
        <v>Abrir anúncio ↗</v>
      </c>
      <c r="E262" s="9" t="s">
        <v>2275</v>
      </c>
      <c r="F262" s="3" t="s">
        <v>29</v>
      </c>
      <c r="G262" s="9" t="s">
        <v>468</v>
      </c>
      <c r="H262" s="9" t="s">
        <v>469</v>
      </c>
      <c r="I262" s="3"/>
      <c r="J262" s="3"/>
      <c r="K262" s="9"/>
    </row>
    <row r="263" ht="15.75" customHeight="1">
      <c r="A263" s="10" t="s">
        <v>12</v>
      </c>
      <c r="B263" s="10" t="s">
        <v>82</v>
      </c>
      <c r="C263" s="10" t="s">
        <v>2282</v>
      </c>
      <c r="D263" s="11" t="str">
        <f t="shared" si="1"/>
        <v>Abrir anúncio ↗</v>
      </c>
      <c r="E263" s="12" t="s">
        <v>2285</v>
      </c>
      <c r="F263" s="10" t="s">
        <v>29</v>
      </c>
      <c r="G263" s="12" t="s">
        <v>468</v>
      </c>
      <c r="H263" s="12" t="s">
        <v>469</v>
      </c>
      <c r="I263" s="10"/>
      <c r="J263" s="10"/>
      <c r="K263" s="12"/>
    </row>
    <row r="264" ht="15.75" customHeight="1">
      <c r="A264" s="3" t="s">
        <v>12</v>
      </c>
      <c r="B264" s="3" t="s">
        <v>82</v>
      </c>
      <c r="C264" s="3" t="s">
        <v>2292</v>
      </c>
      <c r="D264" s="8" t="str">
        <f t="shared" si="1"/>
        <v>Abrir anúncio ↗</v>
      </c>
      <c r="E264" s="9" t="s">
        <v>2295</v>
      </c>
      <c r="F264" s="3" t="s">
        <v>29</v>
      </c>
      <c r="G264" s="9" t="s">
        <v>1279</v>
      </c>
      <c r="H264" s="9" t="s">
        <v>2297</v>
      </c>
      <c r="I264" s="3"/>
      <c r="J264" s="3"/>
      <c r="K264" s="9"/>
    </row>
    <row r="265" ht="15.75" customHeight="1">
      <c r="A265" s="10" t="s">
        <v>12</v>
      </c>
      <c r="B265" s="10" t="s">
        <v>82</v>
      </c>
      <c r="C265" s="10" t="s">
        <v>2304</v>
      </c>
      <c r="D265" s="11" t="str">
        <f t="shared" si="1"/>
        <v>Abrir anúncio ↗</v>
      </c>
      <c r="E265" s="12" t="s">
        <v>2305</v>
      </c>
      <c r="F265" s="10" t="s">
        <v>29</v>
      </c>
      <c r="G265" s="12" t="s">
        <v>468</v>
      </c>
      <c r="H265" s="12" t="s">
        <v>469</v>
      </c>
      <c r="I265" s="10"/>
      <c r="J265" s="10"/>
      <c r="K265" s="12"/>
    </row>
    <row r="266" ht="15.75" customHeight="1">
      <c r="A266" s="3" t="s">
        <v>12</v>
      </c>
      <c r="B266" s="3" t="s">
        <v>82</v>
      </c>
      <c r="C266" s="3" t="s">
        <v>2312</v>
      </c>
      <c r="D266" s="8" t="str">
        <f t="shared" si="1"/>
        <v>Abrir anúncio ↗</v>
      </c>
      <c r="E266" s="9" t="s">
        <v>2316</v>
      </c>
      <c r="F266" s="3" t="s">
        <v>29</v>
      </c>
      <c r="G266" s="9" t="s">
        <v>99</v>
      </c>
      <c r="H266" s="9" t="s">
        <v>143</v>
      </c>
      <c r="I266" s="3"/>
      <c r="J266" s="3"/>
      <c r="K266" s="9"/>
    </row>
    <row r="267" ht="15.75" customHeight="1">
      <c r="A267" s="10" t="s">
        <v>12</v>
      </c>
      <c r="B267" s="10" t="s">
        <v>82</v>
      </c>
      <c r="C267" s="10" t="s">
        <v>2323</v>
      </c>
      <c r="D267" s="11" t="str">
        <f t="shared" si="1"/>
        <v>Abrir anúncio ↗</v>
      </c>
      <c r="E267" s="12" t="s">
        <v>2326</v>
      </c>
      <c r="F267" s="10" t="s">
        <v>29</v>
      </c>
      <c r="G267" s="12" t="s">
        <v>87</v>
      </c>
      <c r="H267" s="12" t="s">
        <v>126</v>
      </c>
      <c r="I267" s="10"/>
      <c r="J267" s="10"/>
      <c r="K267" s="12"/>
    </row>
    <row r="268" ht="15.75" customHeight="1">
      <c r="A268" s="3" t="s">
        <v>12</v>
      </c>
      <c r="B268" s="3" t="s">
        <v>82</v>
      </c>
      <c r="C268" s="3" t="s">
        <v>2330</v>
      </c>
      <c r="D268" s="8" t="str">
        <f t="shared" si="1"/>
        <v>Abrir anúncio ↗</v>
      </c>
      <c r="E268" s="9" t="s">
        <v>2334</v>
      </c>
      <c r="F268" s="3" t="s">
        <v>29</v>
      </c>
      <c r="G268" s="9" t="s">
        <v>99</v>
      </c>
      <c r="H268" s="9" t="s">
        <v>143</v>
      </c>
      <c r="I268" s="3"/>
      <c r="J268" s="3"/>
      <c r="K268" s="9"/>
    </row>
    <row r="269" ht="15.75" customHeight="1">
      <c r="A269" s="10" t="s">
        <v>12</v>
      </c>
      <c r="B269" s="10" t="s">
        <v>82</v>
      </c>
      <c r="C269" s="10" t="s">
        <v>2339</v>
      </c>
      <c r="D269" s="11" t="str">
        <f t="shared" si="1"/>
        <v>Abrir anúncio ↗</v>
      </c>
      <c r="E269" s="12" t="s">
        <v>2341</v>
      </c>
      <c r="F269" s="10" t="s">
        <v>29</v>
      </c>
      <c r="G269" s="12" t="s">
        <v>99</v>
      </c>
      <c r="H269" s="12" t="s">
        <v>143</v>
      </c>
      <c r="I269" s="10"/>
      <c r="J269" s="10"/>
      <c r="K269" s="12"/>
    </row>
    <row r="270" ht="15.75" customHeight="1">
      <c r="A270" s="3" t="s">
        <v>12</v>
      </c>
      <c r="B270" s="3" t="s">
        <v>82</v>
      </c>
      <c r="C270" s="3" t="s">
        <v>2349</v>
      </c>
      <c r="D270" s="8" t="str">
        <f t="shared" si="1"/>
        <v>Abrir anúncio ↗</v>
      </c>
      <c r="E270" s="9" t="s">
        <v>2350</v>
      </c>
      <c r="F270" s="3" t="s">
        <v>29</v>
      </c>
      <c r="G270" s="9" t="s">
        <v>99</v>
      </c>
      <c r="H270" s="9" t="s">
        <v>143</v>
      </c>
      <c r="I270" s="3"/>
      <c r="J270" s="3"/>
      <c r="K270" s="9"/>
    </row>
    <row r="271" ht="15.75" customHeight="1">
      <c r="A271" s="10" t="s">
        <v>12</v>
      </c>
      <c r="B271" s="10" t="s">
        <v>82</v>
      </c>
      <c r="C271" s="10" t="s">
        <v>2357</v>
      </c>
      <c r="D271" s="11" t="str">
        <f t="shared" si="1"/>
        <v>Abrir anúncio ↗</v>
      </c>
      <c r="E271" s="12" t="s">
        <v>2360</v>
      </c>
      <c r="F271" s="10" t="s">
        <v>29</v>
      </c>
      <c r="G271" s="12" t="s">
        <v>99</v>
      </c>
      <c r="H271" s="12" t="s">
        <v>143</v>
      </c>
      <c r="I271" s="10"/>
      <c r="J271" s="10"/>
      <c r="K271" s="12"/>
    </row>
    <row r="272" ht="15.75" customHeight="1">
      <c r="A272" s="3" t="s">
        <v>12</v>
      </c>
      <c r="B272" s="3" t="s">
        <v>82</v>
      </c>
      <c r="C272" s="3" t="s">
        <v>2366</v>
      </c>
      <c r="D272" s="8" t="str">
        <f t="shared" si="1"/>
        <v>Abrir anúncio ↗</v>
      </c>
      <c r="E272" s="9" t="s">
        <v>2368</v>
      </c>
      <c r="F272" s="3" t="s">
        <v>29</v>
      </c>
      <c r="G272" s="9" t="s">
        <v>99</v>
      </c>
      <c r="H272" s="9" t="s">
        <v>143</v>
      </c>
      <c r="I272" s="3"/>
      <c r="J272" s="3"/>
      <c r="K272" s="9"/>
    </row>
    <row r="273" ht="15.75" customHeight="1">
      <c r="A273" s="10" t="s">
        <v>12</v>
      </c>
      <c r="B273" s="10" t="s">
        <v>82</v>
      </c>
      <c r="C273" s="10" t="s">
        <v>2373</v>
      </c>
      <c r="D273" s="11" t="str">
        <f t="shared" si="1"/>
        <v>Abrir anúncio ↗</v>
      </c>
      <c r="E273" s="12" t="s">
        <v>2377</v>
      </c>
      <c r="F273" s="10" t="s">
        <v>86</v>
      </c>
      <c r="G273" s="12" t="s">
        <v>574</v>
      </c>
      <c r="H273" s="12" t="s">
        <v>994</v>
      </c>
      <c r="I273" s="10"/>
      <c r="J273" s="10"/>
      <c r="K273" s="12"/>
    </row>
    <row r="274" ht="15.75" customHeight="1">
      <c r="A274" s="3" t="s">
        <v>12</v>
      </c>
      <c r="B274" s="3" t="s">
        <v>82</v>
      </c>
      <c r="C274" s="3" t="s">
        <v>2383</v>
      </c>
      <c r="D274" s="8" t="str">
        <f t="shared" si="1"/>
        <v>Abrir anúncio ↗</v>
      </c>
      <c r="E274" s="9" t="s">
        <v>2387</v>
      </c>
      <c r="F274" s="3" t="s">
        <v>29</v>
      </c>
      <c r="G274" s="9" t="s">
        <v>2390</v>
      </c>
      <c r="H274" s="9" t="s">
        <v>2392</v>
      </c>
      <c r="I274" s="3"/>
      <c r="J274" s="3"/>
      <c r="K274" s="9"/>
    </row>
    <row r="275" ht="15.75" customHeight="1">
      <c r="A275" s="10" t="s">
        <v>12</v>
      </c>
      <c r="B275" s="10" t="s">
        <v>82</v>
      </c>
      <c r="C275" s="10" t="s">
        <v>2395</v>
      </c>
      <c r="D275" s="11" t="str">
        <f t="shared" si="1"/>
        <v>Abrir anúncio ↗</v>
      </c>
      <c r="E275" s="12" t="s">
        <v>2397</v>
      </c>
      <c r="F275" s="10" t="s">
        <v>29</v>
      </c>
      <c r="G275" s="12" t="s">
        <v>99</v>
      </c>
      <c r="H275" s="12" t="s">
        <v>143</v>
      </c>
      <c r="I275" s="10"/>
      <c r="J275" s="10"/>
      <c r="K275" s="12"/>
    </row>
    <row r="276" ht="15.75" customHeight="1">
      <c r="A276" s="3" t="s">
        <v>12</v>
      </c>
      <c r="B276" s="3" t="s">
        <v>82</v>
      </c>
      <c r="C276" s="3" t="s">
        <v>2404</v>
      </c>
      <c r="D276" s="8" t="str">
        <f t="shared" si="1"/>
        <v>Abrir anúncio ↗</v>
      </c>
      <c r="E276" s="9" t="s">
        <v>2406</v>
      </c>
      <c r="F276" s="3" t="s">
        <v>29</v>
      </c>
      <c r="G276" s="9" t="s">
        <v>2407</v>
      </c>
      <c r="H276" s="9" t="s">
        <v>2409</v>
      </c>
      <c r="I276" s="3"/>
      <c r="J276" s="3"/>
      <c r="K276" s="9"/>
    </row>
    <row r="277" ht="15.75" customHeight="1">
      <c r="A277" s="10" t="s">
        <v>12</v>
      </c>
      <c r="B277" s="10" t="s">
        <v>82</v>
      </c>
      <c r="C277" s="10" t="s">
        <v>2415</v>
      </c>
      <c r="D277" s="11" t="str">
        <f t="shared" si="1"/>
        <v>Abrir anúncio ↗</v>
      </c>
      <c r="E277" s="12" t="s">
        <v>2417</v>
      </c>
      <c r="F277" s="10" t="s">
        <v>29</v>
      </c>
      <c r="G277" s="12" t="s">
        <v>99</v>
      </c>
      <c r="H277" s="12" t="s">
        <v>143</v>
      </c>
      <c r="I277" s="10"/>
      <c r="J277" s="10"/>
      <c r="K277" s="12"/>
    </row>
    <row r="278" ht="15.75" customHeight="1">
      <c r="A278" s="3" t="s">
        <v>12</v>
      </c>
      <c r="B278" s="3" t="s">
        <v>82</v>
      </c>
      <c r="C278" s="3" t="s">
        <v>2424</v>
      </c>
      <c r="D278" s="8" t="str">
        <f t="shared" si="1"/>
        <v>Abrir anúncio ↗</v>
      </c>
      <c r="E278" s="9" t="s">
        <v>2426</v>
      </c>
      <c r="F278" s="3" t="s">
        <v>29</v>
      </c>
      <c r="G278" s="9" t="s">
        <v>99</v>
      </c>
      <c r="H278" s="9" t="s">
        <v>143</v>
      </c>
      <c r="I278" s="3"/>
      <c r="J278" s="3"/>
      <c r="K278" s="9"/>
    </row>
    <row r="279" ht="15.75" customHeight="1">
      <c r="A279" s="10" t="s">
        <v>12</v>
      </c>
      <c r="B279" s="10" t="s">
        <v>82</v>
      </c>
      <c r="C279" s="10" t="s">
        <v>2431</v>
      </c>
      <c r="D279" s="11" t="str">
        <f t="shared" si="1"/>
        <v>Abrir anúncio ↗</v>
      </c>
      <c r="E279" s="12" t="s">
        <v>2434</v>
      </c>
      <c r="F279" s="10" t="s">
        <v>29</v>
      </c>
      <c r="G279" s="12" t="s">
        <v>99</v>
      </c>
      <c r="H279" s="12" t="s">
        <v>143</v>
      </c>
      <c r="I279" s="10"/>
      <c r="J279" s="10"/>
      <c r="K279" s="12"/>
    </row>
    <row r="280" ht="15.75" customHeight="1">
      <c r="A280" s="3" t="s">
        <v>12</v>
      </c>
      <c r="B280" s="3" t="s">
        <v>82</v>
      </c>
      <c r="C280" s="3" t="s">
        <v>2439</v>
      </c>
      <c r="D280" s="8" t="str">
        <f t="shared" si="1"/>
        <v>Abrir anúncio ↗</v>
      </c>
      <c r="E280" s="9" t="s">
        <v>2441</v>
      </c>
      <c r="F280" s="3" t="s">
        <v>29</v>
      </c>
      <c r="G280" s="9" t="s">
        <v>99</v>
      </c>
      <c r="H280" s="9" t="s">
        <v>143</v>
      </c>
      <c r="I280" s="3"/>
      <c r="J280" s="3"/>
      <c r="K280" s="9"/>
    </row>
    <row r="281" ht="15.75" customHeight="1">
      <c r="A281" s="10" t="s">
        <v>12</v>
      </c>
      <c r="B281" s="10" t="s">
        <v>82</v>
      </c>
      <c r="C281" s="10" t="s">
        <v>2449</v>
      </c>
      <c r="D281" s="11" t="str">
        <f t="shared" si="1"/>
        <v>Abrir anúncio ↗</v>
      </c>
      <c r="E281" s="12" t="s">
        <v>2450</v>
      </c>
      <c r="F281" s="10" t="s">
        <v>29</v>
      </c>
      <c r="G281" s="12" t="s">
        <v>99</v>
      </c>
      <c r="H281" s="12" t="s">
        <v>143</v>
      </c>
      <c r="I281" s="10"/>
      <c r="J281" s="10"/>
      <c r="K281" s="12"/>
    </row>
    <row r="282" ht="15.75" customHeight="1">
      <c r="A282" s="3" t="s">
        <v>12</v>
      </c>
      <c r="B282" s="3" t="s">
        <v>82</v>
      </c>
      <c r="C282" s="3" t="s">
        <v>2459</v>
      </c>
      <c r="D282" s="8" t="str">
        <f t="shared" si="1"/>
        <v>Abrir anúncio ↗</v>
      </c>
      <c r="E282" s="9" t="s">
        <v>2461</v>
      </c>
      <c r="F282" s="3" t="s">
        <v>29</v>
      </c>
      <c r="G282" s="9" t="s">
        <v>99</v>
      </c>
      <c r="H282" s="9" t="s">
        <v>143</v>
      </c>
      <c r="I282" s="3"/>
      <c r="J282" s="3"/>
      <c r="K282" s="9"/>
    </row>
    <row r="283" ht="15.75" customHeight="1">
      <c r="A283" s="10" t="s">
        <v>12</v>
      </c>
      <c r="B283" s="10" t="s">
        <v>82</v>
      </c>
      <c r="C283" s="10" t="s">
        <v>2467</v>
      </c>
      <c r="D283" s="11" t="str">
        <f t="shared" si="1"/>
        <v>Abrir anúncio ↗</v>
      </c>
      <c r="E283" s="12" t="s">
        <v>2469</v>
      </c>
      <c r="F283" s="10" t="s">
        <v>29</v>
      </c>
      <c r="G283" s="12" t="s">
        <v>99</v>
      </c>
      <c r="H283" s="12" t="s">
        <v>143</v>
      </c>
      <c r="I283" s="10"/>
      <c r="J283" s="10"/>
      <c r="K283" s="12"/>
    </row>
    <row r="284" ht="15.75" customHeight="1">
      <c r="A284" s="3" t="s">
        <v>12</v>
      </c>
      <c r="B284" s="3" t="s">
        <v>82</v>
      </c>
      <c r="C284" s="3" t="s">
        <v>2476</v>
      </c>
      <c r="D284" s="8" t="str">
        <f t="shared" si="1"/>
        <v>Abrir anúncio ↗</v>
      </c>
      <c r="E284" s="9" t="s">
        <v>2479</v>
      </c>
      <c r="F284" s="3" t="s">
        <v>29</v>
      </c>
      <c r="G284" s="9" t="s">
        <v>99</v>
      </c>
      <c r="H284" s="9" t="s">
        <v>143</v>
      </c>
      <c r="I284" s="3"/>
      <c r="J284" s="3"/>
      <c r="K284" s="9"/>
    </row>
    <row r="285" ht="15.75" customHeight="1">
      <c r="A285" s="10" t="s">
        <v>12</v>
      </c>
      <c r="B285" s="10" t="s">
        <v>82</v>
      </c>
      <c r="C285" s="10" t="s">
        <v>2482</v>
      </c>
      <c r="D285" s="11" t="str">
        <f t="shared" si="1"/>
        <v>Abrir anúncio ↗</v>
      </c>
      <c r="E285" s="12" t="s">
        <v>2487</v>
      </c>
      <c r="F285" s="10" t="s">
        <v>29</v>
      </c>
      <c r="G285" s="12" t="s">
        <v>99</v>
      </c>
      <c r="H285" s="12" t="s">
        <v>143</v>
      </c>
      <c r="I285" s="10"/>
      <c r="J285" s="10"/>
      <c r="K285" s="12"/>
    </row>
    <row r="286" ht="15.75" customHeight="1">
      <c r="A286" s="3" t="s">
        <v>12</v>
      </c>
      <c r="B286" s="3" t="s">
        <v>82</v>
      </c>
      <c r="C286" s="3" t="s">
        <v>2492</v>
      </c>
      <c r="D286" s="8" t="str">
        <f t="shared" si="1"/>
        <v>Abrir anúncio ↗</v>
      </c>
      <c r="E286" s="9" t="s">
        <v>2493</v>
      </c>
      <c r="F286" s="3" t="s">
        <v>29</v>
      </c>
      <c r="G286" s="9" t="s">
        <v>99</v>
      </c>
      <c r="H286" s="9" t="s">
        <v>143</v>
      </c>
      <c r="I286" s="3"/>
      <c r="J286" s="3"/>
      <c r="K286" s="9"/>
    </row>
    <row r="287" ht="15.75" customHeight="1">
      <c r="A287" s="10" t="s">
        <v>12</v>
      </c>
      <c r="B287" s="10" t="s">
        <v>82</v>
      </c>
      <c r="C287" s="10" t="s">
        <v>2501</v>
      </c>
      <c r="D287" s="11" t="str">
        <f t="shared" si="1"/>
        <v>Abrir anúncio ↗</v>
      </c>
      <c r="E287" s="12" t="s">
        <v>2503</v>
      </c>
      <c r="F287" s="10" t="s">
        <v>29</v>
      </c>
      <c r="G287" s="12" t="s">
        <v>87</v>
      </c>
      <c r="H287" s="12" t="s">
        <v>126</v>
      </c>
      <c r="I287" s="10"/>
      <c r="J287" s="10"/>
      <c r="K287" s="12"/>
    </row>
    <row r="288" ht="15.75" customHeight="1">
      <c r="A288" s="3" t="s">
        <v>12</v>
      </c>
      <c r="B288" s="3" t="s">
        <v>82</v>
      </c>
      <c r="C288" s="3" t="s">
        <v>2507</v>
      </c>
      <c r="D288" s="8" t="str">
        <f t="shared" si="1"/>
        <v>Abrir anúncio ↗</v>
      </c>
      <c r="E288" s="9" t="s">
        <v>2510</v>
      </c>
      <c r="F288" s="3" t="s">
        <v>29</v>
      </c>
      <c r="G288" s="9" t="s">
        <v>99</v>
      </c>
      <c r="H288" s="9" t="s">
        <v>143</v>
      </c>
      <c r="I288" s="3"/>
      <c r="J288" s="3"/>
      <c r="K288" s="9"/>
    </row>
    <row r="289" ht="15.75" customHeight="1">
      <c r="A289" s="10" t="s">
        <v>12</v>
      </c>
      <c r="B289" s="10" t="s">
        <v>82</v>
      </c>
      <c r="C289" s="10" t="s">
        <v>2515</v>
      </c>
      <c r="D289" s="11" t="str">
        <f t="shared" si="1"/>
        <v>Abrir anúncio ↗</v>
      </c>
      <c r="E289" s="12" t="s">
        <v>2519</v>
      </c>
      <c r="F289" s="10" t="s">
        <v>29</v>
      </c>
      <c r="G289" s="12" t="s">
        <v>99</v>
      </c>
      <c r="H289" s="12" t="s">
        <v>143</v>
      </c>
      <c r="I289" s="10"/>
      <c r="J289" s="10"/>
      <c r="K289" s="12"/>
    </row>
    <row r="290" ht="15.75" customHeight="1">
      <c r="A290" s="3" t="s">
        <v>12</v>
      </c>
      <c r="B290" s="3" t="s">
        <v>82</v>
      </c>
      <c r="C290" s="3" t="s">
        <v>2524</v>
      </c>
      <c r="D290" s="8" t="str">
        <f t="shared" si="1"/>
        <v>Abrir anúncio ↗</v>
      </c>
      <c r="E290" s="9" t="s">
        <v>2528</v>
      </c>
      <c r="F290" s="3" t="s">
        <v>29</v>
      </c>
      <c r="G290" s="9" t="s">
        <v>99</v>
      </c>
      <c r="H290" s="9" t="s">
        <v>143</v>
      </c>
      <c r="I290" s="3"/>
      <c r="J290" s="3"/>
      <c r="K290" s="9"/>
    </row>
    <row r="291" ht="15.75" customHeight="1">
      <c r="A291" s="10" t="s">
        <v>12</v>
      </c>
      <c r="B291" s="10" t="s">
        <v>82</v>
      </c>
      <c r="C291" s="10" t="s">
        <v>2534</v>
      </c>
      <c r="D291" s="11" t="str">
        <f t="shared" si="1"/>
        <v>Abrir anúncio ↗</v>
      </c>
      <c r="E291" s="12" t="s">
        <v>2535</v>
      </c>
      <c r="F291" s="10" t="s">
        <v>29</v>
      </c>
      <c r="G291" s="12" t="s">
        <v>2407</v>
      </c>
      <c r="H291" s="12" t="s">
        <v>2409</v>
      </c>
      <c r="I291" s="10"/>
      <c r="J291" s="10"/>
      <c r="K291" s="12"/>
    </row>
    <row r="292" ht="15.75" customHeight="1">
      <c r="A292" s="3" t="s">
        <v>12</v>
      </c>
      <c r="B292" s="3" t="s">
        <v>82</v>
      </c>
      <c r="C292" s="3" t="s">
        <v>2543</v>
      </c>
      <c r="D292" s="8" t="str">
        <f t="shared" si="1"/>
        <v>Abrir anúncio ↗</v>
      </c>
      <c r="E292" s="9" t="s">
        <v>2545</v>
      </c>
      <c r="F292" s="3" t="s">
        <v>29</v>
      </c>
      <c r="G292" s="9" t="s">
        <v>99</v>
      </c>
      <c r="H292" s="9" t="s">
        <v>143</v>
      </c>
      <c r="I292" s="3"/>
      <c r="J292" s="3"/>
      <c r="K292" s="9"/>
    </row>
    <row r="293" ht="15.75" customHeight="1">
      <c r="A293" s="10" t="s">
        <v>12</v>
      </c>
      <c r="B293" s="10" t="s">
        <v>82</v>
      </c>
      <c r="C293" s="10" t="s">
        <v>2552</v>
      </c>
      <c r="D293" s="11" t="str">
        <f t="shared" si="1"/>
        <v>Abrir anúncio ↗</v>
      </c>
      <c r="E293" s="12" t="s">
        <v>2553</v>
      </c>
      <c r="F293" s="10" t="s">
        <v>29</v>
      </c>
      <c r="G293" s="12" t="s">
        <v>99</v>
      </c>
      <c r="H293" s="12" t="s">
        <v>143</v>
      </c>
      <c r="I293" s="10"/>
      <c r="J293" s="10"/>
      <c r="K293" s="12"/>
    </row>
    <row r="294" ht="15.75" customHeight="1">
      <c r="A294" s="3" t="s">
        <v>12</v>
      </c>
      <c r="B294" s="3" t="s">
        <v>82</v>
      </c>
      <c r="C294" s="3" t="s">
        <v>2559</v>
      </c>
      <c r="D294" s="8" t="str">
        <f t="shared" si="1"/>
        <v>Abrir anúncio ↗</v>
      </c>
      <c r="E294" s="9" t="s">
        <v>2562</v>
      </c>
      <c r="F294" s="3" t="s">
        <v>29</v>
      </c>
      <c r="G294" s="9" t="s">
        <v>99</v>
      </c>
      <c r="H294" s="9" t="s">
        <v>143</v>
      </c>
      <c r="I294" s="3"/>
      <c r="J294" s="3"/>
      <c r="K294" s="9"/>
    </row>
    <row r="295" ht="15.75" customHeight="1">
      <c r="A295" s="10" t="s">
        <v>12</v>
      </c>
      <c r="B295" s="10" t="s">
        <v>82</v>
      </c>
      <c r="C295" s="10" t="s">
        <v>2566</v>
      </c>
      <c r="D295" s="11" t="str">
        <f t="shared" si="1"/>
        <v>Abrir anúncio ↗</v>
      </c>
      <c r="E295" s="12" t="s">
        <v>2570</v>
      </c>
      <c r="F295" s="10" t="s">
        <v>29</v>
      </c>
      <c r="G295" s="12" t="s">
        <v>99</v>
      </c>
      <c r="H295" s="12" t="s">
        <v>143</v>
      </c>
      <c r="I295" s="10"/>
      <c r="J295" s="10"/>
      <c r="K295" s="12"/>
    </row>
    <row r="296" ht="15.75" customHeight="1">
      <c r="A296" s="3" t="s">
        <v>12</v>
      </c>
      <c r="B296" s="3" t="s">
        <v>82</v>
      </c>
      <c r="C296" s="3" t="s">
        <v>2576</v>
      </c>
      <c r="D296" s="8" t="str">
        <f t="shared" si="1"/>
        <v>Abrir anúncio ↗</v>
      </c>
      <c r="E296" s="9" t="s">
        <v>2577</v>
      </c>
      <c r="F296" s="3" t="s">
        <v>29</v>
      </c>
      <c r="G296" s="9" t="s">
        <v>99</v>
      </c>
      <c r="H296" s="9" t="s">
        <v>143</v>
      </c>
      <c r="I296" s="3"/>
      <c r="J296" s="3"/>
      <c r="K296" s="9"/>
    </row>
    <row r="297" ht="15.75" customHeight="1">
      <c r="A297" s="10" t="s">
        <v>12</v>
      </c>
      <c r="B297" s="10" t="s">
        <v>82</v>
      </c>
      <c r="C297" s="10" t="s">
        <v>2583</v>
      </c>
      <c r="D297" s="11" t="str">
        <f t="shared" si="1"/>
        <v>Abrir anúncio ↗</v>
      </c>
      <c r="E297" s="12" t="s">
        <v>2587</v>
      </c>
      <c r="F297" s="10" t="s">
        <v>29</v>
      </c>
      <c r="G297" s="12" t="s">
        <v>119</v>
      </c>
      <c r="H297" s="12" t="s">
        <v>2588</v>
      </c>
      <c r="I297" s="10"/>
      <c r="J297" s="10"/>
      <c r="K297" s="12"/>
    </row>
    <row r="298" ht="15.75" customHeight="1">
      <c r="A298" s="3" t="s">
        <v>12</v>
      </c>
      <c r="B298" s="3" t="s">
        <v>82</v>
      </c>
      <c r="C298" s="3" t="s">
        <v>2593</v>
      </c>
      <c r="D298" s="8" t="str">
        <f t="shared" si="1"/>
        <v>Abrir anúncio ↗</v>
      </c>
      <c r="E298" s="9" t="s">
        <v>2595</v>
      </c>
      <c r="F298" s="3" t="s">
        <v>86</v>
      </c>
      <c r="G298" s="9" t="s">
        <v>574</v>
      </c>
      <c r="H298" s="9" t="s">
        <v>994</v>
      </c>
      <c r="I298" s="3"/>
      <c r="J298" s="3"/>
      <c r="K298" s="9"/>
    </row>
    <row r="299" ht="15.75" customHeight="1">
      <c r="A299" s="10" t="s">
        <v>12</v>
      </c>
      <c r="B299" s="10" t="s">
        <v>82</v>
      </c>
      <c r="C299" s="10" t="s">
        <v>2604</v>
      </c>
      <c r="D299" s="11" t="str">
        <f t="shared" si="1"/>
        <v>Abrir anúncio ↗</v>
      </c>
      <c r="E299" s="12" t="s">
        <v>2606</v>
      </c>
      <c r="F299" s="10" t="s">
        <v>29</v>
      </c>
      <c r="G299" s="12" t="s">
        <v>99</v>
      </c>
      <c r="H299" s="12" t="s">
        <v>143</v>
      </c>
      <c r="I299" s="10"/>
      <c r="J299" s="10"/>
      <c r="K299" s="12"/>
    </row>
    <row r="300" ht="15.75" customHeight="1">
      <c r="A300" s="3" t="s">
        <v>12</v>
      </c>
      <c r="B300" s="3" t="s">
        <v>82</v>
      </c>
      <c r="C300" s="3" t="s">
        <v>2610</v>
      </c>
      <c r="D300" s="8" t="str">
        <f t="shared" si="1"/>
        <v>Abrir anúncio ↗</v>
      </c>
      <c r="E300" s="9" t="s">
        <v>2614</v>
      </c>
      <c r="F300" s="3" t="s">
        <v>29</v>
      </c>
      <c r="G300" s="9" t="s">
        <v>99</v>
      </c>
      <c r="H300" s="9" t="s">
        <v>143</v>
      </c>
      <c r="I300" s="3"/>
      <c r="J300" s="3"/>
      <c r="K300" s="9"/>
    </row>
    <row r="301" ht="15.75" customHeight="1">
      <c r="A301" s="10" t="s">
        <v>12</v>
      </c>
      <c r="B301" s="10" t="s">
        <v>82</v>
      </c>
      <c r="C301" s="10" t="s">
        <v>2619</v>
      </c>
      <c r="D301" s="11" t="str">
        <f t="shared" si="1"/>
        <v>Abrir anúncio ↗</v>
      </c>
      <c r="E301" s="12" t="s">
        <v>2621</v>
      </c>
      <c r="F301" s="10" t="s">
        <v>29</v>
      </c>
      <c r="G301" s="12" t="s">
        <v>99</v>
      </c>
      <c r="H301" s="12" t="s">
        <v>143</v>
      </c>
      <c r="I301" s="10"/>
      <c r="J301" s="10"/>
      <c r="K301" s="12"/>
    </row>
    <row r="302" ht="15.75" customHeight="1">
      <c r="A302" s="3" t="s">
        <v>12</v>
      </c>
      <c r="B302" s="3" t="s">
        <v>82</v>
      </c>
      <c r="C302" s="3" t="s">
        <v>2628</v>
      </c>
      <c r="D302" s="8" t="str">
        <f t="shared" si="1"/>
        <v>Abrir anúncio ↗</v>
      </c>
      <c r="E302" s="9" t="s">
        <v>2630</v>
      </c>
      <c r="F302" s="3" t="s">
        <v>86</v>
      </c>
      <c r="G302" s="9" t="s">
        <v>574</v>
      </c>
      <c r="H302" s="9" t="s">
        <v>994</v>
      </c>
      <c r="I302" s="3"/>
      <c r="J302" s="3"/>
      <c r="K302" s="9"/>
    </row>
    <row r="303" ht="15.75" customHeight="1">
      <c r="A303" s="10" t="s">
        <v>12</v>
      </c>
      <c r="B303" s="10" t="s">
        <v>82</v>
      </c>
      <c r="C303" s="10" t="s">
        <v>2637</v>
      </c>
      <c r="D303" s="11" t="str">
        <f t="shared" si="1"/>
        <v>Abrir anúncio ↗</v>
      </c>
      <c r="E303" s="12" t="s">
        <v>2639</v>
      </c>
      <c r="F303" s="10" t="s">
        <v>29</v>
      </c>
      <c r="G303" s="12" t="s">
        <v>99</v>
      </c>
      <c r="H303" s="12" t="s">
        <v>143</v>
      </c>
      <c r="I303" s="10"/>
      <c r="J303" s="10"/>
      <c r="K303" s="12"/>
    </row>
    <row r="304" ht="15.75" customHeight="1">
      <c r="A304" s="3" t="s">
        <v>12</v>
      </c>
      <c r="B304" s="3" t="s">
        <v>82</v>
      </c>
      <c r="C304" s="3" t="s">
        <v>2646</v>
      </c>
      <c r="D304" s="8" t="str">
        <f t="shared" si="1"/>
        <v>Abrir anúncio ↗</v>
      </c>
      <c r="E304" s="9" t="s">
        <v>2648</v>
      </c>
      <c r="F304" s="3" t="s">
        <v>29</v>
      </c>
      <c r="G304" s="9" t="s">
        <v>99</v>
      </c>
      <c r="H304" s="9" t="s">
        <v>143</v>
      </c>
      <c r="I304" s="3"/>
      <c r="J304" s="3"/>
      <c r="K304" s="9"/>
    </row>
    <row r="305" ht="15.75" customHeight="1">
      <c r="A305" s="10" t="s">
        <v>12</v>
      </c>
      <c r="B305" s="10" t="s">
        <v>82</v>
      </c>
      <c r="C305" s="10" t="s">
        <v>2656</v>
      </c>
      <c r="D305" s="11" t="str">
        <f t="shared" si="1"/>
        <v>Abrir anúncio ↗</v>
      </c>
      <c r="E305" s="12" t="s">
        <v>2658</v>
      </c>
      <c r="F305" s="10" t="s">
        <v>29</v>
      </c>
      <c r="G305" s="12" t="s">
        <v>99</v>
      </c>
      <c r="H305" s="12" t="s">
        <v>143</v>
      </c>
      <c r="I305" s="10"/>
      <c r="J305" s="10"/>
      <c r="K305" s="12"/>
    </row>
    <row r="306" ht="15.75" customHeight="1">
      <c r="A306" s="3" t="s">
        <v>12</v>
      </c>
      <c r="B306" s="3" t="s">
        <v>82</v>
      </c>
      <c r="C306" s="3" t="s">
        <v>2665</v>
      </c>
      <c r="D306" s="8" t="str">
        <f t="shared" si="1"/>
        <v>Abrir anúncio ↗</v>
      </c>
      <c r="E306" s="9" t="s">
        <v>2668</v>
      </c>
      <c r="F306" s="3" t="s">
        <v>29</v>
      </c>
      <c r="G306" s="9" t="s">
        <v>99</v>
      </c>
      <c r="H306" s="9" t="s">
        <v>143</v>
      </c>
      <c r="I306" s="3"/>
      <c r="J306" s="3"/>
      <c r="K306" s="9"/>
    </row>
    <row r="307" ht="15.75" customHeight="1">
      <c r="A307" s="10" t="s">
        <v>12</v>
      </c>
      <c r="B307" s="10" t="s">
        <v>82</v>
      </c>
      <c r="C307" s="10" t="s">
        <v>2675</v>
      </c>
      <c r="D307" s="11" t="str">
        <f t="shared" si="1"/>
        <v>Abrir anúncio ↗</v>
      </c>
      <c r="E307" s="12" t="s">
        <v>2677</v>
      </c>
      <c r="F307" s="10" t="s">
        <v>29</v>
      </c>
      <c r="G307" s="12" t="s">
        <v>99</v>
      </c>
      <c r="H307" s="12" t="s">
        <v>143</v>
      </c>
      <c r="I307" s="10"/>
      <c r="J307" s="10"/>
      <c r="K307" s="12"/>
    </row>
    <row r="308" ht="15.75" customHeight="1">
      <c r="A308" s="3" t="s">
        <v>12</v>
      </c>
      <c r="B308" s="3" t="s">
        <v>82</v>
      </c>
      <c r="C308" s="3" t="s">
        <v>2684</v>
      </c>
      <c r="D308" s="8" t="str">
        <f t="shared" si="1"/>
        <v>Abrir anúncio ↗</v>
      </c>
      <c r="E308" s="9" t="s">
        <v>2685</v>
      </c>
      <c r="F308" s="3" t="s">
        <v>29</v>
      </c>
      <c r="G308" s="9" t="s">
        <v>99</v>
      </c>
      <c r="H308" s="9" t="s">
        <v>143</v>
      </c>
      <c r="I308" s="3"/>
      <c r="J308" s="3"/>
      <c r="K308" s="9"/>
    </row>
    <row r="309" ht="15.75" customHeight="1">
      <c r="A309" s="10" t="s">
        <v>12</v>
      </c>
      <c r="B309" s="10" t="s">
        <v>82</v>
      </c>
      <c r="C309" s="10" t="s">
        <v>2693</v>
      </c>
      <c r="D309" s="11" t="str">
        <f t="shared" si="1"/>
        <v>Abrir anúncio ↗</v>
      </c>
      <c r="E309" s="12" t="s">
        <v>2696</v>
      </c>
      <c r="F309" s="10" t="s">
        <v>29</v>
      </c>
      <c r="G309" s="12" t="s">
        <v>99</v>
      </c>
      <c r="H309" s="12" t="s">
        <v>143</v>
      </c>
      <c r="I309" s="10"/>
      <c r="J309" s="10"/>
      <c r="K309" s="12"/>
    </row>
    <row r="310" ht="15.75" customHeight="1">
      <c r="A310" s="3" t="s">
        <v>12</v>
      </c>
      <c r="B310" s="3" t="s">
        <v>82</v>
      </c>
      <c r="C310" s="3" t="s">
        <v>2701</v>
      </c>
      <c r="D310" s="8" t="str">
        <f t="shared" si="1"/>
        <v>Abrir anúncio ↗</v>
      </c>
      <c r="E310" s="9" t="s">
        <v>2704</v>
      </c>
      <c r="F310" s="3" t="s">
        <v>29</v>
      </c>
      <c r="G310" s="9" t="s">
        <v>99</v>
      </c>
      <c r="H310" s="9" t="s">
        <v>143</v>
      </c>
      <c r="I310" s="3"/>
      <c r="J310" s="3"/>
      <c r="K310" s="9"/>
    </row>
    <row r="311" ht="15.75" customHeight="1">
      <c r="A311" s="10" t="s">
        <v>12</v>
      </c>
      <c r="B311" s="10" t="s">
        <v>82</v>
      </c>
      <c r="C311" s="10" t="s">
        <v>2708</v>
      </c>
      <c r="D311" s="11" t="str">
        <f t="shared" si="1"/>
        <v>Abrir anúncio ↗</v>
      </c>
      <c r="E311" s="12" t="s">
        <v>2711</v>
      </c>
      <c r="F311" s="10" t="s">
        <v>29</v>
      </c>
      <c r="G311" s="12" t="s">
        <v>468</v>
      </c>
      <c r="H311" s="12" t="s">
        <v>469</v>
      </c>
      <c r="I311" s="10"/>
      <c r="J311" s="10"/>
      <c r="K311" s="12"/>
    </row>
    <row r="312" ht="15.75" customHeight="1">
      <c r="A312" s="3" t="s">
        <v>12</v>
      </c>
      <c r="B312" s="3" t="s">
        <v>82</v>
      </c>
      <c r="C312" s="3" t="s">
        <v>2716</v>
      </c>
      <c r="D312" s="8" t="str">
        <f t="shared" si="1"/>
        <v>Abrir anúncio ↗</v>
      </c>
      <c r="E312" s="9" t="s">
        <v>2719</v>
      </c>
      <c r="F312" s="3" t="s">
        <v>29</v>
      </c>
      <c r="G312" s="9" t="s">
        <v>99</v>
      </c>
      <c r="H312" s="9" t="s">
        <v>2721</v>
      </c>
      <c r="I312" s="3"/>
      <c r="J312" s="3"/>
      <c r="K312" s="9"/>
    </row>
    <row r="313" ht="15.75" customHeight="1">
      <c r="A313" s="10" t="s">
        <v>12</v>
      </c>
      <c r="B313" s="10" t="s">
        <v>82</v>
      </c>
      <c r="C313" s="10" t="s">
        <v>2724</v>
      </c>
      <c r="D313" s="11" t="str">
        <f t="shared" si="1"/>
        <v>Abrir anúncio ↗</v>
      </c>
      <c r="E313" s="12" t="s">
        <v>2727</v>
      </c>
      <c r="F313" s="10" t="s">
        <v>29</v>
      </c>
      <c r="G313" s="12" t="s">
        <v>99</v>
      </c>
      <c r="H313" s="12" t="s">
        <v>2731</v>
      </c>
      <c r="I313" s="10"/>
      <c r="J313" s="10"/>
      <c r="K313" s="12"/>
    </row>
    <row r="314" ht="15.75" customHeight="1">
      <c r="A314" s="3" t="s">
        <v>12</v>
      </c>
      <c r="B314" s="3" t="s">
        <v>82</v>
      </c>
      <c r="C314" s="3" t="s">
        <v>2734</v>
      </c>
      <c r="D314" s="8" t="str">
        <f t="shared" si="1"/>
        <v>Abrir anúncio ↗</v>
      </c>
      <c r="E314" s="9" t="s">
        <v>2735</v>
      </c>
      <c r="F314" s="3" t="s">
        <v>86</v>
      </c>
      <c r="G314" s="9" t="s">
        <v>99</v>
      </c>
      <c r="H314" s="9" t="s">
        <v>2721</v>
      </c>
      <c r="I314" s="3"/>
      <c r="J314" s="3"/>
      <c r="K314" s="9"/>
    </row>
    <row r="315" ht="15.75" customHeight="1">
      <c r="A315" s="10" t="s">
        <v>12</v>
      </c>
      <c r="B315" s="10" t="s">
        <v>82</v>
      </c>
      <c r="C315" s="10" t="s">
        <v>2743</v>
      </c>
      <c r="D315" s="11" t="str">
        <f t="shared" si="1"/>
        <v>Abrir anúncio ↗</v>
      </c>
      <c r="E315" s="12" t="s">
        <v>2744</v>
      </c>
      <c r="F315" s="10" t="s">
        <v>29</v>
      </c>
      <c r="G315" s="12" t="s">
        <v>99</v>
      </c>
      <c r="H315" s="12" t="s">
        <v>2731</v>
      </c>
      <c r="I315" s="10"/>
      <c r="J315" s="10"/>
      <c r="K315" s="12"/>
    </row>
    <row r="316" ht="15.75" customHeight="1">
      <c r="A316" s="3" t="s">
        <v>12</v>
      </c>
      <c r="B316" s="3" t="s">
        <v>82</v>
      </c>
      <c r="C316" s="3" t="s">
        <v>2749</v>
      </c>
      <c r="D316" s="8" t="str">
        <f t="shared" si="1"/>
        <v>Abrir anúncio ↗</v>
      </c>
      <c r="E316" s="9" t="s">
        <v>2751</v>
      </c>
      <c r="F316" s="3" t="s">
        <v>29</v>
      </c>
      <c r="G316" s="9" t="s">
        <v>99</v>
      </c>
      <c r="H316" s="9" t="s">
        <v>2731</v>
      </c>
      <c r="I316" s="3"/>
      <c r="J316" s="3"/>
      <c r="K316" s="9"/>
    </row>
    <row r="317" ht="15.75" customHeight="1">
      <c r="A317" s="10" t="s">
        <v>12</v>
      </c>
      <c r="B317" s="10" t="s">
        <v>82</v>
      </c>
      <c r="C317" s="10" t="s">
        <v>2757</v>
      </c>
      <c r="D317" s="11" t="str">
        <f t="shared" si="1"/>
        <v>Abrir anúncio ↗</v>
      </c>
      <c r="E317" s="12" t="s">
        <v>2759</v>
      </c>
      <c r="F317" s="10" t="s">
        <v>29</v>
      </c>
      <c r="G317" s="12" t="s">
        <v>99</v>
      </c>
      <c r="H317" s="12" t="s">
        <v>2762</v>
      </c>
      <c r="I317" s="10"/>
      <c r="J317" s="10"/>
      <c r="K317" s="12"/>
    </row>
    <row r="318" ht="15.75" customHeight="1">
      <c r="A318" s="3" t="s">
        <v>12</v>
      </c>
      <c r="B318" s="3" t="s">
        <v>82</v>
      </c>
      <c r="C318" s="3" t="s">
        <v>2764</v>
      </c>
      <c r="D318" s="8" t="str">
        <f t="shared" si="1"/>
        <v>Abrir anúncio ↗</v>
      </c>
      <c r="E318" s="9" t="s">
        <v>2768</v>
      </c>
      <c r="F318" s="3" t="s">
        <v>29</v>
      </c>
      <c r="G318" s="9" t="s">
        <v>99</v>
      </c>
      <c r="H318" s="9" t="s">
        <v>2731</v>
      </c>
      <c r="I318" s="3"/>
      <c r="J318" s="3"/>
      <c r="K318" s="9"/>
    </row>
    <row r="319" ht="15.75" customHeight="1">
      <c r="A319" s="10" t="s">
        <v>12</v>
      </c>
      <c r="B319" s="10" t="s">
        <v>82</v>
      </c>
      <c r="C319" s="10" t="s">
        <v>2772</v>
      </c>
      <c r="D319" s="11" t="str">
        <f t="shared" si="1"/>
        <v>Abrir anúncio ↗</v>
      </c>
      <c r="E319" s="12" t="s">
        <v>2774</v>
      </c>
      <c r="F319" s="10" t="s">
        <v>86</v>
      </c>
      <c r="G319" s="12" t="s">
        <v>99</v>
      </c>
      <c r="H319" s="12" t="s">
        <v>2731</v>
      </c>
      <c r="I319" s="10"/>
      <c r="J319" s="10"/>
      <c r="K319" s="12"/>
    </row>
    <row r="320" ht="15.75" customHeight="1">
      <c r="A320" s="3" t="s">
        <v>12</v>
      </c>
      <c r="B320" s="3" t="s">
        <v>82</v>
      </c>
      <c r="C320" s="3" t="s">
        <v>2780</v>
      </c>
      <c r="D320" s="8" t="str">
        <f t="shared" si="1"/>
        <v>Abrir anúncio ↗</v>
      </c>
      <c r="E320" s="9" t="s">
        <v>2781</v>
      </c>
      <c r="F320" s="3" t="s">
        <v>29</v>
      </c>
      <c r="G320" s="9" t="s">
        <v>99</v>
      </c>
      <c r="H320" s="9" t="s">
        <v>2721</v>
      </c>
      <c r="I320" s="3"/>
      <c r="J320" s="3"/>
      <c r="K320" s="9"/>
    </row>
    <row r="321" ht="15.75" customHeight="1">
      <c r="A321" s="10" t="s">
        <v>12</v>
      </c>
      <c r="B321" s="10" t="s">
        <v>82</v>
      </c>
      <c r="C321" s="10" t="s">
        <v>2788</v>
      </c>
      <c r="D321" s="11" t="str">
        <f t="shared" si="1"/>
        <v>Abrir anúncio ↗</v>
      </c>
      <c r="E321" s="12" t="s">
        <v>2789</v>
      </c>
      <c r="F321" s="10" t="s">
        <v>29</v>
      </c>
      <c r="G321" s="12" t="s">
        <v>99</v>
      </c>
      <c r="H321" s="12" t="s">
        <v>2731</v>
      </c>
      <c r="I321" s="10"/>
      <c r="J321" s="10"/>
      <c r="K321" s="12"/>
    </row>
    <row r="322" ht="15.75" customHeight="1">
      <c r="A322" s="3" t="s">
        <v>12</v>
      </c>
      <c r="B322" s="3" t="s">
        <v>82</v>
      </c>
      <c r="C322" s="3" t="s">
        <v>2795</v>
      </c>
      <c r="D322" s="8" t="str">
        <f t="shared" si="1"/>
        <v>Abrir anúncio ↗</v>
      </c>
      <c r="E322" s="9" t="s">
        <v>2799</v>
      </c>
      <c r="F322" s="3" t="s">
        <v>29</v>
      </c>
      <c r="G322" s="9" t="s">
        <v>99</v>
      </c>
      <c r="H322" s="9" t="s">
        <v>2762</v>
      </c>
      <c r="I322" s="3"/>
      <c r="J322" s="3"/>
      <c r="K322" s="9"/>
    </row>
    <row r="323" ht="15.75" customHeight="1">
      <c r="A323" s="10" t="s">
        <v>12</v>
      </c>
      <c r="B323" s="10" t="s">
        <v>82</v>
      </c>
      <c r="C323" s="10" t="s">
        <v>2805</v>
      </c>
      <c r="D323" s="11" t="str">
        <f t="shared" si="1"/>
        <v>Abrir anúncio ↗</v>
      </c>
      <c r="E323" s="12" t="s">
        <v>2806</v>
      </c>
      <c r="F323" s="10" t="s">
        <v>29</v>
      </c>
      <c r="G323" s="12" t="s">
        <v>2407</v>
      </c>
      <c r="H323" s="12" t="s">
        <v>2809</v>
      </c>
      <c r="I323" s="10"/>
      <c r="J323" s="10"/>
      <c r="K323" s="12"/>
    </row>
    <row r="324" ht="15.75" customHeight="1">
      <c r="A324" s="3" t="s">
        <v>12</v>
      </c>
      <c r="B324" s="3" t="s">
        <v>82</v>
      </c>
      <c r="C324" s="3" t="s">
        <v>2812</v>
      </c>
      <c r="D324" s="8" t="str">
        <f t="shared" si="1"/>
        <v>Abrir anúncio ↗</v>
      </c>
      <c r="E324" s="9" t="s">
        <v>2814</v>
      </c>
      <c r="F324" s="3" t="s">
        <v>29</v>
      </c>
      <c r="G324" s="9" t="s">
        <v>99</v>
      </c>
      <c r="H324" s="9" t="s">
        <v>2762</v>
      </c>
      <c r="I324" s="3"/>
      <c r="J324" s="3"/>
      <c r="K324" s="9"/>
    </row>
    <row r="325" ht="15.75" customHeight="1">
      <c r="A325" s="10" t="s">
        <v>12</v>
      </c>
      <c r="B325" s="10" t="s">
        <v>82</v>
      </c>
      <c r="C325" s="10" t="s">
        <v>2818</v>
      </c>
      <c r="D325" s="11" t="str">
        <f t="shared" si="1"/>
        <v>Abrir anúncio ↗</v>
      </c>
      <c r="E325" s="12" t="s">
        <v>2819</v>
      </c>
      <c r="F325" s="10" t="s">
        <v>29</v>
      </c>
      <c r="G325" s="12" t="s">
        <v>2407</v>
      </c>
      <c r="H325" s="12" t="s">
        <v>2824</v>
      </c>
      <c r="I325" s="10"/>
      <c r="J325" s="10"/>
      <c r="K325" s="12"/>
    </row>
    <row r="326" ht="15.75" customHeight="1">
      <c r="A326" s="3" t="s">
        <v>12</v>
      </c>
      <c r="B326" s="3" t="s">
        <v>82</v>
      </c>
      <c r="C326" s="3" t="s">
        <v>2826</v>
      </c>
      <c r="D326" s="8" t="str">
        <f t="shared" si="1"/>
        <v>Abrir anúncio ↗</v>
      </c>
      <c r="E326" s="9" t="s">
        <v>2829</v>
      </c>
      <c r="F326" s="3" t="s">
        <v>29</v>
      </c>
      <c r="G326" s="9" t="s">
        <v>99</v>
      </c>
      <c r="H326" s="9" t="s">
        <v>2721</v>
      </c>
      <c r="I326" s="3"/>
      <c r="J326" s="3"/>
      <c r="K326" s="9"/>
    </row>
    <row r="327" ht="15.75" customHeight="1">
      <c r="A327" s="10" t="s">
        <v>12</v>
      </c>
      <c r="B327" s="10" t="s">
        <v>82</v>
      </c>
      <c r="C327" s="10" t="s">
        <v>2836</v>
      </c>
      <c r="D327" s="11" t="str">
        <f t="shared" si="1"/>
        <v>Abrir anúncio ↗</v>
      </c>
      <c r="E327" s="12" t="s">
        <v>2839</v>
      </c>
      <c r="F327" s="10" t="s">
        <v>29</v>
      </c>
      <c r="G327" s="12" t="s">
        <v>99</v>
      </c>
      <c r="H327" s="12" t="s">
        <v>2731</v>
      </c>
      <c r="I327" s="10"/>
      <c r="J327" s="10"/>
      <c r="K327" s="12"/>
    </row>
    <row r="328" ht="15.75" customHeight="1">
      <c r="A328" s="3" t="s">
        <v>12</v>
      </c>
      <c r="B328" s="3" t="s">
        <v>82</v>
      </c>
      <c r="C328" s="3" t="s">
        <v>2845</v>
      </c>
      <c r="D328" s="8" t="str">
        <f t="shared" si="1"/>
        <v>Abrir anúncio ↗</v>
      </c>
      <c r="E328" s="9" t="s">
        <v>2847</v>
      </c>
      <c r="F328" s="3" t="s">
        <v>29</v>
      </c>
      <c r="G328" s="9" t="s">
        <v>99</v>
      </c>
      <c r="H328" s="9" t="s">
        <v>2731</v>
      </c>
      <c r="I328" s="3"/>
      <c r="J328" s="3"/>
      <c r="K328" s="9"/>
    </row>
    <row r="329" ht="15.75" customHeight="1">
      <c r="A329" s="10" t="s">
        <v>12</v>
      </c>
      <c r="B329" s="10" t="s">
        <v>82</v>
      </c>
      <c r="C329" s="10" t="s">
        <v>2854</v>
      </c>
      <c r="D329" s="11" t="str">
        <f t="shared" si="1"/>
        <v>Abrir anúncio ↗</v>
      </c>
      <c r="E329" s="12" t="s">
        <v>2858</v>
      </c>
      <c r="F329" s="10" t="s">
        <v>29</v>
      </c>
      <c r="G329" s="12" t="s">
        <v>99</v>
      </c>
      <c r="H329" s="12" t="s">
        <v>2731</v>
      </c>
      <c r="I329" s="10"/>
      <c r="J329" s="10"/>
      <c r="K329" s="12"/>
    </row>
    <row r="330" ht="15.75" customHeight="1">
      <c r="A330" s="3" t="s">
        <v>12</v>
      </c>
      <c r="B330" s="3" t="s">
        <v>82</v>
      </c>
      <c r="C330" s="3" t="s">
        <v>2862</v>
      </c>
      <c r="D330" s="8" t="str">
        <f t="shared" si="1"/>
        <v>Abrir anúncio ↗</v>
      </c>
      <c r="E330" s="9" t="s">
        <v>2866</v>
      </c>
      <c r="F330" s="3" t="s">
        <v>29</v>
      </c>
      <c r="G330" s="9" t="s">
        <v>99</v>
      </c>
      <c r="H330" s="9" t="s">
        <v>2731</v>
      </c>
      <c r="I330" s="3"/>
      <c r="J330" s="3"/>
      <c r="K330" s="9"/>
    </row>
    <row r="331" ht="15.75" customHeight="1">
      <c r="A331" s="10" t="s">
        <v>12</v>
      </c>
      <c r="B331" s="10" t="s">
        <v>82</v>
      </c>
      <c r="C331" s="10" t="s">
        <v>2871</v>
      </c>
      <c r="D331" s="11" t="str">
        <f t="shared" si="1"/>
        <v>Abrir anúncio ↗</v>
      </c>
      <c r="E331" s="12" t="s">
        <v>2874</v>
      </c>
      <c r="F331" s="10" t="s">
        <v>29</v>
      </c>
      <c r="G331" s="12" t="s">
        <v>99</v>
      </c>
      <c r="H331" s="12" t="s">
        <v>2731</v>
      </c>
      <c r="I331" s="10"/>
      <c r="J331" s="10"/>
      <c r="K331" s="12"/>
    </row>
    <row r="332" ht="15.75" customHeight="1">
      <c r="A332" s="3" t="s">
        <v>12</v>
      </c>
      <c r="B332" s="3" t="s">
        <v>82</v>
      </c>
      <c r="C332" s="3" t="s">
        <v>2880</v>
      </c>
      <c r="D332" s="8" t="str">
        <f t="shared" si="1"/>
        <v>Abrir anúncio ↗</v>
      </c>
      <c r="E332" s="9" t="s">
        <v>2882</v>
      </c>
      <c r="F332" s="3" t="s">
        <v>29</v>
      </c>
      <c r="G332" s="9" t="s">
        <v>99</v>
      </c>
      <c r="H332" s="9" t="s">
        <v>2762</v>
      </c>
      <c r="I332" s="3"/>
      <c r="J332" s="3"/>
      <c r="K332" s="9"/>
    </row>
    <row r="333" ht="15.75" customHeight="1">
      <c r="A333" s="10" t="s">
        <v>12</v>
      </c>
      <c r="B333" s="10" t="s">
        <v>82</v>
      </c>
      <c r="C333" s="10" t="s">
        <v>2889</v>
      </c>
      <c r="D333" s="11" t="str">
        <f t="shared" si="1"/>
        <v>Abrir anúncio ↗</v>
      </c>
      <c r="E333" s="12" t="s">
        <v>2891</v>
      </c>
      <c r="F333" s="10" t="s">
        <v>29</v>
      </c>
      <c r="G333" s="12" t="s">
        <v>99</v>
      </c>
      <c r="H333" s="12" t="s">
        <v>2762</v>
      </c>
      <c r="I333" s="10"/>
      <c r="J333" s="10"/>
      <c r="K333" s="12"/>
    </row>
    <row r="334" ht="15.75" customHeight="1">
      <c r="A334" s="3" t="s">
        <v>12</v>
      </c>
      <c r="B334" s="3" t="s">
        <v>82</v>
      </c>
      <c r="C334" s="3" t="s">
        <v>2896</v>
      </c>
      <c r="D334" s="8" t="str">
        <f t="shared" si="1"/>
        <v>Abrir anúncio ↗</v>
      </c>
      <c r="E334" s="9" t="s">
        <v>2898</v>
      </c>
      <c r="F334" s="3" t="s">
        <v>29</v>
      </c>
      <c r="G334" s="9" t="s">
        <v>99</v>
      </c>
      <c r="H334" s="9" t="s">
        <v>2721</v>
      </c>
      <c r="I334" s="3"/>
      <c r="J334" s="3"/>
      <c r="K334" s="9"/>
    </row>
    <row r="335" ht="15.75" customHeight="1">
      <c r="A335" s="10" t="s">
        <v>12</v>
      </c>
      <c r="B335" s="10" t="s">
        <v>82</v>
      </c>
      <c r="C335" s="10" t="s">
        <v>2904</v>
      </c>
      <c r="D335" s="11" t="str">
        <f t="shared" si="1"/>
        <v>Abrir anúncio ↗</v>
      </c>
      <c r="E335" s="12" t="s">
        <v>2906</v>
      </c>
      <c r="F335" s="10" t="s">
        <v>29</v>
      </c>
      <c r="G335" s="12" t="s">
        <v>2407</v>
      </c>
      <c r="H335" s="12" t="s">
        <v>2824</v>
      </c>
      <c r="I335" s="10"/>
      <c r="J335" s="10"/>
      <c r="K335" s="12"/>
    </row>
    <row r="336" ht="15.75" customHeight="1">
      <c r="A336" s="3" t="s">
        <v>12</v>
      </c>
      <c r="B336" s="3" t="s">
        <v>82</v>
      </c>
      <c r="C336" s="3" t="s">
        <v>2911</v>
      </c>
      <c r="D336" s="8" t="str">
        <f t="shared" si="1"/>
        <v>Abrir anúncio ↗</v>
      </c>
      <c r="E336" s="9" t="s">
        <v>2913</v>
      </c>
      <c r="F336" s="3" t="s">
        <v>29</v>
      </c>
      <c r="G336" s="9" t="s">
        <v>99</v>
      </c>
      <c r="H336" s="9" t="s">
        <v>2762</v>
      </c>
      <c r="I336" s="3"/>
      <c r="J336" s="3"/>
      <c r="K336" s="9"/>
    </row>
    <row r="337" ht="15.75" customHeight="1">
      <c r="A337" s="10" t="s">
        <v>12</v>
      </c>
      <c r="B337" s="10" t="s">
        <v>82</v>
      </c>
      <c r="C337" s="10" t="s">
        <v>2920</v>
      </c>
      <c r="D337" s="11" t="str">
        <f t="shared" si="1"/>
        <v>Abrir anúncio ↗</v>
      </c>
      <c r="E337" s="12" t="s">
        <v>2923</v>
      </c>
      <c r="F337" s="10" t="s">
        <v>29</v>
      </c>
      <c r="G337" s="12" t="s">
        <v>2407</v>
      </c>
      <c r="H337" s="12" t="s">
        <v>2824</v>
      </c>
      <c r="I337" s="10"/>
      <c r="J337" s="10"/>
      <c r="K337" s="12"/>
    </row>
    <row r="338" ht="15.75" customHeight="1">
      <c r="A338" s="3" t="s">
        <v>12</v>
      </c>
      <c r="B338" s="3" t="s">
        <v>82</v>
      </c>
      <c r="C338" s="3" t="s">
        <v>2929</v>
      </c>
      <c r="D338" s="8" t="str">
        <f t="shared" si="1"/>
        <v>Abrir anúncio ↗</v>
      </c>
      <c r="E338" s="9" t="s">
        <v>2931</v>
      </c>
      <c r="F338" s="3" t="s">
        <v>29</v>
      </c>
      <c r="G338" s="9" t="s">
        <v>2407</v>
      </c>
      <c r="H338" s="9" t="s">
        <v>2824</v>
      </c>
      <c r="I338" s="3"/>
      <c r="J338" s="3"/>
      <c r="K338" s="9"/>
    </row>
    <row r="339" ht="15.75" customHeight="1">
      <c r="A339" s="10" t="s">
        <v>12</v>
      </c>
      <c r="B339" s="10" t="s">
        <v>82</v>
      </c>
      <c r="C339" s="10" t="s">
        <v>2937</v>
      </c>
      <c r="D339" s="11" t="str">
        <f t="shared" si="1"/>
        <v>Abrir anúncio ↗</v>
      </c>
      <c r="E339" s="12" t="s">
        <v>2939</v>
      </c>
      <c r="F339" s="10" t="s">
        <v>29</v>
      </c>
      <c r="G339" s="12" t="s">
        <v>2407</v>
      </c>
      <c r="H339" s="12" t="s">
        <v>2809</v>
      </c>
      <c r="I339" s="10"/>
      <c r="J339" s="10"/>
      <c r="K339" s="12"/>
    </row>
    <row r="340" ht="15.75" customHeight="1">
      <c r="A340" s="3" t="s">
        <v>12</v>
      </c>
      <c r="B340" s="3" t="s">
        <v>82</v>
      </c>
      <c r="C340" s="3" t="s">
        <v>2945</v>
      </c>
      <c r="D340" s="8" t="str">
        <f t="shared" si="1"/>
        <v>Abrir anúncio ↗</v>
      </c>
      <c r="E340" s="9" t="s">
        <v>2947</v>
      </c>
      <c r="F340" s="3" t="s">
        <v>29</v>
      </c>
      <c r="G340" s="9" t="s">
        <v>2407</v>
      </c>
      <c r="H340" s="9" t="s">
        <v>2824</v>
      </c>
      <c r="I340" s="3"/>
      <c r="J340" s="3"/>
      <c r="K340" s="9"/>
    </row>
    <row r="341" ht="15.75" customHeight="1">
      <c r="A341" s="10" t="s">
        <v>12</v>
      </c>
      <c r="B341" s="10" t="s">
        <v>82</v>
      </c>
      <c r="C341" s="10" t="s">
        <v>2954</v>
      </c>
      <c r="D341" s="11" t="str">
        <f t="shared" si="1"/>
        <v>Abrir anúncio ↗</v>
      </c>
      <c r="E341" s="12" t="s">
        <v>2955</v>
      </c>
      <c r="F341" s="10" t="s">
        <v>29</v>
      </c>
      <c r="G341" s="12" t="s">
        <v>99</v>
      </c>
      <c r="H341" s="12" t="s">
        <v>2731</v>
      </c>
      <c r="I341" s="10"/>
      <c r="J341" s="10"/>
      <c r="K341" s="12"/>
    </row>
    <row r="342" ht="15.75" customHeight="1">
      <c r="A342" s="3" t="s">
        <v>12</v>
      </c>
      <c r="B342" s="3" t="s">
        <v>82</v>
      </c>
      <c r="C342" s="3" t="s">
        <v>2961</v>
      </c>
      <c r="D342" s="8" t="str">
        <f t="shared" si="1"/>
        <v>Abrir anúncio ↗</v>
      </c>
      <c r="E342" s="9" t="s">
        <v>2962</v>
      </c>
      <c r="F342" s="3" t="s">
        <v>29</v>
      </c>
      <c r="G342" s="9" t="s">
        <v>99</v>
      </c>
      <c r="H342" s="9" t="s">
        <v>2731</v>
      </c>
      <c r="I342" s="3"/>
      <c r="J342" s="3"/>
      <c r="K342" s="9"/>
    </row>
    <row r="343" ht="15.75" customHeight="1">
      <c r="A343" s="10" t="s">
        <v>12</v>
      </c>
      <c r="B343" s="10" t="s">
        <v>82</v>
      </c>
      <c r="C343" s="10" t="s">
        <v>2970</v>
      </c>
      <c r="D343" s="11" t="str">
        <f t="shared" si="1"/>
        <v>Abrir anúncio ↗</v>
      </c>
      <c r="E343" s="12" t="s">
        <v>2971</v>
      </c>
      <c r="F343" s="10" t="s">
        <v>29</v>
      </c>
      <c r="G343" s="12" t="s">
        <v>99</v>
      </c>
      <c r="H343" s="12" t="s">
        <v>2762</v>
      </c>
      <c r="I343" s="10"/>
      <c r="J343" s="10"/>
      <c r="K343" s="12"/>
    </row>
    <row r="344" ht="15.75" customHeight="1">
      <c r="A344" s="3" t="s">
        <v>12</v>
      </c>
      <c r="B344" s="3" t="s">
        <v>82</v>
      </c>
      <c r="C344" s="3" t="s">
        <v>2978</v>
      </c>
      <c r="D344" s="8" t="str">
        <f t="shared" si="1"/>
        <v>Abrir anúncio ↗</v>
      </c>
      <c r="E344" s="9" t="s">
        <v>2982</v>
      </c>
      <c r="F344" s="3" t="s">
        <v>29</v>
      </c>
      <c r="G344" s="9" t="s">
        <v>99</v>
      </c>
      <c r="H344" s="9" t="s">
        <v>2731</v>
      </c>
      <c r="I344" s="3"/>
      <c r="J344" s="3"/>
      <c r="K344" s="9"/>
    </row>
    <row r="345" ht="15.75" customHeight="1">
      <c r="A345" s="10" t="s">
        <v>12</v>
      </c>
      <c r="B345" s="10" t="s">
        <v>82</v>
      </c>
      <c r="C345" s="10" t="s">
        <v>2989</v>
      </c>
      <c r="D345" s="11" t="str">
        <f t="shared" si="1"/>
        <v>Abrir anúncio ↗</v>
      </c>
      <c r="E345" s="12" t="s">
        <v>2991</v>
      </c>
      <c r="F345" s="10" t="s">
        <v>29</v>
      </c>
      <c r="G345" s="12" t="s">
        <v>2407</v>
      </c>
      <c r="H345" s="12" t="s">
        <v>2824</v>
      </c>
      <c r="I345" s="10"/>
      <c r="J345" s="10"/>
      <c r="K345" s="12"/>
    </row>
    <row r="346" ht="15.75" customHeight="1">
      <c r="A346" s="3" t="s">
        <v>12</v>
      </c>
      <c r="B346" s="3" t="s">
        <v>82</v>
      </c>
      <c r="C346" s="3" t="s">
        <v>2997</v>
      </c>
      <c r="D346" s="8" t="str">
        <f t="shared" si="1"/>
        <v>Abrir anúncio ↗</v>
      </c>
      <c r="E346" s="9" t="s">
        <v>3000</v>
      </c>
      <c r="F346" s="3" t="s">
        <v>29</v>
      </c>
      <c r="G346" s="9" t="s">
        <v>99</v>
      </c>
      <c r="H346" s="9" t="s">
        <v>2731</v>
      </c>
      <c r="I346" s="3"/>
      <c r="J346" s="3"/>
      <c r="K346" s="9"/>
    </row>
    <row r="347" ht="15.75" customHeight="1">
      <c r="A347" s="10" t="s">
        <v>12</v>
      </c>
      <c r="B347" s="10" t="s">
        <v>82</v>
      </c>
      <c r="C347" s="10" t="s">
        <v>3005</v>
      </c>
      <c r="D347" s="11" t="str">
        <f t="shared" si="1"/>
        <v>Abrir anúncio ↗</v>
      </c>
      <c r="E347" s="12" t="s">
        <v>3008</v>
      </c>
      <c r="F347" s="10" t="s">
        <v>29</v>
      </c>
      <c r="G347" s="12" t="s">
        <v>99</v>
      </c>
      <c r="H347" s="12" t="s">
        <v>2731</v>
      </c>
      <c r="I347" s="10"/>
      <c r="J347" s="10"/>
      <c r="K347" s="12"/>
    </row>
    <row r="348" ht="15.75" customHeight="1">
      <c r="A348" s="3" t="s">
        <v>12</v>
      </c>
      <c r="B348" s="3" t="s">
        <v>82</v>
      </c>
      <c r="C348" s="3" t="s">
        <v>3015</v>
      </c>
      <c r="D348" s="8" t="str">
        <f t="shared" si="1"/>
        <v>Abrir anúncio ↗</v>
      </c>
      <c r="E348" s="9" t="s">
        <v>3016</v>
      </c>
      <c r="F348" s="3" t="s">
        <v>86</v>
      </c>
      <c r="G348" s="9" t="s">
        <v>99</v>
      </c>
      <c r="H348" s="9" t="s">
        <v>2731</v>
      </c>
      <c r="I348" s="3"/>
      <c r="J348" s="3"/>
      <c r="K348" s="9"/>
    </row>
    <row r="349" ht="15.75" customHeight="1">
      <c r="A349" s="10" t="s">
        <v>12</v>
      </c>
      <c r="B349" s="10" t="s">
        <v>82</v>
      </c>
      <c r="C349" s="10" t="s">
        <v>3023</v>
      </c>
      <c r="D349" s="11" t="str">
        <f t="shared" si="1"/>
        <v>Abrir anúncio ↗</v>
      </c>
      <c r="E349" s="12" t="s">
        <v>3024</v>
      </c>
      <c r="F349" s="10" t="s">
        <v>29</v>
      </c>
      <c r="G349" s="12" t="s">
        <v>99</v>
      </c>
      <c r="H349" s="12" t="s">
        <v>2762</v>
      </c>
      <c r="I349" s="10"/>
      <c r="J349" s="10"/>
      <c r="K349" s="12"/>
    </row>
    <row r="350" ht="15.75" customHeight="1">
      <c r="A350" s="3" t="s">
        <v>12</v>
      </c>
      <c r="B350" s="3" t="s">
        <v>82</v>
      </c>
      <c r="C350" s="3" t="s">
        <v>3030</v>
      </c>
      <c r="D350" s="8" t="str">
        <f t="shared" si="1"/>
        <v>Abrir anúncio ↗</v>
      </c>
      <c r="E350" s="9" t="s">
        <v>3032</v>
      </c>
      <c r="F350" s="3" t="s">
        <v>29</v>
      </c>
      <c r="G350" s="9" t="s">
        <v>99</v>
      </c>
      <c r="H350" s="9" t="s">
        <v>2762</v>
      </c>
      <c r="I350" s="3"/>
      <c r="J350" s="3"/>
      <c r="K350" s="9"/>
    </row>
    <row r="351" ht="15.75" customHeight="1">
      <c r="A351" s="10" t="s">
        <v>12</v>
      </c>
      <c r="B351" s="10" t="s">
        <v>82</v>
      </c>
      <c r="C351" s="10" t="s">
        <v>3036</v>
      </c>
      <c r="D351" s="11" t="str">
        <f t="shared" si="1"/>
        <v>Abrir anúncio ↗</v>
      </c>
      <c r="E351" s="12" t="s">
        <v>3040</v>
      </c>
      <c r="F351" s="10" t="s">
        <v>29</v>
      </c>
      <c r="G351" s="12" t="s">
        <v>99</v>
      </c>
      <c r="H351" s="12" t="s">
        <v>2721</v>
      </c>
      <c r="I351" s="10"/>
      <c r="J351" s="10"/>
      <c r="K351" s="12"/>
    </row>
    <row r="352" ht="15.75" customHeight="1">
      <c r="A352" s="3" t="s">
        <v>12</v>
      </c>
      <c r="B352" s="3" t="s">
        <v>82</v>
      </c>
      <c r="C352" s="3" t="s">
        <v>3044</v>
      </c>
      <c r="D352" s="8" t="str">
        <f t="shared" si="1"/>
        <v>Abrir anúncio ↗</v>
      </c>
      <c r="E352" s="9" t="s">
        <v>3048</v>
      </c>
      <c r="F352" s="3" t="s">
        <v>29</v>
      </c>
      <c r="G352" s="9" t="s">
        <v>2407</v>
      </c>
      <c r="H352" s="9" t="s">
        <v>3050</v>
      </c>
      <c r="I352" s="3"/>
      <c r="J352" s="3"/>
      <c r="K352" s="9"/>
    </row>
    <row r="353" ht="15.75" customHeight="1">
      <c r="A353" s="10" t="s">
        <v>12</v>
      </c>
      <c r="B353" s="10" t="s">
        <v>82</v>
      </c>
      <c r="C353" s="10" t="s">
        <v>3054</v>
      </c>
      <c r="D353" s="11" t="str">
        <f t="shared" si="1"/>
        <v>Abrir anúncio ↗</v>
      </c>
      <c r="E353" s="12" t="s">
        <v>3056</v>
      </c>
      <c r="F353" s="10" t="s">
        <v>29</v>
      </c>
      <c r="G353" s="12" t="s">
        <v>99</v>
      </c>
      <c r="H353" s="12" t="s">
        <v>2731</v>
      </c>
      <c r="I353" s="10"/>
      <c r="J353" s="10"/>
      <c r="K353" s="12"/>
    </row>
    <row r="354" ht="15.75" customHeight="1">
      <c r="A354" s="3" t="s">
        <v>12</v>
      </c>
      <c r="B354" s="3" t="s">
        <v>82</v>
      </c>
      <c r="C354" s="3" t="s">
        <v>3061</v>
      </c>
      <c r="D354" s="8" t="str">
        <f t="shared" si="1"/>
        <v>Abrir anúncio ↗</v>
      </c>
      <c r="E354" s="9" t="s">
        <v>3064</v>
      </c>
      <c r="F354" s="3" t="s">
        <v>29</v>
      </c>
      <c r="G354" s="9" t="s">
        <v>99</v>
      </c>
      <c r="H354" s="9" t="s">
        <v>2762</v>
      </c>
      <c r="I354" s="3"/>
      <c r="J354" s="3"/>
      <c r="K354" s="9"/>
    </row>
    <row r="355" ht="15.75" customHeight="1">
      <c r="A355" s="10" t="s">
        <v>12</v>
      </c>
      <c r="B355" s="10" t="s">
        <v>82</v>
      </c>
      <c r="C355" s="10" t="s">
        <v>3070</v>
      </c>
      <c r="D355" s="11" t="str">
        <f t="shared" si="1"/>
        <v>Abrir anúncio ↗</v>
      </c>
      <c r="E355" s="12" t="s">
        <v>3073</v>
      </c>
      <c r="F355" s="10" t="s">
        <v>29</v>
      </c>
      <c r="G355" s="12" t="s">
        <v>99</v>
      </c>
      <c r="H355" s="12" t="s">
        <v>2731</v>
      </c>
      <c r="I355" s="10"/>
      <c r="J355" s="10"/>
      <c r="K355" s="12"/>
    </row>
    <row r="356" ht="15.75" customHeight="1">
      <c r="A356" s="3" t="s">
        <v>12</v>
      </c>
      <c r="B356" s="3" t="s">
        <v>82</v>
      </c>
      <c r="C356" s="3" t="s">
        <v>3079</v>
      </c>
      <c r="D356" s="8" t="str">
        <f t="shared" si="1"/>
        <v>Abrir anúncio ↗</v>
      </c>
      <c r="E356" s="9" t="s">
        <v>3083</v>
      </c>
      <c r="F356" s="3" t="s">
        <v>29</v>
      </c>
      <c r="G356" s="9" t="s">
        <v>2407</v>
      </c>
      <c r="H356" s="9" t="s">
        <v>3050</v>
      </c>
      <c r="I356" s="3"/>
      <c r="J356" s="3"/>
      <c r="K356" s="9"/>
    </row>
    <row r="357" ht="15.75" customHeight="1">
      <c r="A357" s="10" t="s">
        <v>12</v>
      </c>
      <c r="B357" s="10" t="s">
        <v>82</v>
      </c>
      <c r="C357" s="10" t="s">
        <v>3086</v>
      </c>
      <c r="D357" s="11" t="str">
        <f t="shared" si="1"/>
        <v>Abrir anúncio ↗</v>
      </c>
      <c r="E357" s="12" t="s">
        <v>3088</v>
      </c>
      <c r="F357" s="10" t="s">
        <v>29</v>
      </c>
      <c r="G357" s="12" t="s">
        <v>2407</v>
      </c>
      <c r="H357" s="12" t="s">
        <v>2824</v>
      </c>
      <c r="I357" s="10"/>
      <c r="J357" s="10"/>
      <c r="K357" s="12"/>
    </row>
    <row r="358" ht="15.75" customHeight="1">
      <c r="A358" s="3" t="s">
        <v>12</v>
      </c>
      <c r="B358" s="3" t="s">
        <v>82</v>
      </c>
      <c r="C358" s="3" t="s">
        <v>3094</v>
      </c>
      <c r="D358" s="8" t="str">
        <f t="shared" si="1"/>
        <v>Abrir anúncio ↗</v>
      </c>
      <c r="E358" s="9" t="s">
        <v>3096</v>
      </c>
      <c r="F358" s="3" t="s">
        <v>29</v>
      </c>
      <c r="G358" s="9" t="s">
        <v>99</v>
      </c>
      <c r="H358" s="9" t="s">
        <v>2721</v>
      </c>
      <c r="I358" s="3"/>
      <c r="J358" s="3"/>
      <c r="K358" s="9"/>
    </row>
    <row r="359" ht="15.75" customHeight="1">
      <c r="A359" s="10" t="s">
        <v>12</v>
      </c>
      <c r="B359" s="10" t="s">
        <v>82</v>
      </c>
      <c r="C359" s="10" t="s">
        <v>3101</v>
      </c>
      <c r="D359" s="11" t="str">
        <f t="shared" si="1"/>
        <v>Abrir anúncio ↗</v>
      </c>
      <c r="E359" s="12" t="s">
        <v>3104</v>
      </c>
      <c r="F359" s="10" t="s">
        <v>29</v>
      </c>
      <c r="G359" s="12" t="s">
        <v>99</v>
      </c>
      <c r="H359" s="12" t="s">
        <v>2721</v>
      </c>
      <c r="I359" s="10"/>
      <c r="J359" s="10"/>
      <c r="K359" s="12"/>
    </row>
    <row r="360" ht="15.75" customHeight="1">
      <c r="A360" s="3" t="s">
        <v>12</v>
      </c>
      <c r="B360" s="3" t="s">
        <v>82</v>
      </c>
      <c r="C360" s="3" t="s">
        <v>3112</v>
      </c>
      <c r="D360" s="8" t="str">
        <f t="shared" si="1"/>
        <v>Abrir anúncio ↗</v>
      </c>
      <c r="E360" s="9" t="s">
        <v>3115</v>
      </c>
      <c r="F360" s="3" t="s">
        <v>29</v>
      </c>
      <c r="G360" s="9" t="s">
        <v>99</v>
      </c>
      <c r="H360" s="9" t="s">
        <v>2762</v>
      </c>
      <c r="I360" s="3"/>
      <c r="J360" s="3"/>
      <c r="K360" s="9"/>
    </row>
    <row r="361" ht="15.75" customHeight="1">
      <c r="A361" s="10" t="s">
        <v>12</v>
      </c>
      <c r="B361" s="10" t="s">
        <v>82</v>
      </c>
      <c r="C361" s="10" t="s">
        <v>3121</v>
      </c>
      <c r="D361" s="11" t="str">
        <f t="shared" si="1"/>
        <v>Abrir anúncio ↗</v>
      </c>
      <c r="E361" s="12" t="s">
        <v>3124</v>
      </c>
      <c r="F361" s="10" t="s">
        <v>29</v>
      </c>
      <c r="G361" s="12" t="s">
        <v>2407</v>
      </c>
      <c r="H361" s="12" t="s">
        <v>2824</v>
      </c>
      <c r="I361" s="10"/>
      <c r="J361" s="10"/>
      <c r="K361" s="12"/>
    </row>
    <row r="362" ht="15.75" customHeight="1">
      <c r="A362" s="3" t="s">
        <v>12</v>
      </c>
      <c r="B362" s="3" t="s">
        <v>82</v>
      </c>
      <c r="C362" s="3" t="s">
        <v>3128</v>
      </c>
      <c r="D362" s="8" t="str">
        <f t="shared" si="1"/>
        <v>Abrir anúncio ↗</v>
      </c>
      <c r="E362" s="9" t="s">
        <v>3130</v>
      </c>
      <c r="F362" s="3" t="s">
        <v>29</v>
      </c>
      <c r="G362" s="9" t="s">
        <v>468</v>
      </c>
      <c r="H362" s="9" t="s">
        <v>469</v>
      </c>
      <c r="I362" s="3"/>
      <c r="J362" s="3"/>
      <c r="K362" s="9"/>
    </row>
    <row r="363" ht="15.75" customHeight="1">
      <c r="A363" s="10" t="s">
        <v>12</v>
      </c>
      <c r="B363" s="10" t="s">
        <v>82</v>
      </c>
      <c r="C363" s="10" t="s">
        <v>3138</v>
      </c>
      <c r="D363" s="11" t="str">
        <f t="shared" si="1"/>
        <v>Abrir anúncio ↗</v>
      </c>
      <c r="E363" s="12" t="s">
        <v>3141</v>
      </c>
      <c r="F363" s="10" t="s">
        <v>29</v>
      </c>
      <c r="G363" s="12" t="s">
        <v>99</v>
      </c>
      <c r="H363" s="12" t="s">
        <v>2762</v>
      </c>
      <c r="I363" s="10"/>
      <c r="J363" s="10"/>
      <c r="K363" s="12"/>
    </row>
    <row r="364" ht="15.75" customHeight="1">
      <c r="A364" s="3" t="s">
        <v>12</v>
      </c>
      <c r="B364" s="3" t="s">
        <v>82</v>
      </c>
      <c r="C364" s="3" t="s">
        <v>3147</v>
      </c>
      <c r="D364" s="8" t="str">
        <f t="shared" si="1"/>
        <v>Abrir anúncio ↗</v>
      </c>
      <c r="E364" s="9" t="s">
        <v>3148</v>
      </c>
      <c r="F364" s="3" t="s">
        <v>29</v>
      </c>
      <c r="G364" s="9" t="s">
        <v>2407</v>
      </c>
      <c r="H364" s="9" t="s">
        <v>2809</v>
      </c>
      <c r="I364" s="3"/>
      <c r="J364" s="3"/>
      <c r="K364" s="9"/>
    </row>
    <row r="365" ht="15.75" customHeight="1">
      <c r="A365" s="10" t="s">
        <v>12</v>
      </c>
      <c r="B365" s="10" t="s">
        <v>82</v>
      </c>
      <c r="C365" s="10" t="s">
        <v>3155</v>
      </c>
      <c r="D365" s="11" t="str">
        <f t="shared" si="1"/>
        <v>Abrir anúncio ↗</v>
      </c>
      <c r="E365" s="12" t="s">
        <v>3156</v>
      </c>
      <c r="F365" s="10" t="s">
        <v>29</v>
      </c>
      <c r="G365" s="12" t="s">
        <v>99</v>
      </c>
      <c r="H365" s="12" t="s">
        <v>2762</v>
      </c>
      <c r="I365" s="10"/>
      <c r="J365" s="10"/>
      <c r="K365" s="12"/>
    </row>
    <row r="366" ht="15.75" customHeight="1">
      <c r="A366" s="3" t="s">
        <v>12</v>
      </c>
      <c r="B366" s="3" t="s">
        <v>82</v>
      </c>
      <c r="C366" s="3" t="s">
        <v>3164</v>
      </c>
      <c r="D366" s="8" t="str">
        <f t="shared" si="1"/>
        <v>Abrir anúncio ↗</v>
      </c>
      <c r="E366" s="9" t="s">
        <v>3166</v>
      </c>
      <c r="F366" s="3" t="s">
        <v>29</v>
      </c>
      <c r="G366" s="9" t="s">
        <v>99</v>
      </c>
      <c r="H366" s="9" t="s">
        <v>2731</v>
      </c>
      <c r="I366" s="3"/>
      <c r="J366" s="3"/>
      <c r="K366" s="9"/>
    </row>
    <row r="367" ht="15.75" customHeight="1">
      <c r="A367" s="10" t="s">
        <v>12</v>
      </c>
      <c r="B367" s="10" t="s">
        <v>82</v>
      </c>
      <c r="C367" s="10" t="s">
        <v>3173</v>
      </c>
      <c r="D367" s="11" t="str">
        <f t="shared" si="1"/>
        <v>Abrir anúncio ↗</v>
      </c>
      <c r="E367" s="12" t="s">
        <v>3174</v>
      </c>
      <c r="F367" s="10" t="s">
        <v>29</v>
      </c>
      <c r="G367" s="12" t="s">
        <v>99</v>
      </c>
      <c r="H367" s="12" t="s">
        <v>2731</v>
      </c>
      <c r="I367" s="10"/>
      <c r="J367" s="10"/>
      <c r="K367" s="12"/>
    </row>
    <row r="368" ht="15.75" customHeight="1">
      <c r="A368" s="3" t="s">
        <v>12</v>
      </c>
      <c r="B368" s="3" t="s">
        <v>82</v>
      </c>
      <c r="C368" s="3" t="s">
        <v>3179</v>
      </c>
      <c r="D368" s="8" t="str">
        <f t="shared" si="1"/>
        <v>Abrir anúncio ↗</v>
      </c>
      <c r="E368" s="9" t="s">
        <v>3182</v>
      </c>
      <c r="F368" s="3" t="s">
        <v>29</v>
      </c>
      <c r="G368" s="9" t="s">
        <v>2407</v>
      </c>
      <c r="H368" s="9" t="s">
        <v>3050</v>
      </c>
      <c r="I368" s="3"/>
      <c r="J368" s="3"/>
      <c r="K368" s="9"/>
    </row>
    <row r="369" ht="15.75" customHeight="1">
      <c r="A369" s="10" t="s">
        <v>12</v>
      </c>
      <c r="B369" s="10" t="s">
        <v>82</v>
      </c>
      <c r="C369" s="10" t="s">
        <v>3189</v>
      </c>
      <c r="D369" s="11" t="str">
        <f t="shared" si="1"/>
        <v>Abrir anúncio ↗</v>
      </c>
      <c r="E369" s="12" t="s">
        <v>3190</v>
      </c>
      <c r="F369" s="10" t="s">
        <v>29</v>
      </c>
      <c r="G369" s="12" t="s">
        <v>99</v>
      </c>
      <c r="H369" s="12" t="s">
        <v>2721</v>
      </c>
      <c r="I369" s="10"/>
      <c r="J369" s="10"/>
      <c r="K369" s="12"/>
    </row>
    <row r="370" ht="15.75" customHeight="1">
      <c r="A370" s="3" t="s">
        <v>12</v>
      </c>
      <c r="B370" s="3" t="s">
        <v>82</v>
      </c>
      <c r="C370" s="3" t="s">
        <v>3198</v>
      </c>
      <c r="D370" s="8" t="str">
        <f t="shared" si="1"/>
        <v>Abrir anúncio ↗</v>
      </c>
      <c r="E370" s="9" t="s">
        <v>3200</v>
      </c>
      <c r="F370" s="3" t="s">
        <v>29</v>
      </c>
      <c r="G370" s="9" t="s">
        <v>2407</v>
      </c>
      <c r="H370" s="9" t="s">
        <v>2809</v>
      </c>
      <c r="I370" s="3"/>
      <c r="J370" s="3"/>
      <c r="K370" s="9"/>
    </row>
    <row r="371" ht="15.75" customHeight="1">
      <c r="A371" s="10" t="s">
        <v>12</v>
      </c>
      <c r="B371" s="10" t="s">
        <v>82</v>
      </c>
      <c r="C371" s="10" t="s">
        <v>3208</v>
      </c>
      <c r="D371" s="11" t="str">
        <f t="shared" si="1"/>
        <v>Abrir anúncio ↗</v>
      </c>
      <c r="E371" s="12" t="s">
        <v>3210</v>
      </c>
      <c r="F371" s="10" t="s">
        <v>29</v>
      </c>
      <c r="G371" s="12" t="s">
        <v>99</v>
      </c>
      <c r="H371" s="12" t="s">
        <v>2762</v>
      </c>
      <c r="I371" s="10"/>
      <c r="J371" s="10"/>
      <c r="K371" s="12"/>
    </row>
    <row r="372" ht="15.75" customHeight="1">
      <c r="A372" s="3" t="s">
        <v>12</v>
      </c>
      <c r="B372" s="3" t="s">
        <v>82</v>
      </c>
      <c r="C372" s="3" t="s">
        <v>3216</v>
      </c>
      <c r="D372" s="8" t="str">
        <f t="shared" si="1"/>
        <v>Abrir anúncio ↗</v>
      </c>
      <c r="E372" s="9" t="s">
        <v>3219</v>
      </c>
      <c r="F372" s="3" t="s">
        <v>29</v>
      </c>
      <c r="G372" s="9" t="s">
        <v>99</v>
      </c>
      <c r="H372" s="9" t="s">
        <v>2731</v>
      </c>
      <c r="I372" s="3"/>
      <c r="J372" s="3"/>
      <c r="K372" s="9"/>
    </row>
    <row r="373" ht="15.75" customHeight="1">
      <c r="A373" s="10" t="s">
        <v>12</v>
      </c>
      <c r="B373" s="10" t="s">
        <v>82</v>
      </c>
      <c r="C373" s="10" t="s">
        <v>3224</v>
      </c>
      <c r="D373" s="11" t="str">
        <f t="shared" si="1"/>
        <v>Abrir anúncio ↗</v>
      </c>
      <c r="E373" s="12" t="s">
        <v>3228</v>
      </c>
      <c r="F373" s="10" t="s">
        <v>29</v>
      </c>
      <c r="G373" s="12" t="s">
        <v>468</v>
      </c>
      <c r="H373" s="12" t="s">
        <v>469</v>
      </c>
      <c r="I373" s="10"/>
      <c r="J373" s="10"/>
      <c r="K373" s="12"/>
    </row>
    <row r="374" ht="15.75" customHeight="1">
      <c r="A374" s="3" t="s">
        <v>12</v>
      </c>
      <c r="B374" s="3" t="s">
        <v>82</v>
      </c>
      <c r="C374" s="3" t="s">
        <v>3232</v>
      </c>
      <c r="D374" s="8" t="str">
        <f t="shared" si="1"/>
        <v>Abrir anúncio ↗</v>
      </c>
      <c r="E374" s="9" t="s">
        <v>3236</v>
      </c>
      <c r="F374" s="3" t="s">
        <v>29</v>
      </c>
      <c r="G374" s="9" t="s">
        <v>468</v>
      </c>
      <c r="H374" s="9" t="s">
        <v>2260</v>
      </c>
      <c r="I374" s="3"/>
      <c r="J374" s="3"/>
      <c r="K374" s="9"/>
    </row>
    <row r="375" ht="15.75" customHeight="1">
      <c r="A375" s="10" t="s">
        <v>12</v>
      </c>
      <c r="B375" s="10" t="s">
        <v>82</v>
      </c>
      <c r="C375" s="10" t="s">
        <v>3242</v>
      </c>
      <c r="D375" s="11" t="str">
        <f t="shared" si="1"/>
        <v>Abrir anúncio ↗</v>
      </c>
      <c r="E375" s="12" t="s">
        <v>3244</v>
      </c>
      <c r="F375" s="10" t="s">
        <v>29</v>
      </c>
      <c r="G375" s="12" t="s">
        <v>468</v>
      </c>
      <c r="H375" s="12" t="s">
        <v>2260</v>
      </c>
      <c r="I375" s="10"/>
      <c r="J375" s="10"/>
      <c r="K375" s="12"/>
    </row>
    <row r="376" ht="15.75" customHeight="1">
      <c r="A376" s="3" t="s">
        <v>12</v>
      </c>
      <c r="B376" s="3" t="s">
        <v>82</v>
      </c>
      <c r="C376" s="3" t="s">
        <v>3251</v>
      </c>
      <c r="D376" s="8" t="str">
        <f t="shared" si="1"/>
        <v>Abrir anúncio ↗</v>
      </c>
      <c r="E376" s="9" t="s">
        <v>3253</v>
      </c>
      <c r="F376" s="3" t="s">
        <v>29</v>
      </c>
      <c r="G376" s="9" t="s">
        <v>468</v>
      </c>
      <c r="H376" s="9" t="s">
        <v>2260</v>
      </c>
      <c r="I376" s="3"/>
      <c r="J376" s="3"/>
      <c r="K376" s="9"/>
    </row>
    <row r="377" ht="15.75" customHeight="1">
      <c r="A377" s="10" t="s">
        <v>12</v>
      </c>
      <c r="B377" s="10" t="s">
        <v>82</v>
      </c>
      <c r="C377" s="10" t="s">
        <v>3260</v>
      </c>
      <c r="D377" s="11" t="str">
        <f t="shared" si="1"/>
        <v>Abrir anúncio ↗</v>
      </c>
      <c r="E377" s="12" t="s">
        <v>3263</v>
      </c>
      <c r="F377" s="10" t="s">
        <v>29</v>
      </c>
      <c r="G377" s="12" t="s">
        <v>99</v>
      </c>
      <c r="H377" s="12" t="s">
        <v>143</v>
      </c>
      <c r="I377" s="10"/>
      <c r="J377" s="10"/>
      <c r="K377" s="12"/>
    </row>
    <row r="378" ht="15.75" customHeight="1">
      <c r="A378" s="3" t="s">
        <v>12</v>
      </c>
      <c r="B378" s="3" t="s">
        <v>82</v>
      </c>
      <c r="C378" s="3" t="s">
        <v>3269</v>
      </c>
      <c r="D378" s="8" t="str">
        <f t="shared" si="1"/>
        <v>Abrir anúncio ↗</v>
      </c>
      <c r="E378" s="9" t="s">
        <v>3271</v>
      </c>
      <c r="F378" s="3" t="s">
        <v>29</v>
      </c>
      <c r="G378" s="9" t="s">
        <v>99</v>
      </c>
      <c r="H378" s="9" t="s">
        <v>143</v>
      </c>
      <c r="I378" s="3"/>
      <c r="J378" s="3"/>
      <c r="K378" s="9"/>
    </row>
    <row r="379" ht="15.75" customHeight="1">
      <c r="A379" s="10" t="s">
        <v>12</v>
      </c>
      <c r="B379" s="10" t="s">
        <v>82</v>
      </c>
      <c r="C379" s="10" t="s">
        <v>3278</v>
      </c>
      <c r="D379" s="11" t="str">
        <f t="shared" si="1"/>
        <v>Abrir anúncio ↗</v>
      </c>
      <c r="E379" s="12" t="s">
        <v>3280</v>
      </c>
      <c r="F379" s="10" t="s">
        <v>29</v>
      </c>
      <c r="G379" s="12" t="s">
        <v>99</v>
      </c>
      <c r="H379" s="12" t="s">
        <v>143</v>
      </c>
      <c r="I379" s="10"/>
      <c r="J379" s="10"/>
      <c r="K379" s="12"/>
    </row>
    <row r="380" ht="15.75" customHeight="1">
      <c r="A380" s="3" t="s">
        <v>12</v>
      </c>
      <c r="B380" s="3" t="s">
        <v>82</v>
      </c>
      <c r="C380" s="3" t="s">
        <v>3285</v>
      </c>
      <c r="D380" s="8" t="str">
        <f t="shared" si="1"/>
        <v>Abrir anúncio ↗</v>
      </c>
      <c r="E380" s="9" t="s">
        <v>3289</v>
      </c>
      <c r="F380" s="3" t="s">
        <v>29</v>
      </c>
      <c r="G380" s="9" t="s">
        <v>468</v>
      </c>
      <c r="H380" s="9" t="s">
        <v>469</v>
      </c>
      <c r="I380" s="3"/>
      <c r="J380" s="3"/>
      <c r="K380" s="9"/>
    </row>
    <row r="381" ht="15.75" customHeight="1">
      <c r="A381" s="10" t="s">
        <v>12</v>
      </c>
      <c r="B381" s="10" t="s">
        <v>82</v>
      </c>
      <c r="C381" s="10" t="s">
        <v>3296</v>
      </c>
      <c r="D381" s="11" t="str">
        <f t="shared" si="1"/>
        <v>Abrir anúncio ↗</v>
      </c>
      <c r="E381" s="12" t="s">
        <v>3299</v>
      </c>
      <c r="F381" s="10" t="s">
        <v>29</v>
      </c>
      <c r="G381" s="12" t="s">
        <v>468</v>
      </c>
      <c r="H381" s="12" t="s">
        <v>2260</v>
      </c>
      <c r="I381" s="10"/>
      <c r="J381" s="10"/>
      <c r="K381" s="12"/>
    </row>
    <row r="382" ht="15.75" customHeight="1">
      <c r="A382" s="3" t="s">
        <v>12</v>
      </c>
      <c r="B382" s="3" t="s">
        <v>82</v>
      </c>
      <c r="C382" s="3" t="s">
        <v>3306</v>
      </c>
      <c r="D382" s="8" t="str">
        <f t="shared" si="1"/>
        <v>Abrir anúncio ↗</v>
      </c>
      <c r="E382" s="9" t="s">
        <v>3307</v>
      </c>
      <c r="F382" s="3" t="s">
        <v>29</v>
      </c>
      <c r="G382" s="9" t="s">
        <v>468</v>
      </c>
      <c r="H382" s="9" t="s">
        <v>2260</v>
      </c>
      <c r="I382" s="3"/>
      <c r="J382" s="3"/>
      <c r="K382" s="9"/>
    </row>
    <row r="383" ht="15.75" customHeight="1">
      <c r="A383" s="10" t="s">
        <v>12</v>
      </c>
      <c r="B383" s="10" t="s">
        <v>82</v>
      </c>
      <c r="C383" s="10" t="s">
        <v>3315</v>
      </c>
      <c r="D383" s="11" t="str">
        <f t="shared" si="1"/>
        <v>Abrir anúncio ↗</v>
      </c>
      <c r="E383" s="12" t="s">
        <v>3317</v>
      </c>
      <c r="F383" s="10" t="s">
        <v>29</v>
      </c>
      <c r="G383" s="12" t="s">
        <v>468</v>
      </c>
      <c r="H383" s="12" t="s">
        <v>2260</v>
      </c>
      <c r="I383" s="10"/>
      <c r="J383" s="10"/>
      <c r="K383" s="12"/>
    </row>
    <row r="384" ht="15.75" customHeight="1">
      <c r="A384" s="3" t="s">
        <v>12</v>
      </c>
      <c r="B384" s="3" t="s">
        <v>82</v>
      </c>
      <c r="C384" s="3" t="s">
        <v>3323</v>
      </c>
      <c r="D384" s="8" t="str">
        <f t="shared" si="1"/>
        <v>Abrir anúncio ↗</v>
      </c>
      <c r="E384" s="9" t="s">
        <v>3327</v>
      </c>
      <c r="F384" s="3" t="s">
        <v>29</v>
      </c>
      <c r="G384" s="9" t="s">
        <v>468</v>
      </c>
      <c r="H384" s="9" t="s">
        <v>469</v>
      </c>
      <c r="I384" s="3"/>
      <c r="J384" s="3"/>
      <c r="K384" s="9"/>
    </row>
    <row r="385" ht="15.75" customHeight="1">
      <c r="A385" s="10" t="s">
        <v>12</v>
      </c>
      <c r="B385" s="10" t="s">
        <v>82</v>
      </c>
      <c r="C385" s="10" t="s">
        <v>3335</v>
      </c>
      <c r="D385" s="11" t="str">
        <f t="shared" si="1"/>
        <v>Abrir anúncio ↗</v>
      </c>
      <c r="E385" s="12" t="s">
        <v>3337</v>
      </c>
      <c r="F385" s="10" t="s">
        <v>29</v>
      </c>
      <c r="G385" s="12" t="s">
        <v>468</v>
      </c>
      <c r="H385" s="12" t="s">
        <v>469</v>
      </c>
      <c r="I385" s="10"/>
      <c r="J385" s="10"/>
      <c r="K385" s="12"/>
    </row>
    <row r="386" ht="15.75" customHeight="1">
      <c r="A386" s="3" t="s">
        <v>12</v>
      </c>
      <c r="B386" s="3" t="s">
        <v>82</v>
      </c>
      <c r="C386" s="3" t="s">
        <v>3342</v>
      </c>
      <c r="D386" s="8" t="str">
        <f t="shared" si="1"/>
        <v>Abrir anúncio ↗</v>
      </c>
      <c r="E386" s="9" t="s">
        <v>3346</v>
      </c>
      <c r="F386" s="3" t="s">
        <v>29</v>
      </c>
      <c r="G386" s="9" t="s">
        <v>468</v>
      </c>
      <c r="H386" s="9" t="s">
        <v>469</v>
      </c>
      <c r="I386" s="3"/>
      <c r="J386" s="3"/>
      <c r="K386" s="9"/>
    </row>
    <row r="387" ht="15.75" customHeight="1">
      <c r="A387" s="10" t="s">
        <v>12</v>
      </c>
      <c r="B387" s="10" t="s">
        <v>82</v>
      </c>
      <c r="C387" s="10" t="s">
        <v>3352</v>
      </c>
      <c r="D387" s="11" t="str">
        <f t="shared" si="1"/>
        <v>Abrir anúncio ↗</v>
      </c>
      <c r="E387" s="12" t="s">
        <v>3354</v>
      </c>
      <c r="F387" s="10" t="s">
        <v>29</v>
      </c>
      <c r="G387" s="12" t="s">
        <v>468</v>
      </c>
      <c r="H387" s="12" t="s">
        <v>469</v>
      </c>
      <c r="I387" s="10"/>
      <c r="J387" s="10"/>
      <c r="K387" s="12"/>
    </row>
    <row r="388" ht="15.75" customHeight="1">
      <c r="A388" s="3" t="s">
        <v>12</v>
      </c>
      <c r="B388" s="3" t="s">
        <v>82</v>
      </c>
      <c r="C388" s="3" t="s">
        <v>3360</v>
      </c>
      <c r="D388" s="8" t="str">
        <f t="shared" si="1"/>
        <v>Abrir anúncio ↗</v>
      </c>
      <c r="E388" s="9" t="s">
        <v>3363</v>
      </c>
      <c r="F388" s="3" t="s">
        <v>29</v>
      </c>
      <c r="G388" s="9" t="s">
        <v>99</v>
      </c>
      <c r="H388" s="9" t="s">
        <v>143</v>
      </c>
      <c r="I388" s="3"/>
      <c r="J388" s="3"/>
      <c r="K388" s="9"/>
    </row>
    <row r="389" ht="15.75" customHeight="1">
      <c r="A389" s="10" t="s">
        <v>12</v>
      </c>
      <c r="B389" s="10" t="s">
        <v>82</v>
      </c>
      <c r="C389" s="10" t="s">
        <v>3371</v>
      </c>
      <c r="D389" s="11" t="str">
        <f t="shared" si="1"/>
        <v>Abrir anúncio ↗</v>
      </c>
      <c r="E389" s="12" t="s">
        <v>3373</v>
      </c>
      <c r="F389" s="10" t="s">
        <v>29</v>
      </c>
      <c r="G389" s="12" t="s">
        <v>468</v>
      </c>
      <c r="H389" s="12" t="s">
        <v>469</v>
      </c>
      <c r="I389" s="10"/>
      <c r="J389" s="10"/>
      <c r="K389" s="12"/>
    </row>
    <row r="390" ht="15.75" customHeight="1">
      <c r="A390" s="3" t="s">
        <v>12</v>
      </c>
      <c r="B390" s="3" t="s">
        <v>82</v>
      </c>
      <c r="C390" s="3" t="s">
        <v>3381</v>
      </c>
      <c r="D390" s="8" t="str">
        <f t="shared" si="1"/>
        <v>Abrir anúncio ↗</v>
      </c>
      <c r="E390" s="9" t="s">
        <v>3289</v>
      </c>
      <c r="F390" s="3" t="s">
        <v>29</v>
      </c>
      <c r="G390" s="9" t="s">
        <v>99</v>
      </c>
      <c r="H390" s="9" t="s">
        <v>3384</v>
      </c>
      <c r="I390" s="3"/>
      <c r="J390" s="3"/>
      <c r="K390" s="9"/>
    </row>
    <row r="391" ht="15.75" customHeight="1">
      <c r="A391" s="10" t="s">
        <v>12</v>
      </c>
      <c r="B391" s="10" t="s">
        <v>82</v>
      </c>
      <c r="C391" s="10" t="s">
        <v>3387</v>
      </c>
      <c r="D391" s="11" t="str">
        <f t="shared" si="1"/>
        <v>Abrir anúncio ↗</v>
      </c>
      <c r="E391" s="12" t="s">
        <v>3391</v>
      </c>
      <c r="F391" s="10" t="s">
        <v>29</v>
      </c>
      <c r="G391" s="12" t="s">
        <v>99</v>
      </c>
      <c r="H391" s="12" t="s">
        <v>3384</v>
      </c>
      <c r="I391" s="10"/>
      <c r="J391" s="10"/>
      <c r="K391" s="12"/>
    </row>
    <row r="392" ht="15.75" customHeight="1">
      <c r="A392" s="3" t="s">
        <v>12</v>
      </c>
      <c r="B392" s="3" t="s">
        <v>82</v>
      </c>
      <c r="C392" s="3" t="s">
        <v>3395</v>
      </c>
      <c r="D392" s="8" t="str">
        <f t="shared" si="1"/>
        <v>Abrir anúncio ↗</v>
      </c>
      <c r="E392" s="9" t="s">
        <v>3397</v>
      </c>
      <c r="F392" s="3" t="s">
        <v>29</v>
      </c>
      <c r="G392" s="9" t="s">
        <v>3402</v>
      </c>
      <c r="H392" s="9" t="s">
        <v>3403</v>
      </c>
      <c r="I392" s="3"/>
      <c r="J392" s="3"/>
      <c r="K392" s="9"/>
    </row>
    <row r="393" ht="15.75" customHeight="1">
      <c r="A393" s="10" t="s">
        <v>12</v>
      </c>
      <c r="B393" s="10" t="s">
        <v>82</v>
      </c>
      <c r="C393" s="10" t="s">
        <v>3407</v>
      </c>
      <c r="D393" s="11" t="str">
        <f t="shared" si="1"/>
        <v>Abrir anúncio ↗</v>
      </c>
      <c r="E393" s="12" t="s">
        <v>3408</v>
      </c>
      <c r="F393" s="10" t="s">
        <v>29</v>
      </c>
      <c r="G393" s="12" t="s">
        <v>3411</v>
      </c>
      <c r="H393" s="12" t="s">
        <v>3414</v>
      </c>
      <c r="I393" s="10"/>
      <c r="J393" s="10"/>
      <c r="K393" s="12"/>
    </row>
    <row r="394" ht="15.75" customHeight="1">
      <c r="A394" s="3" t="s">
        <v>12</v>
      </c>
      <c r="B394" s="3" t="s">
        <v>82</v>
      </c>
      <c r="C394" s="3" t="s">
        <v>3419</v>
      </c>
      <c r="D394" s="8" t="str">
        <f t="shared" si="1"/>
        <v>Abrir anúncio ↗</v>
      </c>
      <c r="E394" s="9" t="s">
        <v>3420</v>
      </c>
      <c r="F394" s="3" t="s">
        <v>29</v>
      </c>
      <c r="G394" s="9" t="s">
        <v>3422</v>
      </c>
      <c r="H394" s="9" t="s">
        <v>3425</v>
      </c>
      <c r="I394" s="3"/>
      <c r="J394" s="3"/>
      <c r="K394" s="9"/>
    </row>
    <row r="395" ht="15.75" customHeight="1">
      <c r="A395" s="10" t="s">
        <v>12</v>
      </c>
      <c r="B395" s="10" t="s">
        <v>82</v>
      </c>
      <c r="C395" s="10" t="s">
        <v>3429</v>
      </c>
      <c r="D395" s="11" t="str">
        <f t="shared" si="1"/>
        <v>Abrir anúncio ↗</v>
      </c>
      <c r="E395" s="12" t="s">
        <v>3433</v>
      </c>
      <c r="F395" s="10" t="s">
        <v>29</v>
      </c>
      <c r="G395" s="12" t="s">
        <v>99</v>
      </c>
      <c r="H395" s="12" t="s">
        <v>3384</v>
      </c>
      <c r="I395" s="10"/>
      <c r="J395" s="10"/>
      <c r="K395" s="12"/>
    </row>
    <row r="396" ht="15.75" customHeight="1">
      <c r="A396" s="3" t="s">
        <v>12</v>
      </c>
      <c r="B396" s="3" t="s">
        <v>82</v>
      </c>
      <c r="C396" s="3" t="s">
        <v>3439</v>
      </c>
      <c r="D396" s="8" t="str">
        <f t="shared" si="1"/>
        <v>Abrir anúncio ↗</v>
      </c>
      <c r="E396" s="9" t="s">
        <v>3441</v>
      </c>
      <c r="F396" s="3" t="s">
        <v>29</v>
      </c>
      <c r="G396" s="9" t="s">
        <v>3422</v>
      </c>
      <c r="H396" s="9" t="s">
        <v>3446</v>
      </c>
      <c r="I396" s="3"/>
      <c r="J396" s="3"/>
      <c r="K396" s="9"/>
    </row>
    <row r="397" ht="15.75" customHeight="1">
      <c r="A397" s="10" t="s">
        <v>12</v>
      </c>
      <c r="B397" s="10" t="s">
        <v>82</v>
      </c>
      <c r="C397" s="10" t="s">
        <v>3449</v>
      </c>
      <c r="D397" s="11" t="str">
        <f t="shared" si="1"/>
        <v>Abrir anúncio ↗</v>
      </c>
      <c r="E397" s="12" t="s">
        <v>3452</v>
      </c>
      <c r="F397" s="10" t="s">
        <v>29</v>
      </c>
      <c r="G397" s="12" t="s">
        <v>99</v>
      </c>
      <c r="H397" s="12" t="s">
        <v>3384</v>
      </c>
      <c r="I397" s="10"/>
      <c r="J397" s="10"/>
      <c r="K397" s="12"/>
    </row>
    <row r="398" ht="15.75" customHeight="1">
      <c r="A398" s="3" t="s">
        <v>12</v>
      </c>
      <c r="B398" s="3" t="s">
        <v>82</v>
      </c>
      <c r="C398" s="3" t="s">
        <v>3457</v>
      </c>
      <c r="D398" s="8" t="str">
        <f t="shared" si="1"/>
        <v>Abrir anúncio ↗</v>
      </c>
      <c r="E398" s="9" t="s">
        <v>3460</v>
      </c>
      <c r="F398" s="3" t="s">
        <v>29</v>
      </c>
      <c r="G398" s="9" t="s">
        <v>99</v>
      </c>
      <c r="H398" s="9" t="s">
        <v>3384</v>
      </c>
      <c r="I398" s="3"/>
      <c r="J398" s="3"/>
      <c r="K398" s="9"/>
    </row>
    <row r="399" ht="15.75" customHeight="1">
      <c r="A399" s="10" t="s">
        <v>12</v>
      </c>
      <c r="B399" s="10" t="s">
        <v>82</v>
      </c>
      <c r="C399" s="10" t="s">
        <v>3466</v>
      </c>
      <c r="D399" s="11" t="str">
        <f t="shared" si="1"/>
        <v>Abrir anúncio ↗</v>
      </c>
      <c r="E399" s="12" t="s">
        <v>3468</v>
      </c>
      <c r="F399" s="10" t="s">
        <v>29</v>
      </c>
      <c r="G399" s="12" t="s">
        <v>99</v>
      </c>
      <c r="H399" s="12" t="s">
        <v>3384</v>
      </c>
      <c r="I399" s="10"/>
      <c r="J399" s="10"/>
      <c r="K399" s="12"/>
    </row>
    <row r="400" ht="15.75" customHeight="1">
      <c r="A400" s="3" t="s">
        <v>12</v>
      </c>
      <c r="B400" s="3" t="s">
        <v>82</v>
      </c>
      <c r="C400" s="3" t="s">
        <v>3475</v>
      </c>
      <c r="D400" s="8" t="str">
        <f t="shared" si="1"/>
        <v>Abrir anúncio ↗</v>
      </c>
      <c r="E400" s="9" t="s">
        <v>3476</v>
      </c>
      <c r="F400" s="3" t="s">
        <v>29</v>
      </c>
      <c r="G400" s="9" t="s">
        <v>3422</v>
      </c>
      <c r="H400" s="9" t="s">
        <v>3479</v>
      </c>
      <c r="I400" s="3"/>
      <c r="J400" s="3"/>
      <c r="K400" s="9"/>
    </row>
    <row r="401" ht="15.75" customHeight="1">
      <c r="A401" s="10" t="s">
        <v>12</v>
      </c>
      <c r="B401" s="10" t="s">
        <v>82</v>
      </c>
      <c r="C401" s="10" t="s">
        <v>3483</v>
      </c>
      <c r="D401" s="11" t="str">
        <f t="shared" si="1"/>
        <v>Abrir anúncio ↗</v>
      </c>
      <c r="E401" s="12" t="s">
        <v>3486</v>
      </c>
      <c r="F401" s="10" t="s">
        <v>29</v>
      </c>
      <c r="G401" s="12" t="s">
        <v>99</v>
      </c>
      <c r="H401" s="12" t="s">
        <v>3384</v>
      </c>
      <c r="I401" s="10"/>
      <c r="J401" s="10"/>
      <c r="K401" s="12"/>
    </row>
    <row r="402" ht="15.75" customHeight="1">
      <c r="A402" s="3" t="s">
        <v>12</v>
      </c>
      <c r="B402" s="3" t="s">
        <v>82</v>
      </c>
      <c r="C402" s="3" t="s">
        <v>3492</v>
      </c>
      <c r="D402" s="8" t="str">
        <f t="shared" si="1"/>
        <v>Abrir anúncio ↗</v>
      </c>
      <c r="E402" s="9" t="s">
        <v>3495</v>
      </c>
      <c r="F402" s="3" t="s">
        <v>29</v>
      </c>
      <c r="G402" s="9" t="s">
        <v>99</v>
      </c>
      <c r="H402" s="9" t="s">
        <v>3384</v>
      </c>
      <c r="I402" s="3"/>
      <c r="J402" s="3"/>
      <c r="K402" s="9"/>
    </row>
    <row r="403" ht="15.75" customHeight="1">
      <c r="A403" s="10" t="s">
        <v>12</v>
      </c>
      <c r="B403" s="10" t="s">
        <v>82</v>
      </c>
      <c r="C403" s="10" t="s">
        <v>3503</v>
      </c>
      <c r="D403" s="11" t="str">
        <f t="shared" si="1"/>
        <v>Abrir anúncio ↗</v>
      </c>
      <c r="E403" s="12" t="s">
        <v>3505</v>
      </c>
      <c r="F403" s="10" t="s">
        <v>29</v>
      </c>
      <c r="G403" s="12" t="s">
        <v>3422</v>
      </c>
      <c r="H403" s="12" t="s">
        <v>3509</v>
      </c>
      <c r="I403" s="10"/>
      <c r="J403" s="10"/>
      <c r="K403" s="12"/>
    </row>
    <row r="404" ht="15.75" customHeight="1">
      <c r="A404" s="3" t="s">
        <v>12</v>
      </c>
      <c r="B404" s="3" t="s">
        <v>82</v>
      </c>
      <c r="C404" s="3" t="s">
        <v>3514</v>
      </c>
      <c r="D404" s="8" t="str">
        <f t="shared" si="1"/>
        <v>Abrir anúncio ↗</v>
      </c>
      <c r="E404" s="9" t="s">
        <v>3518</v>
      </c>
      <c r="F404" s="3" t="s">
        <v>29</v>
      </c>
      <c r="G404" s="9" t="s">
        <v>99</v>
      </c>
      <c r="H404" s="9" t="s">
        <v>3384</v>
      </c>
      <c r="I404" s="3"/>
      <c r="J404" s="3"/>
      <c r="K404" s="9"/>
    </row>
    <row r="405" ht="15.75" customHeight="1">
      <c r="A405" s="10" t="s">
        <v>12</v>
      </c>
      <c r="B405" s="10" t="s">
        <v>82</v>
      </c>
      <c r="C405" s="10" t="s">
        <v>3525</v>
      </c>
      <c r="D405" s="11" t="str">
        <f t="shared" si="1"/>
        <v>Abrir anúncio ↗</v>
      </c>
      <c r="E405" s="12" t="s">
        <v>3529</v>
      </c>
      <c r="F405" s="10" t="s">
        <v>29</v>
      </c>
      <c r="G405" s="12" t="s">
        <v>3422</v>
      </c>
      <c r="H405" s="12" t="s">
        <v>3531</v>
      </c>
      <c r="I405" s="10"/>
      <c r="J405" s="10"/>
      <c r="K405" s="12"/>
    </row>
    <row r="406" ht="15.75" customHeight="1">
      <c r="A406" s="3" t="s">
        <v>12</v>
      </c>
      <c r="B406" s="3" t="s">
        <v>82</v>
      </c>
      <c r="C406" s="3" t="s">
        <v>3535</v>
      </c>
      <c r="D406" s="8" t="str">
        <f t="shared" si="1"/>
        <v>Abrir anúncio ↗</v>
      </c>
      <c r="E406" s="9" t="s">
        <v>3538</v>
      </c>
      <c r="F406" s="3" t="s">
        <v>29</v>
      </c>
      <c r="G406" s="9" t="s">
        <v>99</v>
      </c>
      <c r="H406" s="9" t="s">
        <v>3384</v>
      </c>
      <c r="I406" s="3"/>
      <c r="J406" s="3"/>
      <c r="K406" s="9"/>
    </row>
    <row r="407" ht="15.75" customHeight="1">
      <c r="A407" s="10" t="s">
        <v>12</v>
      </c>
      <c r="B407" s="10" t="s">
        <v>82</v>
      </c>
      <c r="C407" s="10" t="s">
        <v>3545</v>
      </c>
      <c r="D407" s="11" t="str">
        <f t="shared" si="1"/>
        <v>Abrir anúncio ↗</v>
      </c>
      <c r="E407" s="12" t="s">
        <v>3548</v>
      </c>
      <c r="F407" s="10" t="s">
        <v>29</v>
      </c>
      <c r="G407" s="12" t="s">
        <v>99</v>
      </c>
      <c r="H407" s="12" t="s">
        <v>560</v>
      </c>
      <c r="I407" s="10"/>
      <c r="J407" s="10"/>
      <c r="K407" s="12"/>
    </row>
    <row r="408" ht="15.75" customHeight="1">
      <c r="A408" s="3" t="s">
        <v>12</v>
      </c>
      <c r="B408" s="3" t="s">
        <v>82</v>
      </c>
      <c r="C408" s="3" t="s">
        <v>3554</v>
      </c>
      <c r="D408" s="8" t="str">
        <f t="shared" si="1"/>
        <v>Abrir anúncio ↗</v>
      </c>
      <c r="E408" s="9" t="s">
        <v>3557</v>
      </c>
      <c r="F408" s="3" t="s">
        <v>29</v>
      </c>
      <c r="G408" s="9" t="s">
        <v>99</v>
      </c>
      <c r="H408" s="9" t="s">
        <v>143</v>
      </c>
      <c r="I408" s="3"/>
      <c r="J408" s="3"/>
      <c r="K408" s="9"/>
    </row>
    <row r="409" ht="15.75" customHeight="1">
      <c r="A409" s="10" t="s">
        <v>12</v>
      </c>
      <c r="B409" s="10" t="s">
        <v>82</v>
      </c>
      <c r="C409" s="10" t="s">
        <v>3563</v>
      </c>
      <c r="D409" s="11" t="str">
        <f t="shared" si="1"/>
        <v>Abrir anúncio ↗</v>
      </c>
      <c r="E409" s="12" t="s">
        <v>3565</v>
      </c>
      <c r="F409" s="10" t="s">
        <v>29</v>
      </c>
      <c r="G409" s="12" t="s">
        <v>99</v>
      </c>
      <c r="H409" s="12" t="s">
        <v>143</v>
      </c>
      <c r="I409" s="10"/>
      <c r="J409" s="10"/>
      <c r="K409" s="12"/>
    </row>
    <row r="410" ht="15.75" customHeight="1">
      <c r="A410" s="3" t="s">
        <v>12</v>
      </c>
      <c r="B410" s="3" t="s">
        <v>82</v>
      </c>
      <c r="C410" s="3" t="s">
        <v>3571</v>
      </c>
      <c r="D410" s="8" t="str">
        <f t="shared" si="1"/>
        <v>Abrir anúncio ↗</v>
      </c>
      <c r="E410" s="9" t="s">
        <v>3574</v>
      </c>
      <c r="F410" s="3" t="s">
        <v>29</v>
      </c>
      <c r="G410" s="9" t="s">
        <v>99</v>
      </c>
      <c r="H410" s="9" t="s">
        <v>143</v>
      </c>
      <c r="I410" s="3"/>
      <c r="J410" s="3"/>
      <c r="K410" s="9"/>
    </row>
    <row r="411" ht="15.75" customHeight="1">
      <c r="A411" s="10" t="s">
        <v>12</v>
      </c>
      <c r="B411" s="10" t="s">
        <v>82</v>
      </c>
      <c r="C411" s="10" t="s">
        <v>3580</v>
      </c>
      <c r="D411" s="11" t="str">
        <f t="shared" si="1"/>
        <v>Abrir anúncio ↗</v>
      </c>
      <c r="E411" s="12" t="s">
        <v>3581</v>
      </c>
      <c r="F411" s="10" t="s">
        <v>29</v>
      </c>
      <c r="G411" s="12" t="s">
        <v>3422</v>
      </c>
      <c r="H411" s="12" t="s">
        <v>3584</v>
      </c>
      <c r="I411" s="10"/>
      <c r="J411" s="10"/>
      <c r="K411" s="12"/>
    </row>
    <row r="412" ht="15.75" customHeight="1">
      <c r="A412" s="3" t="s">
        <v>12</v>
      </c>
      <c r="B412" s="3" t="s">
        <v>82</v>
      </c>
      <c r="C412" s="3" t="s">
        <v>3589</v>
      </c>
      <c r="D412" s="8" t="str">
        <f t="shared" si="1"/>
        <v>Abrir anúncio ↗</v>
      </c>
      <c r="E412" s="9" t="s">
        <v>3593</v>
      </c>
      <c r="F412" s="3" t="s">
        <v>29</v>
      </c>
      <c r="G412" s="9" t="s">
        <v>3422</v>
      </c>
      <c r="H412" s="9" t="s">
        <v>3425</v>
      </c>
      <c r="I412" s="3"/>
      <c r="J412" s="3"/>
      <c r="K412" s="9"/>
    </row>
    <row r="413" ht="15.75" customHeight="1">
      <c r="A413" s="10" t="s">
        <v>12</v>
      </c>
      <c r="B413" s="10" t="s">
        <v>82</v>
      </c>
      <c r="C413" s="10" t="s">
        <v>3600</v>
      </c>
      <c r="D413" s="11" t="str">
        <f t="shared" si="1"/>
        <v>Abrir anúncio ↗</v>
      </c>
      <c r="E413" s="12" t="s">
        <v>3601</v>
      </c>
      <c r="F413" s="10" t="s">
        <v>29</v>
      </c>
      <c r="G413" s="12" t="s">
        <v>3422</v>
      </c>
      <c r="H413" s="12" t="s">
        <v>3604</v>
      </c>
      <c r="I413" s="10"/>
      <c r="J413" s="10"/>
      <c r="K413" s="12"/>
    </row>
    <row r="414" ht="15.75" customHeight="1">
      <c r="A414" s="3" t="s">
        <v>12</v>
      </c>
      <c r="B414" s="3" t="s">
        <v>82</v>
      </c>
      <c r="C414" s="3" t="s">
        <v>3611</v>
      </c>
      <c r="D414" s="8" t="str">
        <f t="shared" si="1"/>
        <v>Abrir anúncio ↗</v>
      </c>
      <c r="E414" s="9" t="s">
        <v>3613</v>
      </c>
      <c r="F414" s="3" t="s">
        <v>29</v>
      </c>
      <c r="G414" s="9" t="s">
        <v>99</v>
      </c>
      <c r="H414" s="9" t="s">
        <v>143</v>
      </c>
      <c r="I414" s="3"/>
      <c r="J414" s="3"/>
      <c r="K414" s="9"/>
    </row>
    <row r="415" ht="15.75" customHeight="1">
      <c r="A415" s="10" t="s">
        <v>12</v>
      </c>
      <c r="B415" s="10" t="s">
        <v>82</v>
      </c>
      <c r="C415" s="10" t="s">
        <v>3620</v>
      </c>
      <c r="D415" s="11" t="str">
        <f t="shared" si="1"/>
        <v>Abrir anúncio ↗</v>
      </c>
      <c r="E415" s="12" t="s">
        <v>3622</v>
      </c>
      <c r="F415" s="10" t="s">
        <v>29</v>
      </c>
      <c r="G415" s="12" t="s">
        <v>99</v>
      </c>
      <c r="H415" s="12" t="s">
        <v>143</v>
      </c>
      <c r="I415" s="10"/>
      <c r="J415" s="10"/>
      <c r="K415" s="12"/>
    </row>
    <row r="416" ht="15.75" customHeight="1">
      <c r="A416" s="3" t="s">
        <v>12</v>
      </c>
      <c r="B416" s="3" t="s">
        <v>82</v>
      </c>
      <c r="C416" s="3" t="s">
        <v>3630</v>
      </c>
      <c r="D416" s="8" t="str">
        <f t="shared" si="1"/>
        <v>Abrir anúncio ↗</v>
      </c>
      <c r="E416" s="9" t="s">
        <v>3631</v>
      </c>
      <c r="F416" s="3" t="s">
        <v>29</v>
      </c>
      <c r="G416" s="9" t="s">
        <v>99</v>
      </c>
      <c r="H416" s="9" t="s">
        <v>143</v>
      </c>
      <c r="I416" s="3"/>
      <c r="J416" s="3"/>
      <c r="K416" s="9"/>
    </row>
    <row r="417" ht="15.75" customHeight="1">
      <c r="A417" s="10" t="s">
        <v>12</v>
      </c>
      <c r="B417" s="10" t="s">
        <v>82</v>
      </c>
      <c r="C417" s="10" t="s">
        <v>3639</v>
      </c>
      <c r="D417" s="11" t="str">
        <f t="shared" si="1"/>
        <v>Abrir anúncio ↗</v>
      </c>
      <c r="E417" s="12" t="s">
        <v>3642</v>
      </c>
      <c r="F417" s="10" t="s">
        <v>29</v>
      </c>
      <c r="G417" s="12" t="s">
        <v>99</v>
      </c>
      <c r="H417" s="12" t="s">
        <v>143</v>
      </c>
      <c r="I417" s="10"/>
      <c r="J417" s="10"/>
      <c r="K417" s="12"/>
    </row>
    <row r="418" ht="15.75" customHeight="1">
      <c r="A418" s="3" t="s">
        <v>12</v>
      </c>
      <c r="B418" s="3" t="s">
        <v>82</v>
      </c>
      <c r="C418" s="3" t="s">
        <v>3649</v>
      </c>
      <c r="D418" s="8" t="str">
        <f t="shared" si="1"/>
        <v>Abrir anúncio ↗</v>
      </c>
      <c r="E418" s="9" t="s">
        <v>3650</v>
      </c>
      <c r="F418" s="3" t="s">
        <v>29</v>
      </c>
      <c r="G418" s="9" t="s">
        <v>99</v>
      </c>
      <c r="H418" s="9" t="s">
        <v>560</v>
      </c>
      <c r="I418" s="3"/>
      <c r="J418" s="3"/>
      <c r="K418" s="9"/>
    </row>
    <row r="419" ht="15.75" customHeight="1">
      <c r="A419" s="10" t="s">
        <v>12</v>
      </c>
      <c r="B419" s="10" t="s">
        <v>82</v>
      </c>
      <c r="C419" s="10" t="s">
        <v>3657</v>
      </c>
      <c r="D419" s="11" t="str">
        <f t="shared" si="1"/>
        <v>Abrir anúncio ↗</v>
      </c>
      <c r="E419" s="12" t="s">
        <v>3661</v>
      </c>
      <c r="F419" s="10" t="s">
        <v>29</v>
      </c>
      <c r="G419" s="12" t="s">
        <v>99</v>
      </c>
      <c r="H419" s="12" t="s">
        <v>143</v>
      </c>
      <c r="I419" s="10"/>
      <c r="J419" s="10"/>
      <c r="K419" s="12"/>
    </row>
    <row r="420" ht="15.75" customHeight="1">
      <c r="A420" s="3" t="s">
        <v>12</v>
      </c>
      <c r="B420" s="3" t="s">
        <v>82</v>
      </c>
      <c r="C420" s="3" t="s">
        <v>3669</v>
      </c>
      <c r="D420" s="8" t="str">
        <f t="shared" si="1"/>
        <v>Abrir anúncio ↗</v>
      </c>
      <c r="E420" s="9" t="s">
        <v>3671</v>
      </c>
      <c r="F420" s="3" t="s">
        <v>29</v>
      </c>
      <c r="G420" s="9" t="s">
        <v>99</v>
      </c>
      <c r="H420" s="9" t="s">
        <v>143</v>
      </c>
      <c r="I420" s="3"/>
      <c r="J420" s="3"/>
      <c r="K420" s="9"/>
    </row>
    <row r="421" ht="15.75" customHeight="1">
      <c r="A421" s="10" t="s">
        <v>12</v>
      </c>
      <c r="B421" s="10" t="s">
        <v>82</v>
      </c>
      <c r="C421" s="10" t="s">
        <v>3680</v>
      </c>
      <c r="D421" s="11" t="str">
        <f t="shared" si="1"/>
        <v>Abrir anúncio ↗</v>
      </c>
      <c r="E421" s="12" t="s">
        <v>3681</v>
      </c>
      <c r="F421" s="10" t="s">
        <v>29</v>
      </c>
      <c r="G421" s="12" t="s">
        <v>99</v>
      </c>
      <c r="H421" s="12" t="s">
        <v>143</v>
      </c>
      <c r="I421" s="10"/>
      <c r="J421" s="10"/>
      <c r="K421" s="12"/>
    </row>
    <row r="422" ht="15.75" customHeight="1">
      <c r="A422" s="3" t="s">
        <v>12</v>
      </c>
      <c r="B422" s="3" t="s">
        <v>82</v>
      </c>
      <c r="C422" s="3" t="s">
        <v>3690</v>
      </c>
      <c r="D422" s="8" t="str">
        <f t="shared" si="1"/>
        <v>Abrir anúncio ↗</v>
      </c>
      <c r="E422" s="9" t="s">
        <v>3694</v>
      </c>
      <c r="F422" s="3" t="s">
        <v>29</v>
      </c>
      <c r="G422" s="9" t="s">
        <v>99</v>
      </c>
      <c r="H422" s="9" t="s">
        <v>143</v>
      </c>
      <c r="I422" s="3"/>
      <c r="J422" s="3"/>
      <c r="K422" s="9"/>
    </row>
    <row r="423" ht="15.75" customHeight="1">
      <c r="A423" s="10" t="s">
        <v>12</v>
      </c>
      <c r="B423" s="10" t="s">
        <v>82</v>
      </c>
      <c r="C423" s="10" t="s">
        <v>3700</v>
      </c>
      <c r="D423" s="11" t="str">
        <f t="shared" si="1"/>
        <v>Abrir anúncio ↗</v>
      </c>
      <c r="E423" s="12" t="s">
        <v>3703</v>
      </c>
      <c r="F423" s="10" t="s">
        <v>29</v>
      </c>
      <c r="G423" s="12" t="s">
        <v>99</v>
      </c>
      <c r="H423" s="12" t="s">
        <v>143</v>
      </c>
      <c r="I423" s="10"/>
      <c r="J423" s="10"/>
      <c r="K423" s="12"/>
    </row>
    <row r="424" ht="15.75" customHeight="1">
      <c r="A424" s="3" t="s">
        <v>12</v>
      </c>
      <c r="B424" s="3" t="s">
        <v>82</v>
      </c>
      <c r="C424" s="3" t="s">
        <v>3708</v>
      </c>
      <c r="D424" s="8" t="str">
        <f t="shared" si="1"/>
        <v>Abrir anúncio ↗</v>
      </c>
      <c r="E424" s="9" t="s">
        <v>3713</v>
      </c>
      <c r="F424" s="3" t="s">
        <v>29</v>
      </c>
      <c r="G424" s="9" t="s">
        <v>99</v>
      </c>
      <c r="H424" s="9" t="s">
        <v>143</v>
      </c>
      <c r="I424" s="3"/>
      <c r="J424" s="3"/>
      <c r="K424" s="9"/>
    </row>
    <row r="425" ht="15.75" customHeight="1">
      <c r="A425" s="10" t="s">
        <v>12</v>
      </c>
      <c r="B425" s="10" t="s">
        <v>82</v>
      </c>
      <c r="C425" s="10" t="s">
        <v>3720</v>
      </c>
      <c r="D425" s="11" t="str">
        <f t="shared" si="1"/>
        <v>Abrir anúncio ↗</v>
      </c>
      <c r="E425" s="12" t="s">
        <v>3723</v>
      </c>
      <c r="F425" s="10" t="s">
        <v>29</v>
      </c>
      <c r="G425" s="12" t="s">
        <v>99</v>
      </c>
      <c r="H425" s="12" t="s">
        <v>143</v>
      </c>
      <c r="I425" s="10"/>
      <c r="J425" s="10"/>
      <c r="K425" s="12"/>
    </row>
    <row r="426" ht="15.75" customHeight="1">
      <c r="A426" s="3" t="s">
        <v>12</v>
      </c>
      <c r="B426" s="3" t="s">
        <v>82</v>
      </c>
      <c r="C426" s="3" t="s">
        <v>3731</v>
      </c>
      <c r="D426" s="8" t="str">
        <f t="shared" si="1"/>
        <v>Abrir anúncio ↗</v>
      </c>
      <c r="E426" s="9" t="s">
        <v>3732</v>
      </c>
      <c r="F426" s="3" t="s">
        <v>29</v>
      </c>
      <c r="G426" s="9" t="s">
        <v>99</v>
      </c>
      <c r="H426" s="9" t="s">
        <v>143</v>
      </c>
      <c r="I426" s="3"/>
      <c r="J426" s="3"/>
      <c r="K426" s="9"/>
    </row>
    <row r="427" ht="15.75" customHeight="1">
      <c r="A427" s="10" t="s">
        <v>12</v>
      </c>
      <c r="B427" s="10" t="s">
        <v>82</v>
      </c>
      <c r="C427" s="10" t="s">
        <v>3740</v>
      </c>
      <c r="D427" s="11" t="str">
        <f t="shared" si="1"/>
        <v>Abrir anúncio ↗</v>
      </c>
      <c r="E427" s="12" t="s">
        <v>3744</v>
      </c>
      <c r="F427" s="10" t="s">
        <v>29</v>
      </c>
      <c r="G427" s="12" t="s">
        <v>99</v>
      </c>
      <c r="H427" s="12" t="s">
        <v>143</v>
      </c>
      <c r="I427" s="10"/>
      <c r="J427" s="10"/>
      <c r="K427" s="12"/>
    </row>
    <row r="428" ht="15.75" customHeight="1">
      <c r="A428" s="3" t="s">
        <v>12</v>
      </c>
      <c r="B428" s="3" t="s">
        <v>82</v>
      </c>
      <c r="C428" s="3" t="s">
        <v>3750</v>
      </c>
      <c r="D428" s="8" t="str">
        <f t="shared" si="1"/>
        <v>Abrir anúncio ↗</v>
      </c>
      <c r="E428" s="9" t="s">
        <v>3753</v>
      </c>
      <c r="F428" s="3" t="s">
        <v>29</v>
      </c>
      <c r="G428" s="9" t="s">
        <v>99</v>
      </c>
      <c r="H428" s="9" t="s">
        <v>143</v>
      </c>
      <c r="I428" s="3"/>
      <c r="J428" s="3"/>
      <c r="K428" s="9"/>
    </row>
    <row r="429" ht="15.75" customHeight="1">
      <c r="A429" s="10" t="s">
        <v>12</v>
      </c>
      <c r="B429" s="10" t="s">
        <v>82</v>
      </c>
      <c r="C429" s="10" t="s">
        <v>3761</v>
      </c>
      <c r="D429" s="11" t="str">
        <f t="shared" si="1"/>
        <v>Abrir anúncio ↗</v>
      </c>
      <c r="E429" s="12" t="s">
        <v>3764</v>
      </c>
      <c r="F429" s="10" t="s">
        <v>29</v>
      </c>
      <c r="G429" s="12" t="s">
        <v>99</v>
      </c>
      <c r="H429" s="12" t="s">
        <v>560</v>
      </c>
      <c r="I429" s="10"/>
      <c r="J429" s="10"/>
      <c r="K429" s="12"/>
    </row>
    <row r="430" ht="15.75" customHeight="1">
      <c r="A430" s="3" t="s">
        <v>12</v>
      </c>
      <c r="B430" s="3" t="s">
        <v>82</v>
      </c>
      <c r="C430" s="3" t="s">
        <v>3772</v>
      </c>
      <c r="D430" s="8" t="str">
        <f t="shared" si="1"/>
        <v>Abrir anúncio ↗</v>
      </c>
      <c r="E430" s="9" t="s">
        <v>3776</v>
      </c>
      <c r="F430" s="3" t="s">
        <v>29</v>
      </c>
      <c r="G430" s="9" t="s">
        <v>99</v>
      </c>
      <c r="H430" s="9" t="s">
        <v>143</v>
      </c>
      <c r="I430" s="3"/>
      <c r="J430" s="3"/>
      <c r="K430" s="9"/>
    </row>
    <row r="431" ht="15.75" customHeight="1">
      <c r="A431" s="10" t="s">
        <v>12</v>
      </c>
      <c r="B431" s="10" t="s">
        <v>82</v>
      </c>
      <c r="C431" s="10" t="s">
        <v>3782</v>
      </c>
      <c r="D431" s="11" t="str">
        <f t="shared" si="1"/>
        <v>Abrir anúncio ↗</v>
      </c>
      <c r="E431" s="12" t="s">
        <v>3785</v>
      </c>
      <c r="F431" s="10" t="s">
        <v>29</v>
      </c>
      <c r="G431" s="12" t="s">
        <v>3788</v>
      </c>
      <c r="H431" s="12" t="s">
        <v>3790</v>
      </c>
      <c r="I431" s="10"/>
      <c r="J431" s="10"/>
      <c r="K431" s="12"/>
    </row>
    <row r="432" ht="15.75" customHeight="1">
      <c r="A432" s="3" t="s">
        <v>12</v>
      </c>
      <c r="B432" s="3" t="s">
        <v>82</v>
      </c>
      <c r="C432" s="3" t="s">
        <v>3794</v>
      </c>
      <c r="D432" s="8" t="str">
        <f t="shared" si="1"/>
        <v>Abrir anúncio ↗</v>
      </c>
      <c r="E432" s="9" t="s">
        <v>3797</v>
      </c>
      <c r="F432" s="3" t="s">
        <v>29</v>
      </c>
      <c r="G432" s="9" t="s">
        <v>3788</v>
      </c>
      <c r="H432" s="9" t="s">
        <v>3790</v>
      </c>
      <c r="I432" s="3"/>
      <c r="J432" s="3"/>
      <c r="K432" s="9"/>
    </row>
    <row r="433" ht="15.75" customHeight="1">
      <c r="A433" s="10" t="s">
        <v>12</v>
      </c>
      <c r="B433" s="10" t="s">
        <v>82</v>
      </c>
      <c r="C433" s="10" t="s">
        <v>3806</v>
      </c>
      <c r="D433" s="11" t="str">
        <f t="shared" si="1"/>
        <v>Abrir anúncio ↗</v>
      </c>
      <c r="E433" s="12" t="s">
        <v>3808</v>
      </c>
      <c r="F433" s="10" t="s">
        <v>29</v>
      </c>
      <c r="G433" s="12" t="s">
        <v>3788</v>
      </c>
      <c r="H433" s="12" t="s">
        <v>3790</v>
      </c>
      <c r="I433" s="10"/>
      <c r="J433" s="10"/>
      <c r="K433" s="12"/>
    </row>
    <row r="434" ht="15.75" customHeight="1">
      <c r="A434" s="3" t="s">
        <v>12</v>
      </c>
      <c r="B434" s="3" t="s">
        <v>82</v>
      </c>
      <c r="C434" s="3" t="s">
        <v>3816</v>
      </c>
      <c r="D434" s="8" t="str">
        <f t="shared" si="1"/>
        <v>Abrir anúncio ↗</v>
      </c>
      <c r="E434" s="9" t="s">
        <v>3818</v>
      </c>
      <c r="F434" s="3" t="s">
        <v>29</v>
      </c>
      <c r="G434" s="9" t="s">
        <v>3788</v>
      </c>
      <c r="H434" s="9" t="s">
        <v>3790</v>
      </c>
      <c r="I434" s="3"/>
      <c r="J434" s="3"/>
      <c r="K434" s="9"/>
    </row>
    <row r="435" ht="15.75" customHeight="1">
      <c r="A435" s="10" t="s">
        <v>12</v>
      </c>
      <c r="B435" s="10" t="s">
        <v>82</v>
      </c>
      <c r="C435" s="10" t="s">
        <v>3826</v>
      </c>
      <c r="D435" s="11" t="str">
        <f t="shared" si="1"/>
        <v>Abrir anúncio ↗</v>
      </c>
      <c r="E435" s="12" t="s">
        <v>3829</v>
      </c>
      <c r="F435" s="10" t="s">
        <v>29</v>
      </c>
      <c r="G435" s="12" t="s">
        <v>3788</v>
      </c>
      <c r="H435" s="12" t="s">
        <v>3790</v>
      </c>
      <c r="I435" s="10"/>
      <c r="J435" s="10"/>
      <c r="K435" s="12"/>
    </row>
    <row r="436" ht="15.75" customHeight="1">
      <c r="A436" s="3" t="s">
        <v>12</v>
      </c>
      <c r="B436" s="3" t="s">
        <v>82</v>
      </c>
      <c r="C436" s="3" t="s">
        <v>3836</v>
      </c>
      <c r="D436" s="8" t="str">
        <f t="shared" si="1"/>
        <v>Abrir anúncio ↗</v>
      </c>
      <c r="E436" s="9" t="s">
        <v>3838</v>
      </c>
      <c r="F436" s="3" t="s">
        <v>29</v>
      </c>
      <c r="G436" s="9" t="s">
        <v>3788</v>
      </c>
      <c r="H436" s="9" t="s">
        <v>3790</v>
      </c>
      <c r="I436" s="3"/>
      <c r="J436" s="3"/>
      <c r="K436" s="9"/>
    </row>
    <row r="437" ht="15.75" customHeight="1">
      <c r="A437" s="10" t="s">
        <v>12</v>
      </c>
      <c r="B437" s="10" t="s">
        <v>82</v>
      </c>
      <c r="C437" s="10" t="s">
        <v>3848</v>
      </c>
      <c r="D437" s="11" t="str">
        <f t="shared" si="1"/>
        <v>Abrir anúncio ↗</v>
      </c>
      <c r="E437" s="12" t="s">
        <v>2188</v>
      </c>
      <c r="F437" s="10" t="s">
        <v>29</v>
      </c>
      <c r="G437" s="12" t="s">
        <v>99</v>
      </c>
      <c r="H437" s="12" t="s">
        <v>3384</v>
      </c>
      <c r="I437" s="10"/>
      <c r="J437" s="10"/>
      <c r="K437" s="12"/>
    </row>
    <row r="438" ht="15.75" customHeight="1">
      <c r="A438" s="3" t="s">
        <v>12</v>
      </c>
      <c r="B438" s="3" t="s">
        <v>82</v>
      </c>
      <c r="C438" s="3" t="s">
        <v>3857</v>
      </c>
      <c r="D438" s="8" t="str">
        <f t="shared" si="1"/>
        <v>Abrir anúncio ↗</v>
      </c>
      <c r="E438" s="9" t="s">
        <v>3860</v>
      </c>
      <c r="F438" s="3" t="s">
        <v>29</v>
      </c>
      <c r="G438" s="9" t="s">
        <v>583</v>
      </c>
      <c r="H438" s="9" t="s">
        <v>3861</v>
      </c>
      <c r="I438" s="3"/>
      <c r="J438" s="3"/>
      <c r="K438" s="9"/>
    </row>
    <row r="439" ht="15.75" customHeight="1">
      <c r="A439" s="10" t="s">
        <v>12</v>
      </c>
      <c r="B439" s="10" t="s">
        <v>82</v>
      </c>
      <c r="C439" s="10" t="s">
        <v>3867</v>
      </c>
      <c r="D439" s="11" t="str">
        <f t="shared" si="1"/>
        <v>Abrir anúncio ↗</v>
      </c>
      <c r="E439" s="12" t="s">
        <v>3601</v>
      </c>
      <c r="F439" s="10" t="s">
        <v>86</v>
      </c>
      <c r="G439" s="12" t="s">
        <v>3422</v>
      </c>
      <c r="H439" s="12" t="s">
        <v>3604</v>
      </c>
      <c r="I439" s="10"/>
      <c r="J439" s="10"/>
      <c r="K439" s="12"/>
    </row>
    <row r="440" ht="15.75" customHeight="1">
      <c r="A440" s="3" t="s">
        <v>12</v>
      </c>
      <c r="B440" s="3" t="s">
        <v>82</v>
      </c>
      <c r="C440" s="3" t="s">
        <v>3876</v>
      </c>
      <c r="D440" s="8" t="str">
        <f t="shared" si="1"/>
        <v>Abrir anúncio ↗</v>
      </c>
      <c r="E440" s="9" t="s">
        <v>3879</v>
      </c>
      <c r="F440" s="3" t="s">
        <v>29</v>
      </c>
      <c r="G440" s="9" t="s">
        <v>3685</v>
      </c>
      <c r="H440" s="9" t="s">
        <v>3883</v>
      </c>
      <c r="I440" s="3"/>
      <c r="J440" s="3"/>
      <c r="K440" s="9"/>
    </row>
    <row r="441" ht="15.75" customHeight="1">
      <c r="A441" s="10" t="s">
        <v>12</v>
      </c>
      <c r="B441" s="10" t="s">
        <v>82</v>
      </c>
      <c r="C441" s="10" t="s">
        <v>3887</v>
      </c>
      <c r="D441" s="11" t="str">
        <f t="shared" si="1"/>
        <v>Abrir anúncio ↗</v>
      </c>
      <c r="E441" s="12" t="s">
        <v>3890</v>
      </c>
      <c r="F441" s="10" t="s">
        <v>29</v>
      </c>
      <c r="G441" s="12" t="s">
        <v>3892</v>
      </c>
      <c r="H441" s="12" t="s">
        <v>3893</v>
      </c>
      <c r="I441" s="10"/>
      <c r="J441" s="10"/>
      <c r="K441" s="12"/>
    </row>
    <row r="442" ht="15.75" customHeight="1">
      <c r="A442" s="3" t="s">
        <v>12</v>
      </c>
      <c r="B442" s="3" t="s">
        <v>82</v>
      </c>
      <c r="C442" s="3" t="s">
        <v>3899</v>
      </c>
      <c r="D442" s="8" t="str">
        <f t="shared" si="1"/>
        <v>Abrir anúncio ↗</v>
      </c>
      <c r="E442" s="9" t="s">
        <v>3900</v>
      </c>
      <c r="F442" s="3" t="s">
        <v>29</v>
      </c>
      <c r="G442" s="9" t="s">
        <v>3685</v>
      </c>
      <c r="H442" s="9" t="s">
        <v>3877</v>
      </c>
      <c r="I442" s="3"/>
      <c r="J442" s="3"/>
      <c r="K442" s="9"/>
    </row>
    <row r="443" ht="15.75" customHeight="1">
      <c r="A443" s="10" t="s">
        <v>12</v>
      </c>
      <c r="B443" s="10" t="s">
        <v>82</v>
      </c>
      <c r="C443" s="10" t="s">
        <v>3911</v>
      </c>
      <c r="D443" s="11" t="str">
        <f t="shared" si="1"/>
        <v>Abrir anúncio ↗</v>
      </c>
      <c r="E443" s="12" t="s">
        <v>3912</v>
      </c>
      <c r="F443" s="10" t="s">
        <v>29</v>
      </c>
      <c r="G443" s="12" t="s">
        <v>3422</v>
      </c>
      <c r="H443" s="12" t="s">
        <v>3914</v>
      </c>
      <c r="I443" s="10"/>
      <c r="J443" s="10"/>
      <c r="K443" s="12"/>
    </row>
    <row r="444" ht="15.75" customHeight="1">
      <c r="A444" s="3" t="s">
        <v>12</v>
      </c>
      <c r="B444" s="3" t="s">
        <v>82</v>
      </c>
      <c r="C444" s="3" t="s">
        <v>3919</v>
      </c>
      <c r="D444" s="8" t="str">
        <f t="shared" si="1"/>
        <v>Abrir anúncio ↗</v>
      </c>
      <c r="E444" s="9" t="s">
        <v>3923</v>
      </c>
      <c r="F444" s="3" t="s">
        <v>29</v>
      </c>
      <c r="G444" s="9" t="s">
        <v>3422</v>
      </c>
      <c r="H444" s="9" t="s">
        <v>3425</v>
      </c>
      <c r="I444" s="3"/>
      <c r="J444" s="3"/>
      <c r="K444" s="9"/>
    </row>
    <row r="445" ht="15.75" customHeight="1">
      <c r="A445" s="10" t="s">
        <v>12</v>
      </c>
      <c r="B445" s="10" t="s">
        <v>82</v>
      </c>
      <c r="C445" s="10" t="s">
        <v>3929</v>
      </c>
      <c r="D445" s="11" t="str">
        <f t="shared" si="1"/>
        <v>Abrir anúncio ↗</v>
      </c>
      <c r="E445" s="12" t="s">
        <v>3930</v>
      </c>
      <c r="F445" s="10" t="s">
        <v>86</v>
      </c>
      <c r="G445" s="12" t="s">
        <v>3422</v>
      </c>
      <c r="H445" s="12" t="s">
        <v>3914</v>
      </c>
      <c r="I445" s="10"/>
      <c r="J445" s="10"/>
      <c r="K445" s="12"/>
    </row>
    <row r="446" ht="15.75" customHeight="1">
      <c r="A446" s="3" t="s">
        <v>12</v>
      </c>
      <c r="B446" s="3" t="s">
        <v>82</v>
      </c>
      <c r="C446" s="3" t="s">
        <v>3939</v>
      </c>
      <c r="D446" s="8" t="str">
        <f t="shared" si="1"/>
        <v>Abrir anúncio ↗</v>
      </c>
      <c r="E446" s="9" t="s">
        <v>3941</v>
      </c>
      <c r="F446" s="3" t="s">
        <v>29</v>
      </c>
      <c r="G446" s="9" t="s">
        <v>99</v>
      </c>
      <c r="H446" s="9" t="s">
        <v>3384</v>
      </c>
      <c r="I446" s="3"/>
      <c r="J446" s="3"/>
      <c r="K446" s="9"/>
    </row>
    <row r="447" ht="15.75" customHeight="1">
      <c r="A447" s="10" t="s">
        <v>12</v>
      </c>
      <c r="B447" s="10" t="s">
        <v>82</v>
      </c>
      <c r="C447" s="10" t="s">
        <v>3947</v>
      </c>
      <c r="D447" s="11" t="str">
        <f t="shared" si="1"/>
        <v>Abrir anúncio ↗</v>
      </c>
      <c r="E447" s="12" t="s">
        <v>416</v>
      </c>
      <c r="F447" s="10" t="s">
        <v>29</v>
      </c>
      <c r="G447" s="12" t="s">
        <v>583</v>
      </c>
      <c r="H447" s="12" t="s">
        <v>3861</v>
      </c>
      <c r="I447" s="10"/>
      <c r="J447" s="10"/>
      <c r="K447" s="12"/>
    </row>
    <row r="448" ht="15.75" customHeight="1">
      <c r="A448" s="3" t="s">
        <v>12</v>
      </c>
      <c r="B448" s="3" t="s">
        <v>82</v>
      </c>
      <c r="C448" s="3" t="s">
        <v>3958</v>
      </c>
      <c r="D448" s="8" t="str">
        <f t="shared" si="1"/>
        <v>Abrir anúncio ↗</v>
      </c>
      <c r="E448" s="9" t="s">
        <v>3960</v>
      </c>
      <c r="F448" s="3" t="s">
        <v>29</v>
      </c>
      <c r="G448" s="9" t="s">
        <v>3962</v>
      </c>
      <c r="H448" s="9" t="s">
        <v>3965</v>
      </c>
      <c r="I448" s="3"/>
      <c r="J448" s="3"/>
      <c r="K448" s="9"/>
    </row>
    <row r="449" ht="15.75" customHeight="1">
      <c r="A449" s="10" t="s">
        <v>12</v>
      </c>
      <c r="B449" s="10" t="s">
        <v>82</v>
      </c>
      <c r="C449" s="10" t="s">
        <v>3972</v>
      </c>
      <c r="D449" s="11" t="str">
        <f t="shared" si="1"/>
        <v>Abrir anúncio ↗</v>
      </c>
      <c r="E449" s="12" t="s">
        <v>3973</v>
      </c>
      <c r="F449" s="10" t="s">
        <v>29</v>
      </c>
      <c r="G449" s="12" t="s">
        <v>3975</v>
      </c>
      <c r="H449" s="12" t="s">
        <v>3978</v>
      </c>
      <c r="I449" s="10"/>
      <c r="J449" s="10"/>
      <c r="K449" s="12"/>
    </row>
    <row r="450" ht="15.75" customHeight="1">
      <c r="A450" s="3" t="s">
        <v>12</v>
      </c>
      <c r="B450" s="3" t="s">
        <v>82</v>
      </c>
      <c r="C450" s="3" t="s">
        <v>3984</v>
      </c>
      <c r="D450" s="8" t="str">
        <f t="shared" si="1"/>
        <v>Abrir anúncio ↗</v>
      </c>
      <c r="E450" s="9" t="s">
        <v>3987</v>
      </c>
      <c r="F450" s="3" t="s">
        <v>29</v>
      </c>
      <c r="G450" s="9" t="s">
        <v>3962</v>
      </c>
      <c r="H450" s="9" t="s">
        <v>3989</v>
      </c>
      <c r="I450" s="3"/>
      <c r="J450" s="3"/>
      <c r="K450" s="9"/>
    </row>
    <row r="451" ht="15.75" customHeight="1">
      <c r="A451" s="10" t="s">
        <v>12</v>
      </c>
      <c r="B451" s="10" t="s">
        <v>82</v>
      </c>
      <c r="C451" s="10" t="s">
        <v>3994</v>
      </c>
      <c r="D451" s="11" t="str">
        <f t="shared" si="1"/>
        <v>Abrir anúncio ↗</v>
      </c>
      <c r="E451" s="12" t="s">
        <v>3998</v>
      </c>
      <c r="F451" s="10" t="s">
        <v>29</v>
      </c>
      <c r="G451" s="12" t="s">
        <v>99</v>
      </c>
      <c r="H451" s="12" t="s">
        <v>143</v>
      </c>
      <c r="I451" s="10"/>
      <c r="J451" s="10"/>
      <c r="K451" s="12"/>
    </row>
    <row r="452" ht="15.75" customHeight="1">
      <c r="A452" s="3" t="s">
        <v>12</v>
      </c>
      <c r="B452" s="3" t="s">
        <v>82</v>
      </c>
      <c r="C452" s="3" t="s">
        <v>4006</v>
      </c>
      <c r="D452" s="8" t="str">
        <f t="shared" si="1"/>
        <v>Abrir anúncio ↗</v>
      </c>
      <c r="E452" s="9" t="s">
        <v>4010</v>
      </c>
      <c r="F452" s="3" t="s">
        <v>29</v>
      </c>
      <c r="G452" s="9" t="s">
        <v>99</v>
      </c>
      <c r="H452" s="9" t="s">
        <v>143</v>
      </c>
      <c r="I452" s="3"/>
      <c r="J452" s="3"/>
      <c r="K452" s="9"/>
    </row>
    <row r="453" ht="15.75" customHeight="1">
      <c r="A453" s="10" t="s">
        <v>12</v>
      </c>
      <c r="B453" s="10" t="s">
        <v>82</v>
      </c>
      <c r="C453" s="10" t="s">
        <v>4015</v>
      </c>
      <c r="D453" s="11" t="str">
        <f t="shared" si="1"/>
        <v>Abrir anúncio ↗</v>
      </c>
      <c r="E453" s="12" t="s">
        <v>4018</v>
      </c>
      <c r="F453" s="10" t="s">
        <v>29</v>
      </c>
      <c r="G453" s="12" t="s">
        <v>99</v>
      </c>
      <c r="H453" s="12" t="s">
        <v>560</v>
      </c>
      <c r="I453" s="10"/>
      <c r="J453" s="10"/>
      <c r="K453" s="12"/>
    </row>
    <row r="454" ht="15.75" customHeight="1">
      <c r="A454" s="3" t="s">
        <v>12</v>
      </c>
      <c r="B454" s="3" t="s">
        <v>82</v>
      </c>
      <c r="C454" s="3" t="s">
        <v>4024</v>
      </c>
      <c r="D454" s="8" t="str">
        <f t="shared" si="1"/>
        <v>Abrir anúncio ↗</v>
      </c>
      <c r="E454" s="9" t="s">
        <v>4028</v>
      </c>
      <c r="F454" s="3" t="s">
        <v>29</v>
      </c>
      <c r="G454" s="9" t="s">
        <v>99</v>
      </c>
      <c r="H454" s="9" t="s">
        <v>143</v>
      </c>
      <c r="I454" s="3"/>
      <c r="J454" s="3"/>
      <c r="K454" s="9"/>
    </row>
    <row r="455" ht="15.75" customHeight="1">
      <c r="A455" s="10" t="s">
        <v>12</v>
      </c>
      <c r="B455" s="10" t="s">
        <v>82</v>
      </c>
      <c r="C455" s="10" t="s">
        <v>4035</v>
      </c>
      <c r="D455" s="11" t="str">
        <f t="shared" si="1"/>
        <v>Abrir anúncio ↗</v>
      </c>
      <c r="E455" s="12" t="s">
        <v>4038</v>
      </c>
      <c r="F455" s="10" t="s">
        <v>29</v>
      </c>
      <c r="G455" s="12" t="s">
        <v>99</v>
      </c>
      <c r="H455" s="12" t="s">
        <v>143</v>
      </c>
      <c r="I455" s="10"/>
      <c r="J455" s="10"/>
      <c r="K455" s="12"/>
    </row>
    <row r="456" ht="15.75" customHeight="1">
      <c r="A456" s="3" t="s">
        <v>12</v>
      </c>
      <c r="B456" s="3" t="s">
        <v>82</v>
      </c>
      <c r="C456" s="3" t="s">
        <v>4045</v>
      </c>
      <c r="D456" s="8" t="str">
        <f t="shared" si="1"/>
        <v>Abrir anúncio ↗</v>
      </c>
      <c r="E456" s="9" t="s">
        <v>4047</v>
      </c>
      <c r="F456" s="3" t="s">
        <v>86</v>
      </c>
      <c r="G456" s="9" t="s">
        <v>3788</v>
      </c>
      <c r="H456" s="9" t="s">
        <v>3790</v>
      </c>
      <c r="I456" s="3"/>
      <c r="J456" s="3"/>
      <c r="K456" s="9"/>
    </row>
    <row r="457" ht="15.75" customHeight="1">
      <c r="A457" s="10" t="s">
        <v>12</v>
      </c>
      <c r="B457" s="10" t="s">
        <v>82</v>
      </c>
      <c r="C457" s="10" t="s">
        <v>4051</v>
      </c>
      <c r="D457" s="11" t="str">
        <f t="shared" si="1"/>
        <v>Abrir anúncio ↗</v>
      </c>
      <c r="E457" s="12" t="s">
        <v>4055</v>
      </c>
      <c r="F457" s="10" t="s">
        <v>29</v>
      </c>
      <c r="G457" s="12" t="s">
        <v>3788</v>
      </c>
      <c r="H457" s="12" t="s">
        <v>3790</v>
      </c>
      <c r="I457" s="10"/>
      <c r="J457" s="10"/>
      <c r="K457" s="12"/>
    </row>
    <row r="458" ht="15.75" customHeight="1">
      <c r="A458" s="3" t="s">
        <v>12</v>
      </c>
      <c r="B458" s="3" t="s">
        <v>82</v>
      </c>
      <c r="C458" s="3" t="s">
        <v>4062</v>
      </c>
      <c r="D458" s="8" t="str">
        <f t="shared" si="1"/>
        <v>Abrir anúncio ↗</v>
      </c>
      <c r="E458" s="9" t="s">
        <v>4065</v>
      </c>
      <c r="F458" s="3" t="s">
        <v>29</v>
      </c>
      <c r="G458" s="9" t="s">
        <v>3788</v>
      </c>
      <c r="H458" s="9" t="s">
        <v>3790</v>
      </c>
      <c r="I458" s="3"/>
      <c r="J458" s="3"/>
      <c r="K458" s="9"/>
    </row>
    <row r="459" ht="15.75" customHeight="1">
      <c r="A459" s="10" t="s">
        <v>12</v>
      </c>
      <c r="B459" s="10" t="s">
        <v>82</v>
      </c>
      <c r="C459" s="10" t="s">
        <v>4074</v>
      </c>
      <c r="D459" s="11" t="str">
        <f t="shared" si="1"/>
        <v>Abrir anúncio ↗</v>
      </c>
      <c r="E459" s="12" t="s">
        <v>4078</v>
      </c>
      <c r="F459" s="10" t="s">
        <v>29</v>
      </c>
      <c r="G459" s="12" t="s">
        <v>3788</v>
      </c>
      <c r="H459" s="12" t="s">
        <v>3790</v>
      </c>
      <c r="I459" s="10"/>
      <c r="J459" s="10"/>
      <c r="K459" s="12"/>
    </row>
    <row r="460" ht="15.75" customHeight="1">
      <c r="A460" s="3" t="s">
        <v>12</v>
      </c>
      <c r="B460" s="3" t="s">
        <v>82</v>
      </c>
      <c r="C460" s="3" t="s">
        <v>4086</v>
      </c>
      <c r="D460" s="8" t="str">
        <f t="shared" si="1"/>
        <v>Abrir anúncio ↗</v>
      </c>
      <c r="E460" s="9" t="s">
        <v>4089</v>
      </c>
      <c r="F460" s="3" t="s">
        <v>29</v>
      </c>
      <c r="G460" s="9" t="s">
        <v>3788</v>
      </c>
      <c r="H460" s="9" t="s">
        <v>3790</v>
      </c>
      <c r="I460" s="3"/>
      <c r="J460" s="3"/>
      <c r="K460" s="9"/>
    </row>
    <row r="461" ht="15.75" customHeight="1">
      <c r="A461" s="10" t="s">
        <v>12</v>
      </c>
      <c r="B461" s="10" t="s">
        <v>82</v>
      </c>
      <c r="C461" s="10" t="s">
        <v>4098</v>
      </c>
      <c r="D461" s="11" t="str">
        <f t="shared" si="1"/>
        <v>Abrir anúncio ↗</v>
      </c>
      <c r="E461" s="12" t="s">
        <v>4099</v>
      </c>
      <c r="F461" s="10" t="s">
        <v>29</v>
      </c>
      <c r="G461" s="12" t="s">
        <v>3788</v>
      </c>
      <c r="H461" s="12" t="s">
        <v>3790</v>
      </c>
      <c r="I461" s="10"/>
      <c r="J461" s="10"/>
      <c r="K461" s="12"/>
    </row>
    <row r="462" ht="15.75" customHeight="1">
      <c r="A462" s="3" t="s">
        <v>12</v>
      </c>
      <c r="B462" s="3" t="s">
        <v>82</v>
      </c>
      <c r="C462" s="3" t="s">
        <v>4107</v>
      </c>
      <c r="D462" s="8" t="str">
        <f t="shared" si="1"/>
        <v>Abrir anúncio ↗</v>
      </c>
      <c r="E462" s="9" t="s">
        <v>4110</v>
      </c>
      <c r="F462" s="3" t="s">
        <v>86</v>
      </c>
      <c r="G462" s="9" t="s">
        <v>3788</v>
      </c>
      <c r="H462" s="9" t="s">
        <v>3790</v>
      </c>
      <c r="I462" s="3"/>
      <c r="J462" s="3"/>
      <c r="K462" s="9"/>
    </row>
    <row r="463" ht="15.75" customHeight="1">
      <c r="A463" s="10" t="s">
        <v>12</v>
      </c>
      <c r="B463" s="10" t="s">
        <v>82</v>
      </c>
      <c r="C463" s="10" t="s">
        <v>4117</v>
      </c>
      <c r="D463" s="11" t="str">
        <f t="shared" si="1"/>
        <v>Abrir anúncio ↗</v>
      </c>
      <c r="E463" s="12" t="s">
        <v>4120</v>
      </c>
      <c r="F463" s="10" t="s">
        <v>29</v>
      </c>
      <c r="G463" s="12" t="s">
        <v>3788</v>
      </c>
      <c r="H463" s="12" t="s">
        <v>3790</v>
      </c>
      <c r="I463" s="10"/>
      <c r="J463" s="10"/>
      <c r="K463" s="12"/>
    </row>
    <row r="464" ht="15.75" customHeight="1">
      <c r="A464" s="3" t="s">
        <v>12</v>
      </c>
      <c r="B464" s="3" t="s">
        <v>82</v>
      </c>
      <c r="C464" s="3" t="s">
        <v>4127</v>
      </c>
      <c r="D464" s="8" t="str">
        <f t="shared" si="1"/>
        <v>Abrir anúncio ↗</v>
      </c>
      <c r="E464" s="9" t="s">
        <v>4130</v>
      </c>
      <c r="F464" s="3" t="s">
        <v>86</v>
      </c>
      <c r="G464" s="9" t="s">
        <v>3788</v>
      </c>
      <c r="H464" s="9" t="s">
        <v>3790</v>
      </c>
      <c r="I464" s="3"/>
      <c r="J464" s="3"/>
      <c r="K464" s="9"/>
    </row>
    <row r="465" ht="15.75" customHeight="1">
      <c r="A465" s="10" t="s">
        <v>12</v>
      </c>
      <c r="B465" s="10" t="s">
        <v>82</v>
      </c>
      <c r="C465" s="10" t="s">
        <v>4137</v>
      </c>
      <c r="D465" s="11" t="str">
        <f t="shared" si="1"/>
        <v>Abrir anúncio ↗</v>
      </c>
      <c r="E465" s="12" t="s">
        <v>4145</v>
      </c>
      <c r="F465" s="10" t="s">
        <v>29</v>
      </c>
      <c r="G465" s="12" t="s">
        <v>3788</v>
      </c>
      <c r="H465" s="12" t="s">
        <v>3790</v>
      </c>
      <c r="I465" s="10"/>
      <c r="J465" s="10"/>
      <c r="K465" s="12"/>
    </row>
    <row r="466" ht="15.75" customHeight="1">
      <c r="A466" s="3" t="s">
        <v>12</v>
      </c>
      <c r="B466" s="3" t="s">
        <v>82</v>
      </c>
      <c r="C466" s="3" t="s">
        <v>4153</v>
      </c>
      <c r="D466" s="8" t="str">
        <f t="shared" si="1"/>
        <v>Abrir anúncio ↗</v>
      </c>
      <c r="E466" s="9" t="s">
        <v>4155</v>
      </c>
      <c r="F466" s="3" t="s">
        <v>29</v>
      </c>
      <c r="G466" s="9" t="s">
        <v>3685</v>
      </c>
      <c r="H466" s="9" t="s">
        <v>3853</v>
      </c>
      <c r="I466" s="3"/>
      <c r="J466" s="3"/>
      <c r="K466" s="9"/>
    </row>
    <row r="467" ht="15.75" customHeight="1">
      <c r="A467" s="10" t="s">
        <v>12</v>
      </c>
      <c r="B467" s="10" t="s">
        <v>82</v>
      </c>
      <c r="C467" s="10" t="s">
        <v>4163</v>
      </c>
      <c r="D467" s="11" t="str">
        <f t="shared" si="1"/>
        <v>Abrir anúncio ↗</v>
      </c>
      <c r="E467" s="12" t="s">
        <v>4164</v>
      </c>
      <c r="F467" s="10" t="s">
        <v>29</v>
      </c>
      <c r="G467" s="12" t="s">
        <v>3685</v>
      </c>
      <c r="H467" s="12" t="s">
        <v>4167</v>
      </c>
      <c r="I467" s="10"/>
      <c r="J467" s="10"/>
      <c r="K467" s="12"/>
    </row>
    <row r="468" ht="15.75" customHeight="1">
      <c r="A468" s="3" t="s">
        <v>12</v>
      </c>
      <c r="B468" s="3" t="s">
        <v>82</v>
      </c>
      <c r="C468" s="3" t="s">
        <v>4174</v>
      </c>
      <c r="D468" s="8" t="str">
        <f t="shared" si="1"/>
        <v>Abrir anúncio ↗</v>
      </c>
      <c r="E468" s="9" t="s">
        <v>4176</v>
      </c>
      <c r="F468" s="3" t="s">
        <v>29</v>
      </c>
      <c r="G468" s="9" t="s">
        <v>3685</v>
      </c>
      <c r="H468" s="9" t="s">
        <v>3917</v>
      </c>
      <c r="I468" s="3"/>
      <c r="J468" s="3"/>
      <c r="K468" s="9"/>
    </row>
    <row r="469" ht="15.75" customHeight="1">
      <c r="A469" s="10" t="s">
        <v>12</v>
      </c>
      <c r="B469" s="10" t="s">
        <v>82</v>
      </c>
      <c r="C469" s="10" t="s">
        <v>4183</v>
      </c>
      <c r="D469" s="11" t="str">
        <f t="shared" si="1"/>
        <v>Abrir anúncio ↗</v>
      </c>
      <c r="E469" s="12" t="s">
        <v>4185</v>
      </c>
      <c r="F469" s="10" t="s">
        <v>29</v>
      </c>
      <c r="G469" s="12" t="s">
        <v>3685</v>
      </c>
      <c r="H469" s="12" t="s">
        <v>3877</v>
      </c>
      <c r="I469" s="10"/>
      <c r="J469" s="10"/>
      <c r="K469" s="12"/>
    </row>
    <row r="470" ht="15.75" customHeight="1">
      <c r="A470" s="3" t="s">
        <v>12</v>
      </c>
      <c r="B470" s="3" t="s">
        <v>82</v>
      </c>
      <c r="C470" s="3" t="s">
        <v>4193</v>
      </c>
      <c r="D470" s="8" t="str">
        <f t="shared" si="1"/>
        <v>Abrir anúncio ↗</v>
      </c>
      <c r="E470" s="9" t="s">
        <v>4195</v>
      </c>
      <c r="F470" s="3" t="s">
        <v>29</v>
      </c>
      <c r="G470" s="9" t="s">
        <v>3422</v>
      </c>
      <c r="H470" s="9" t="s">
        <v>4197</v>
      </c>
      <c r="I470" s="3"/>
      <c r="J470" s="3"/>
      <c r="K470" s="9"/>
    </row>
    <row r="471" ht="15.75" customHeight="1">
      <c r="A471" s="10" t="s">
        <v>12</v>
      </c>
      <c r="B471" s="10" t="s">
        <v>82</v>
      </c>
      <c r="C471" s="10" t="s">
        <v>4202</v>
      </c>
      <c r="D471" s="11" t="str">
        <f t="shared" si="1"/>
        <v>Abrir anúncio ↗</v>
      </c>
      <c r="E471" s="12" t="s">
        <v>4205</v>
      </c>
      <c r="F471" s="10" t="s">
        <v>29</v>
      </c>
      <c r="G471" s="12" t="s">
        <v>3422</v>
      </c>
      <c r="H471" s="12" t="s">
        <v>4209</v>
      </c>
      <c r="I471" s="10"/>
      <c r="J471" s="10"/>
      <c r="K471" s="12"/>
    </row>
    <row r="472" ht="15.75" customHeight="1">
      <c r="A472" s="3" t="s">
        <v>12</v>
      </c>
      <c r="B472" s="3" t="s">
        <v>82</v>
      </c>
      <c r="C472" s="3" t="s">
        <v>4214</v>
      </c>
      <c r="D472" s="8" t="str">
        <f t="shared" si="1"/>
        <v>Abrir anúncio ↗</v>
      </c>
      <c r="E472" s="9" t="s">
        <v>4215</v>
      </c>
      <c r="F472" s="3" t="s">
        <v>86</v>
      </c>
      <c r="G472" s="9" t="s">
        <v>3892</v>
      </c>
      <c r="H472" s="9" t="s">
        <v>4221</v>
      </c>
      <c r="I472" s="3"/>
      <c r="J472" s="3"/>
      <c r="K472" s="9"/>
    </row>
    <row r="473" ht="15.75" customHeight="1">
      <c r="A473" s="10" t="s">
        <v>12</v>
      </c>
      <c r="B473" s="10" t="s">
        <v>82</v>
      </c>
      <c r="C473" s="10" t="s">
        <v>4225</v>
      </c>
      <c r="D473" s="11" t="str">
        <f t="shared" si="1"/>
        <v>Abrir anúncio ↗</v>
      </c>
      <c r="E473" s="12" t="s">
        <v>4227</v>
      </c>
      <c r="F473" s="10" t="s">
        <v>29</v>
      </c>
      <c r="G473" s="12" t="s">
        <v>3422</v>
      </c>
      <c r="H473" s="12" t="s">
        <v>4230</v>
      </c>
      <c r="I473" s="10"/>
      <c r="J473" s="10"/>
      <c r="K473" s="12"/>
    </row>
    <row r="474" ht="15.75" customHeight="1">
      <c r="A474" s="3" t="s">
        <v>12</v>
      </c>
      <c r="B474" s="3" t="s">
        <v>82</v>
      </c>
      <c r="C474" s="3" t="s">
        <v>4235</v>
      </c>
      <c r="D474" s="8" t="str">
        <f t="shared" si="1"/>
        <v>Abrir anúncio ↗</v>
      </c>
      <c r="E474" s="9" t="s">
        <v>4239</v>
      </c>
      <c r="F474" s="3" t="s">
        <v>29</v>
      </c>
      <c r="G474" s="9" t="s">
        <v>3685</v>
      </c>
      <c r="H474" s="9" t="s">
        <v>4241</v>
      </c>
      <c r="I474" s="3"/>
      <c r="J474" s="3"/>
      <c r="K474" s="9"/>
    </row>
    <row r="475" ht="15.75" customHeight="1">
      <c r="A475" s="10" t="s">
        <v>12</v>
      </c>
      <c r="B475" s="10" t="s">
        <v>82</v>
      </c>
      <c r="C475" s="10" t="s">
        <v>4246</v>
      </c>
      <c r="D475" s="11" t="str">
        <f t="shared" si="1"/>
        <v>Abrir anúncio ↗</v>
      </c>
      <c r="E475" s="12" t="s">
        <v>4249</v>
      </c>
      <c r="F475" s="10" t="s">
        <v>29</v>
      </c>
      <c r="G475" s="12" t="s">
        <v>3685</v>
      </c>
      <c r="H475" s="12" t="s">
        <v>4253</v>
      </c>
      <c r="I475" s="10"/>
      <c r="J475" s="10"/>
      <c r="K475" s="12"/>
    </row>
    <row r="476" ht="15.75" customHeight="1">
      <c r="A476" s="3" t="s">
        <v>12</v>
      </c>
      <c r="B476" s="3" t="s">
        <v>82</v>
      </c>
      <c r="C476" s="3" t="s">
        <v>4255</v>
      </c>
      <c r="D476" s="8" t="str">
        <f t="shared" si="1"/>
        <v>Abrir anúncio ↗</v>
      </c>
      <c r="E476" s="9" t="s">
        <v>4259</v>
      </c>
      <c r="F476" s="3" t="s">
        <v>29</v>
      </c>
      <c r="G476" s="9" t="s">
        <v>4262</v>
      </c>
      <c r="H476" s="9" t="s">
        <v>4263</v>
      </c>
      <c r="I476" s="3"/>
      <c r="J476" s="3"/>
      <c r="K476" s="9"/>
    </row>
    <row r="477" ht="15.75" customHeight="1">
      <c r="A477" s="10" t="s">
        <v>12</v>
      </c>
      <c r="B477" s="10" t="s">
        <v>82</v>
      </c>
      <c r="C477" s="10" t="s">
        <v>4267</v>
      </c>
      <c r="D477" s="11" t="str">
        <f t="shared" si="1"/>
        <v>Abrir anúncio ↗</v>
      </c>
      <c r="E477" s="12" t="s">
        <v>4272</v>
      </c>
      <c r="F477" s="10" t="s">
        <v>29</v>
      </c>
      <c r="G477" s="12" t="s">
        <v>3685</v>
      </c>
      <c r="H477" s="12" t="s">
        <v>3917</v>
      </c>
      <c r="I477" s="10"/>
      <c r="J477" s="10"/>
      <c r="K477" s="12"/>
    </row>
    <row r="478" ht="15.75" customHeight="1">
      <c r="A478" s="3" t="s">
        <v>12</v>
      </c>
      <c r="B478" s="3" t="s">
        <v>82</v>
      </c>
      <c r="C478" s="3" t="s">
        <v>4277</v>
      </c>
      <c r="D478" s="8" t="str">
        <f t="shared" si="1"/>
        <v>Abrir anúncio ↗</v>
      </c>
      <c r="E478" s="9" t="s">
        <v>4279</v>
      </c>
      <c r="F478" s="3" t="s">
        <v>29</v>
      </c>
      <c r="G478" s="9" t="s">
        <v>3685</v>
      </c>
      <c r="H478" s="9" t="s">
        <v>3739</v>
      </c>
      <c r="I478" s="3"/>
      <c r="J478" s="3"/>
      <c r="K478" s="9"/>
    </row>
    <row r="479" ht="15.75" customHeight="1">
      <c r="A479" s="10" t="s">
        <v>12</v>
      </c>
      <c r="B479" s="10" t="s">
        <v>82</v>
      </c>
      <c r="C479" s="10" t="s">
        <v>4287</v>
      </c>
      <c r="D479" s="11" t="str">
        <f t="shared" si="1"/>
        <v>Abrir anúncio ↗</v>
      </c>
      <c r="E479" s="12" t="s">
        <v>4290</v>
      </c>
      <c r="F479" s="10" t="s">
        <v>29</v>
      </c>
      <c r="G479" s="12" t="s">
        <v>3892</v>
      </c>
      <c r="H479" s="12" t="s">
        <v>4291</v>
      </c>
      <c r="I479" s="10"/>
      <c r="J479" s="10"/>
      <c r="K479" s="12"/>
    </row>
    <row r="480" ht="15.75" customHeight="1">
      <c r="A480" s="3" t="s">
        <v>12</v>
      </c>
      <c r="B480" s="3" t="s">
        <v>82</v>
      </c>
      <c r="C480" s="3" t="s">
        <v>4295</v>
      </c>
      <c r="D480" s="8" t="str">
        <f t="shared" si="1"/>
        <v>Abrir anúncio ↗</v>
      </c>
      <c r="E480" s="9" t="s">
        <v>4297</v>
      </c>
      <c r="F480" s="3" t="s">
        <v>29</v>
      </c>
      <c r="G480" s="9" t="s">
        <v>3892</v>
      </c>
      <c r="H480" s="9" t="s">
        <v>3893</v>
      </c>
      <c r="I480" s="3"/>
      <c r="J480" s="3"/>
      <c r="K480" s="9"/>
    </row>
    <row r="481" ht="15.75" customHeight="1">
      <c r="A481" s="10" t="s">
        <v>12</v>
      </c>
      <c r="B481" s="10" t="s">
        <v>82</v>
      </c>
      <c r="C481" s="10" t="s">
        <v>4302</v>
      </c>
      <c r="D481" s="11" t="str">
        <f t="shared" si="1"/>
        <v>Abrir anúncio ↗</v>
      </c>
      <c r="E481" s="12" t="s">
        <v>4304</v>
      </c>
      <c r="F481" s="10" t="s">
        <v>29</v>
      </c>
      <c r="G481" s="12" t="s">
        <v>4262</v>
      </c>
      <c r="H481" s="12" t="s">
        <v>4307</v>
      </c>
      <c r="I481" s="10"/>
      <c r="J481" s="10"/>
      <c r="K481" s="12"/>
    </row>
    <row r="482" ht="15.75" customHeight="1">
      <c r="A482" s="3" t="s">
        <v>12</v>
      </c>
      <c r="B482" s="3" t="s">
        <v>82</v>
      </c>
      <c r="C482" s="3" t="s">
        <v>4310</v>
      </c>
      <c r="D482" s="8" t="str">
        <f t="shared" si="1"/>
        <v>Abrir anúncio ↗</v>
      </c>
      <c r="E482" s="9" t="s">
        <v>4312</v>
      </c>
      <c r="F482" s="3" t="s">
        <v>29</v>
      </c>
      <c r="G482" s="9" t="s">
        <v>3685</v>
      </c>
      <c r="H482" s="9" t="s">
        <v>4315</v>
      </c>
      <c r="I482" s="3"/>
      <c r="J482" s="3"/>
      <c r="K482" s="9"/>
    </row>
    <row r="483" ht="15.75" customHeight="1">
      <c r="A483" s="10" t="s">
        <v>12</v>
      </c>
      <c r="B483" s="10" t="s">
        <v>82</v>
      </c>
      <c r="C483" s="10" t="s">
        <v>4318</v>
      </c>
      <c r="D483" s="11" t="str">
        <f t="shared" si="1"/>
        <v>Abrir anúncio ↗</v>
      </c>
      <c r="E483" s="12" t="s">
        <v>4320</v>
      </c>
      <c r="F483" s="10" t="s">
        <v>29</v>
      </c>
      <c r="G483" s="12" t="s">
        <v>3685</v>
      </c>
      <c r="H483" s="12" t="s">
        <v>3877</v>
      </c>
      <c r="I483" s="10"/>
      <c r="J483" s="10"/>
      <c r="K483" s="12"/>
    </row>
    <row r="484" ht="15.75" customHeight="1">
      <c r="A484" s="3" t="s">
        <v>12</v>
      </c>
      <c r="B484" s="3" t="s">
        <v>82</v>
      </c>
      <c r="C484" s="3" t="s">
        <v>4326</v>
      </c>
      <c r="D484" s="8" t="str">
        <f t="shared" si="1"/>
        <v>Abrir anúncio ↗</v>
      </c>
      <c r="E484" s="9" t="s">
        <v>4328</v>
      </c>
      <c r="F484" s="3" t="s">
        <v>29</v>
      </c>
      <c r="G484" s="9" t="s">
        <v>3685</v>
      </c>
      <c r="H484" s="9" t="s">
        <v>3917</v>
      </c>
      <c r="I484" s="3"/>
      <c r="J484" s="3"/>
      <c r="K484" s="9"/>
    </row>
    <row r="485" ht="15.75" customHeight="1">
      <c r="A485" s="10" t="s">
        <v>12</v>
      </c>
      <c r="B485" s="10" t="s">
        <v>82</v>
      </c>
      <c r="C485" s="10" t="s">
        <v>4335</v>
      </c>
      <c r="D485" s="11" t="str">
        <f t="shared" si="1"/>
        <v>Abrir anúncio ↗</v>
      </c>
      <c r="E485" s="12" t="s">
        <v>4337</v>
      </c>
      <c r="F485" s="10" t="s">
        <v>29</v>
      </c>
      <c r="G485" s="12" t="s">
        <v>3685</v>
      </c>
      <c r="H485" s="12" t="s">
        <v>4315</v>
      </c>
      <c r="I485" s="10"/>
      <c r="J485" s="10"/>
      <c r="K485" s="12"/>
    </row>
    <row r="486" ht="15.75" customHeight="1">
      <c r="A486" s="3" t="s">
        <v>12</v>
      </c>
      <c r="B486" s="3" t="s">
        <v>82</v>
      </c>
      <c r="C486" s="3" t="s">
        <v>4342</v>
      </c>
      <c r="D486" s="8" t="str">
        <f t="shared" si="1"/>
        <v>Abrir anúncio ↗</v>
      </c>
      <c r="E486" s="9" t="s">
        <v>4320</v>
      </c>
      <c r="F486" s="3" t="s">
        <v>29</v>
      </c>
      <c r="G486" s="9" t="s">
        <v>3685</v>
      </c>
      <c r="H486" s="9" t="s">
        <v>3877</v>
      </c>
      <c r="I486" s="3"/>
      <c r="J486" s="3"/>
      <c r="K486" s="9"/>
    </row>
    <row r="487" ht="15.75" customHeight="1">
      <c r="A487" s="10" t="s">
        <v>12</v>
      </c>
      <c r="B487" s="10" t="s">
        <v>82</v>
      </c>
      <c r="C487" s="10" t="s">
        <v>4348</v>
      </c>
      <c r="D487" s="11" t="str">
        <f t="shared" si="1"/>
        <v>Abrir anúncio ↗</v>
      </c>
      <c r="E487" s="12" t="s">
        <v>4350</v>
      </c>
      <c r="F487" s="10" t="s">
        <v>29</v>
      </c>
      <c r="G487" s="12" t="s">
        <v>3685</v>
      </c>
      <c r="H487" s="12" t="s">
        <v>3789</v>
      </c>
      <c r="I487" s="10"/>
      <c r="J487" s="10"/>
      <c r="K487" s="12"/>
    </row>
    <row r="488" ht="15.75" customHeight="1">
      <c r="A488" s="3" t="s">
        <v>12</v>
      </c>
      <c r="B488" s="3" t="s">
        <v>82</v>
      </c>
      <c r="C488" s="3" t="s">
        <v>4354</v>
      </c>
      <c r="D488" s="8" t="str">
        <f t="shared" si="1"/>
        <v>Abrir anúncio ↗</v>
      </c>
      <c r="E488" s="9" t="s">
        <v>4357</v>
      </c>
      <c r="F488" s="3" t="s">
        <v>29</v>
      </c>
      <c r="G488" s="9" t="s">
        <v>3685</v>
      </c>
      <c r="H488" s="9" t="s">
        <v>4360</v>
      </c>
      <c r="I488" s="3"/>
      <c r="J488" s="3"/>
      <c r="K488" s="9"/>
    </row>
    <row r="489" ht="15.75" customHeight="1">
      <c r="A489" s="10" t="s">
        <v>12</v>
      </c>
      <c r="B489" s="10" t="s">
        <v>82</v>
      </c>
      <c r="C489" s="10" t="s">
        <v>4363</v>
      </c>
      <c r="D489" s="11" t="str">
        <f t="shared" si="1"/>
        <v>Abrir anúncio ↗</v>
      </c>
      <c r="E489" s="12" t="s">
        <v>4365</v>
      </c>
      <c r="F489" s="10" t="s">
        <v>29</v>
      </c>
      <c r="G489" s="12" t="s">
        <v>3685</v>
      </c>
      <c r="H489" s="12" t="s">
        <v>3883</v>
      </c>
      <c r="I489" s="10"/>
      <c r="J489" s="10"/>
      <c r="K489" s="12"/>
    </row>
    <row r="490" ht="15.75" customHeight="1">
      <c r="A490" s="3" t="s">
        <v>12</v>
      </c>
      <c r="B490" s="3" t="s">
        <v>82</v>
      </c>
      <c r="C490" s="3" t="s">
        <v>4371</v>
      </c>
      <c r="D490" s="8" t="str">
        <f t="shared" si="1"/>
        <v>Abrir anúncio ↗</v>
      </c>
      <c r="E490" s="9" t="s">
        <v>4373</v>
      </c>
      <c r="F490" s="3" t="s">
        <v>29</v>
      </c>
      <c r="G490" s="9" t="s">
        <v>3685</v>
      </c>
      <c r="H490" s="9" t="s">
        <v>3809</v>
      </c>
      <c r="I490" s="3"/>
      <c r="J490" s="3"/>
      <c r="K490" s="9"/>
    </row>
    <row r="491" ht="15.75" customHeight="1">
      <c r="A491" s="10" t="s">
        <v>12</v>
      </c>
      <c r="B491" s="10" t="s">
        <v>82</v>
      </c>
      <c r="C491" s="10" t="s">
        <v>4379</v>
      </c>
      <c r="D491" s="11" t="str">
        <f t="shared" si="1"/>
        <v>Abrir anúncio ↗</v>
      </c>
      <c r="E491" s="12" t="s">
        <v>4382</v>
      </c>
      <c r="F491" s="10" t="s">
        <v>29</v>
      </c>
      <c r="G491" s="12" t="s">
        <v>3685</v>
      </c>
      <c r="H491" s="12" t="s">
        <v>4315</v>
      </c>
      <c r="I491" s="10"/>
      <c r="J491" s="10"/>
      <c r="K491" s="12"/>
    </row>
    <row r="492" ht="15.75" customHeight="1">
      <c r="A492" s="3" t="s">
        <v>12</v>
      </c>
      <c r="B492" s="3" t="s">
        <v>82</v>
      </c>
      <c r="C492" s="3" t="s">
        <v>4388</v>
      </c>
      <c r="D492" s="8" t="str">
        <f t="shared" si="1"/>
        <v>Abrir anúncio ↗</v>
      </c>
      <c r="E492" s="9" t="s">
        <v>4390</v>
      </c>
      <c r="F492" s="3" t="s">
        <v>29</v>
      </c>
      <c r="G492" s="9" t="s">
        <v>3685</v>
      </c>
      <c r="H492" s="9" t="s">
        <v>3687</v>
      </c>
      <c r="I492" s="3"/>
      <c r="J492" s="3"/>
      <c r="K492" s="9"/>
    </row>
    <row r="493" ht="15.75" customHeight="1">
      <c r="A493" s="10" t="s">
        <v>12</v>
      </c>
      <c r="B493" s="10" t="s">
        <v>82</v>
      </c>
      <c r="C493" s="10" t="s">
        <v>4397</v>
      </c>
      <c r="D493" s="11" t="str">
        <f t="shared" si="1"/>
        <v>Abrir anúncio ↗</v>
      </c>
      <c r="E493" s="12" t="s">
        <v>4398</v>
      </c>
      <c r="F493" s="10" t="s">
        <v>29</v>
      </c>
      <c r="G493" s="12" t="s">
        <v>3685</v>
      </c>
      <c r="H493" s="12" t="s">
        <v>3898</v>
      </c>
      <c r="I493" s="10"/>
      <c r="J493" s="10"/>
      <c r="K493" s="12"/>
    </row>
    <row r="494" ht="15.75" customHeight="1">
      <c r="A494" s="3" t="s">
        <v>12</v>
      </c>
      <c r="B494" s="3" t="s">
        <v>82</v>
      </c>
      <c r="C494" s="3" t="s">
        <v>4405</v>
      </c>
      <c r="D494" s="8" t="str">
        <f t="shared" si="1"/>
        <v>Abrir anúncio ↗</v>
      </c>
      <c r="E494" s="9" t="s">
        <v>4410</v>
      </c>
      <c r="F494" s="3" t="s">
        <v>29</v>
      </c>
      <c r="G494" s="9" t="s">
        <v>3892</v>
      </c>
      <c r="H494" s="9" t="s">
        <v>4413</v>
      </c>
      <c r="I494" s="3"/>
      <c r="J494" s="3"/>
      <c r="K494" s="9"/>
    </row>
    <row r="495" ht="15.75" customHeight="1">
      <c r="A495" s="10" t="s">
        <v>12</v>
      </c>
      <c r="B495" s="10" t="s">
        <v>82</v>
      </c>
      <c r="C495" s="10" t="s">
        <v>4418</v>
      </c>
      <c r="D495" s="11" t="str">
        <f t="shared" si="1"/>
        <v>Abrir anúncio ↗</v>
      </c>
      <c r="E495" s="12" t="s">
        <v>4419</v>
      </c>
      <c r="F495" s="10" t="s">
        <v>29</v>
      </c>
      <c r="G495" s="12" t="s">
        <v>99</v>
      </c>
      <c r="H495" s="12" t="s">
        <v>3384</v>
      </c>
      <c r="I495" s="10"/>
      <c r="J495" s="10"/>
      <c r="K495" s="12"/>
    </row>
    <row r="496" ht="15.75" customHeight="1">
      <c r="A496" s="3" t="s">
        <v>12</v>
      </c>
      <c r="B496" s="3" t="s">
        <v>82</v>
      </c>
      <c r="C496" s="3" t="s">
        <v>4426</v>
      </c>
      <c r="D496" s="8" t="str">
        <f t="shared" si="1"/>
        <v>Abrir anúncio ↗</v>
      </c>
      <c r="E496" s="9" t="s">
        <v>4429</v>
      </c>
      <c r="F496" s="3" t="s">
        <v>86</v>
      </c>
      <c r="G496" s="9" t="s">
        <v>99</v>
      </c>
      <c r="H496" s="9" t="s">
        <v>3384</v>
      </c>
      <c r="I496" s="3"/>
      <c r="J496" s="3"/>
      <c r="K496" s="9"/>
    </row>
    <row r="497" ht="15.75" customHeight="1">
      <c r="A497" s="10" t="s">
        <v>12</v>
      </c>
      <c r="B497" s="10" t="s">
        <v>82</v>
      </c>
      <c r="C497" s="10" t="s">
        <v>4437</v>
      </c>
      <c r="D497" s="11" t="str">
        <f t="shared" si="1"/>
        <v>Abrir anúncio ↗</v>
      </c>
      <c r="E497" s="12" t="s">
        <v>4439</v>
      </c>
      <c r="F497" s="10" t="s">
        <v>29</v>
      </c>
      <c r="G497" s="12" t="s">
        <v>3422</v>
      </c>
      <c r="H497" s="12" t="s">
        <v>3446</v>
      </c>
      <c r="I497" s="10"/>
      <c r="J497" s="10"/>
      <c r="K497" s="12"/>
    </row>
    <row r="498" ht="15.75" customHeight="1">
      <c r="A498" s="3" t="s">
        <v>12</v>
      </c>
      <c r="B498" s="3" t="s">
        <v>82</v>
      </c>
      <c r="C498" s="3" t="s">
        <v>4446</v>
      </c>
      <c r="D498" s="8" t="str">
        <f t="shared" si="1"/>
        <v>Abrir anúncio ↗</v>
      </c>
      <c r="E498" s="9" t="s">
        <v>4449</v>
      </c>
      <c r="F498" s="3" t="s">
        <v>29</v>
      </c>
      <c r="G498" s="9" t="s">
        <v>3685</v>
      </c>
      <c r="H498" s="9" t="s">
        <v>3789</v>
      </c>
      <c r="I498" s="3"/>
      <c r="J498" s="3"/>
      <c r="K498" s="9"/>
    </row>
    <row r="499" ht="15.75" customHeight="1">
      <c r="A499" s="10" t="s">
        <v>12</v>
      </c>
      <c r="B499" s="10" t="s">
        <v>82</v>
      </c>
      <c r="C499" s="10" t="s">
        <v>4458</v>
      </c>
      <c r="D499" s="11" t="str">
        <f t="shared" si="1"/>
        <v>Abrir anúncio ↗</v>
      </c>
      <c r="E499" s="12" t="s">
        <v>4462</v>
      </c>
      <c r="F499" s="10" t="s">
        <v>29</v>
      </c>
      <c r="G499" s="12" t="s">
        <v>3685</v>
      </c>
      <c r="H499" s="12" t="s">
        <v>3853</v>
      </c>
      <c r="I499" s="10"/>
      <c r="J499" s="10"/>
      <c r="K499" s="12"/>
    </row>
    <row r="500" ht="15.75" customHeight="1">
      <c r="A500" s="3" t="s">
        <v>12</v>
      </c>
      <c r="B500" s="3" t="s">
        <v>82</v>
      </c>
      <c r="C500" s="3" t="s">
        <v>4469</v>
      </c>
      <c r="D500" s="8" t="str">
        <f t="shared" si="1"/>
        <v>Abrir anúncio ↗</v>
      </c>
      <c r="E500" s="9" t="s">
        <v>4474</v>
      </c>
      <c r="F500" s="3" t="s">
        <v>29</v>
      </c>
      <c r="G500" s="9" t="s">
        <v>3685</v>
      </c>
      <c r="H500" s="9" t="s">
        <v>4315</v>
      </c>
      <c r="I500" s="3"/>
      <c r="J500" s="3"/>
      <c r="K500" s="9"/>
    </row>
    <row r="501" ht="15.75" customHeight="1">
      <c r="A501" s="10" t="s">
        <v>12</v>
      </c>
      <c r="B501" s="10" t="s">
        <v>82</v>
      </c>
      <c r="C501" s="10" t="s">
        <v>4482</v>
      </c>
      <c r="D501" s="11" t="str">
        <f t="shared" si="1"/>
        <v>Abrir anúncio ↗</v>
      </c>
      <c r="E501" s="12" t="s">
        <v>307</v>
      </c>
      <c r="F501" s="10" t="s">
        <v>29</v>
      </c>
      <c r="G501" s="12" t="s">
        <v>99</v>
      </c>
      <c r="H501" s="12" t="s">
        <v>3384</v>
      </c>
      <c r="I501" s="10"/>
      <c r="J501" s="10"/>
      <c r="K501" s="12"/>
    </row>
    <row r="502" ht="15.75" customHeight="1">
      <c r="A502" s="3" t="s">
        <v>12</v>
      </c>
      <c r="B502" s="3" t="s">
        <v>82</v>
      </c>
      <c r="C502" s="3" t="s">
        <v>4492</v>
      </c>
      <c r="D502" s="8" t="str">
        <f t="shared" si="1"/>
        <v>Abrir anúncio ↗</v>
      </c>
      <c r="E502" s="9" t="s">
        <v>4493</v>
      </c>
      <c r="F502" s="3" t="s">
        <v>29</v>
      </c>
      <c r="G502" s="9" t="s">
        <v>3685</v>
      </c>
      <c r="H502" s="9" t="s">
        <v>3687</v>
      </c>
      <c r="I502" s="3"/>
      <c r="J502" s="3"/>
      <c r="K502" s="9"/>
    </row>
    <row r="503" ht="15.75" customHeight="1">
      <c r="A503" s="10" t="s">
        <v>12</v>
      </c>
      <c r="B503" s="10" t="s">
        <v>82</v>
      </c>
      <c r="C503" s="10" t="s">
        <v>4504</v>
      </c>
      <c r="D503" s="11" t="str">
        <f t="shared" si="1"/>
        <v>Abrir anúncio ↗</v>
      </c>
      <c r="E503" s="12" t="s">
        <v>4507</v>
      </c>
      <c r="F503" s="10" t="s">
        <v>29</v>
      </c>
      <c r="G503" s="12" t="s">
        <v>3685</v>
      </c>
      <c r="H503" s="12" t="s">
        <v>4189</v>
      </c>
      <c r="I503" s="10"/>
      <c r="J503" s="10"/>
      <c r="K503" s="12"/>
    </row>
    <row r="504" ht="15.75" customHeight="1">
      <c r="A504" s="3" t="s">
        <v>12</v>
      </c>
      <c r="B504" s="3" t="s">
        <v>82</v>
      </c>
      <c r="C504" s="3" t="s">
        <v>4516</v>
      </c>
      <c r="D504" s="8" t="str">
        <f t="shared" si="1"/>
        <v>Abrir anúncio ↗</v>
      </c>
      <c r="E504" s="9" t="s">
        <v>4519</v>
      </c>
      <c r="F504" s="3" t="s">
        <v>86</v>
      </c>
      <c r="G504" s="9" t="s">
        <v>3685</v>
      </c>
      <c r="H504" s="9" t="s">
        <v>4315</v>
      </c>
      <c r="I504" s="3"/>
      <c r="J504" s="3"/>
      <c r="K504" s="9"/>
    </row>
    <row r="505" ht="15.75" customHeight="1">
      <c r="A505" s="10" t="s">
        <v>12</v>
      </c>
      <c r="B505" s="10" t="s">
        <v>82</v>
      </c>
      <c r="C505" s="10" t="s">
        <v>4527</v>
      </c>
      <c r="D505" s="11" t="str">
        <f t="shared" si="1"/>
        <v>Abrir anúncio ↗</v>
      </c>
      <c r="E505" s="12" t="s">
        <v>4530</v>
      </c>
      <c r="F505" s="10" t="s">
        <v>29</v>
      </c>
      <c r="G505" s="12" t="s">
        <v>3962</v>
      </c>
      <c r="H505" s="12" t="s">
        <v>4534</v>
      </c>
      <c r="I505" s="10"/>
      <c r="J505" s="10"/>
      <c r="K505" s="12"/>
    </row>
    <row r="506" ht="15.75" customHeight="1">
      <c r="A506" s="3" t="s">
        <v>12</v>
      </c>
      <c r="B506" s="3" t="s">
        <v>82</v>
      </c>
      <c r="C506" s="3" t="s">
        <v>4541</v>
      </c>
      <c r="D506" s="8" t="str">
        <f t="shared" si="1"/>
        <v>Abrir anúncio ↗</v>
      </c>
      <c r="E506" s="9" t="s">
        <v>4544</v>
      </c>
      <c r="F506" s="3" t="s">
        <v>86</v>
      </c>
      <c r="G506" s="9" t="s">
        <v>157</v>
      </c>
      <c r="H506" s="9" t="s">
        <v>4551</v>
      </c>
      <c r="I506" s="3"/>
      <c r="J506" s="3"/>
      <c r="K506" s="9"/>
    </row>
    <row r="507" ht="15.75" customHeight="1">
      <c r="A507" s="10" t="s">
        <v>12</v>
      </c>
      <c r="B507" s="10" t="s">
        <v>82</v>
      </c>
      <c r="C507" s="10" t="s">
        <v>4555</v>
      </c>
      <c r="D507" s="11" t="str">
        <f t="shared" si="1"/>
        <v>Abrir anúncio ↗</v>
      </c>
      <c r="E507" s="12" t="s">
        <v>4559</v>
      </c>
      <c r="F507" s="10" t="s">
        <v>29</v>
      </c>
      <c r="G507" s="12" t="s">
        <v>4262</v>
      </c>
      <c r="H507" s="12" t="s">
        <v>4563</v>
      </c>
      <c r="I507" s="10"/>
      <c r="J507" s="10"/>
      <c r="K507" s="12"/>
    </row>
    <row r="508" ht="15.75" customHeight="1">
      <c r="A508" s="3" t="s">
        <v>12</v>
      </c>
      <c r="B508" s="3" t="s">
        <v>82</v>
      </c>
      <c r="C508" s="3" t="s">
        <v>4568</v>
      </c>
      <c r="D508" s="8" t="str">
        <f t="shared" si="1"/>
        <v>Abrir anúncio ↗</v>
      </c>
      <c r="E508" s="9" t="s">
        <v>4572</v>
      </c>
      <c r="F508" s="3" t="s">
        <v>29</v>
      </c>
      <c r="G508" s="9" t="s">
        <v>3685</v>
      </c>
      <c r="H508" s="9" t="s">
        <v>4575</v>
      </c>
      <c r="I508" s="3"/>
      <c r="J508" s="3"/>
      <c r="K508" s="9"/>
    </row>
    <row r="509" ht="15.75" customHeight="1">
      <c r="A509" s="10" t="s">
        <v>12</v>
      </c>
      <c r="B509" s="10" t="s">
        <v>82</v>
      </c>
      <c r="C509" s="10" t="s">
        <v>4582</v>
      </c>
      <c r="D509" s="11" t="str">
        <f t="shared" si="1"/>
        <v>Abrir anúncio ↗</v>
      </c>
      <c r="E509" s="12" t="s">
        <v>4585</v>
      </c>
      <c r="F509" s="10" t="s">
        <v>29</v>
      </c>
      <c r="G509" s="12" t="s">
        <v>3892</v>
      </c>
      <c r="H509" s="12" t="s">
        <v>4588</v>
      </c>
      <c r="I509" s="10"/>
      <c r="J509" s="10"/>
      <c r="K509" s="12"/>
    </row>
    <row r="510" ht="15.75" customHeight="1">
      <c r="A510" s="3" t="s">
        <v>12</v>
      </c>
      <c r="B510" s="3" t="s">
        <v>82</v>
      </c>
      <c r="C510" s="3" t="s">
        <v>4597</v>
      </c>
      <c r="D510" s="8" t="str">
        <f t="shared" si="1"/>
        <v>Abrir anúncio ↗</v>
      </c>
      <c r="E510" s="9" t="s">
        <v>4600</v>
      </c>
      <c r="F510" s="3" t="s">
        <v>29</v>
      </c>
      <c r="G510" s="9" t="s">
        <v>3685</v>
      </c>
      <c r="H510" s="9" t="s">
        <v>4207</v>
      </c>
      <c r="I510" s="3"/>
      <c r="J510" s="3"/>
      <c r="K510" s="9"/>
    </row>
    <row r="511" ht="15.75" customHeight="1">
      <c r="A511" s="10" t="s">
        <v>12</v>
      </c>
      <c r="B511" s="10" t="s">
        <v>82</v>
      </c>
      <c r="C511" s="10" t="s">
        <v>4611</v>
      </c>
      <c r="D511" s="11" t="str">
        <f t="shared" si="1"/>
        <v>Abrir anúncio ↗</v>
      </c>
      <c r="E511" s="12" t="s">
        <v>4614</v>
      </c>
      <c r="F511" s="10" t="s">
        <v>29</v>
      </c>
      <c r="G511" s="12" t="s">
        <v>3685</v>
      </c>
      <c r="H511" s="12" t="s">
        <v>3871</v>
      </c>
      <c r="I511" s="10"/>
      <c r="J511" s="10"/>
      <c r="K511" s="12"/>
    </row>
    <row r="512" ht="15.75" customHeight="1">
      <c r="A512" s="3" t="s">
        <v>12</v>
      </c>
      <c r="B512" s="3" t="s">
        <v>82</v>
      </c>
      <c r="C512" s="3" t="s">
        <v>4623</v>
      </c>
      <c r="D512" s="8" t="str">
        <f t="shared" si="1"/>
        <v>Abrir anúncio ↗</v>
      </c>
      <c r="E512" s="9" t="s">
        <v>4626</v>
      </c>
      <c r="F512" s="3" t="s">
        <v>86</v>
      </c>
      <c r="G512" s="9" t="s">
        <v>4262</v>
      </c>
      <c r="H512" s="9" t="s">
        <v>4631</v>
      </c>
      <c r="I512" s="3"/>
      <c r="J512" s="3"/>
      <c r="K512" s="9"/>
    </row>
    <row r="513" ht="15.75" customHeight="1">
      <c r="A513" s="10" t="s">
        <v>12</v>
      </c>
      <c r="B513" s="10" t="s">
        <v>82</v>
      </c>
      <c r="C513" s="10" t="s">
        <v>4635</v>
      </c>
      <c r="D513" s="11" t="str">
        <f t="shared" si="1"/>
        <v>Abrir anúncio ↗</v>
      </c>
      <c r="E513" s="12" t="s">
        <v>4640</v>
      </c>
      <c r="F513" s="10" t="s">
        <v>29</v>
      </c>
      <c r="G513" s="12" t="s">
        <v>3892</v>
      </c>
      <c r="H513" s="12" t="s">
        <v>4643</v>
      </c>
      <c r="I513" s="10"/>
      <c r="J513" s="10"/>
      <c r="K513" s="12"/>
    </row>
    <row r="514" ht="15.75" customHeight="1">
      <c r="A514" s="3" t="s">
        <v>12</v>
      </c>
      <c r="B514" s="3" t="s">
        <v>82</v>
      </c>
      <c r="C514" s="3" t="s">
        <v>4647</v>
      </c>
      <c r="D514" s="8" t="str">
        <f t="shared" si="1"/>
        <v>Abrir anúncio ↗</v>
      </c>
      <c r="E514" s="9" t="s">
        <v>4651</v>
      </c>
      <c r="F514" s="3" t="s">
        <v>29</v>
      </c>
      <c r="G514" s="9" t="s">
        <v>3685</v>
      </c>
      <c r="H514" s="9" t="s">
        <v>3917</v>
      </c>
      <c r="I514" s="3"/>
      <c r="J514" s="3"/>
      <c r="K514" s="9"/>
    </row>
    <row r="515" ht="15.75" customHeight="1">
      <c r="A515" s="10" t="s">
        <v>12</v>
      </c>
      <c r="B515" s="10" t="s">
        <v>82</v>
      </c>
      <c r="C515" s="10" t="s">
        <v>4659</v>
      </c>
      <c r="D515" s="11" t="str">
        <f t="shared" si="1"/>
        <v>Abrir anúncio ↗</v>
      </c>
      <c r="E515" s="12" t="s">
        <v>4663</v>
      </c>
      <c r="F515" s="10" t="s">
        <v>29</v>
      </c>
      <c r="G515" s="12" t="s">
        <v>3422</v>
      </c>
      <c r="H515" s="12" t="s">
        <v>4230</v>
      </c>
      <c r="I515" s="10"/>
      <c r="J515" s="10"/>
      <c r="K515" s="12"/>
    </row>
    <row r="516" ht="15.75" customHeight="1">
      <c r="A516" s="3" t="s">
        <v>12</v>
      </c>
      <c r="B516" s="3" t="s">
        <v>82</v>
      </c>
      <c r="C516" s="3" t="s">
        <v>4673</v>
      </c>
      <c r="D516" s="8" t="str">
        <f t="shared" si="1"/>
        <v>Abrir anúncio ↗</v>
      </c>
      <c r="E516" s="9" t="s">
        <v>4675</v>
      </c>
      <c r="F516" s="3" t="s">
        <v>29</v>
      </c>
      <c r="G516" s="9" t="s">
        <v>3685</v>
      </c>
      <c r="H516" s="9" t="s">
        <v>4253</v>
      </c>
      <c r="I516" s="3"/>
      <c r="J516" s="3"/>
      <c r="K516" s="9"/>
    </row>
    <row r="517" ht="15.75" customHeight="1">
      <c r="A517" s="10" t="s">
        <v>12</v>
      </c>
      <c r="B517" s="10" t="s">
        <v>82</v>
      </c>
      <c r="C517" s="10" t="s">
        <v>4684</v>
      </c>
      <c r="D517" s="11" t="str">
        <f t="shared" si="1"/>
        <v>Abrir anúncio ↗</v>
      </c>
      <c r="E517" s="12" t="s">
        <v>4686</v>
      </c>
      <c r="F517" s="10" t="s">
        <v>29</v>
      </c>
      <c r="G517" s="12" t="s">
        <v>3685</v>
      </c>
      <c r="H517" s="12" t="s">
        <v>4207</v>
      </c>
      <c r="I517" s="10"/>
      <c r="J517" s="10"/>
      <c r="K517" s="12"/>
    </row>
    <row r="518" ht="15.75" customHeight="1">
      <c r="A518" s="3" t="s">
        <v>12</v>
      </c>
      <c r="B518" s="3" t="s">
        <v>82</v>
      </c>
      <c r="C518" s="3" t="s">
        <v>4695</v>
      </c>
      <c r="D518" s="8" t="str">
        <f t="shared" si="1"/>
        <v>Abrir anúncio ↗</v>
      </c>
      <c r="E518" s="9" t="s">
        <v>4698</v>
      </c>
      <c r="F518" s="3" t="s">
        <v>86</v>
      </c>
      <c r="G518" s="9" t="s">
        <v>4262</v>
      </c>
      <c r="H518" s="9" t="s">
        <v>4701</v>
      </c>
      <c r="I518" s="3"/>
      <c r="J518" s="3"/>
      <c r="K518" s="9"/>
    </row>
    <row r="519" ht="15.75" customHeight="1">
      <c r="A519" s="10" t="s">
        <v>12</v>
      </c>
      <c r="B519" s="10" t="s">
        <v>82</v>
      </c>
      <c r="C519" s="10" t="s">
        <v>4708</v>
      </c>
      <c r="D519" s="11" t="str">
        <f t="shared" si="1"/>
        <v>Abrir anúncio ↗</v>
      </c>
      <c r="E519" s="12" t="s">
        <v>4710</v>
      </c>
      <c r="F519" s="10" t="s">
        <v>86</v>
      </c>
      <c r="G519" s="12" t="s">
        <v>157</v>
      </c>
      <c r="H519" s="12" t="s">
        <v>4551</v>
      </c>
      <c r="I519" s="10"/>
      <c r="J519" s="10"/>
      <c r="K519" s="12"/>
    </row>
    <row r="520" ht="15.75" customHeight="1">
      <c r="A520" s="3" t="s">
        <v>12</v>
      </c>
      <c r="B520" s="3" t="s">
        <v>82</v>
      </c>
      <c r="C520" s="3" t="s">
        <v>4718</v>
      </c>
      <c r="D520" s="8" t="str">
        <f t="shared" si="1"/>
        <v>Abrir anúncio ↗</v>
      </c>
      <c r="E520" s="9" t="s">
        <v>4721</v>
      </c>
      <c r="F520" s="3" t="s">
        <v>29</v>
      </c>
      <c r="G520" s="9" t="s">
        <v>3685</v>
      </c>
      <c r="H520" s="9" t="s">
        <v>4189</v>
      </c>
      <c r="I520" s="3"/>
      <c r="J520" s="3"/>
      <c r="K520" s="9"/>
    </row>
    <row r="521" ht="15.75" customHeight="1">
      <c r="A521" s="10" t="s">
        <v>12</v>
      </c>
      <c r="B521" s="10" t="s">
        <v>82</v>
      </c>
      <c r="C521" s="10" t="s">
        <v>4729</v>
      </c>
      <c r="D521" s="11" t="str">
        <f t="shared" si="1"/>
        <v>Abrir anúncio ↗</v>
      </c>
      <c r="E521" s="12" t="s">
        <v>4047</v>
      </c>
      <c r="F521" s="10" t="s">
        <v>86</v>
      </c>
      <c r="G521" s="12" t="s">
        <v>157</v>
      </c>
      <c r="H521" s="12" t="s">
        <v>4551</v>
      </c>
      <c r="I521" s="10"/>
      <c r="J521" s="10"/>
      <c r="K521" s="12"/>
    </row>
    <row r="522" ht="15.75" customHeight="1">
      <c r="A522" s="3" t="s">
        <v>12</v>
      </c>
      <c r="B522" s="3" t="s">
        <v>82</v>
      </c>
      <c r="C522" s="3" t="s">
        <v>4737</v>
      </c>
      <c r="D522" s="8" t="str">
        <f t="shared" si="1"/>
        <v>Abrir anúncio ↗</v>
      </c>
      <c r="E522" s="9" t="s">
        <v>4738</v>
      </c>
      <c r="F522" s="3" t="s">
        <v>29</v>
      </c>
      <c r="G522" s="9" t="s">
        <v>3685</v>
      </c>
      <c r="H522" s="9" t="s">
        <v>4315</v>
      </c>
      <c r="I522" s="3"/>
      <c r="J522" s="3"/>
      <c r="K522" s="9"/>
    </row>
    <row r="523" ht="15.75" customHeight="1">
      <c r="A523" s="10" t="s">
        <v>12</v>
      </c>
      <c r="B523" s="10" t="s">
        <v>82</v>
      </c>
      <c r="C523" s="10" t="s">
        <v>4745</v>
      </c>
      <c r="D523" s="11" t="str">
        <f t="shared" si="1"/>
        <v>Abrir anúncio ↗</v>
      </c>
      <c r="E523" s="12" t="s">
        <v>4749</v>
      </c>
      <c r="F523" s="10" t="s">
        <v>29</v>
      </c>
      <c r="G523" s="12" t="s">
        <v>3892</v>
      </c>
      <c r="H523" s="12" t="s">
        <v>4751</v>
      </c>
      <c r="I523" s="10"/>
      <c r="J523" s="10"/>
      <c r="K523" s="12"/>
    </row>
    <row r="524" ht="15.75" customHeight="1">
      <c r="A524" s="3" t="s">
        <v>12</v>
      </c>
      <c r="B524" s="3" t="s">
        <v>82</v>
      </c>
      <c r="C524" s="3" t="s">
        <v>4755</v>
      </c>
      <c r="D524" s="8" t="str">
        <f t="shared" si="1"/>
        <v>Abrir anúncio ↗</v>
      </c>
      <c r="E524" s="9" t="s">
        <v>4757</v>
      </c>
      <c r="F524" s="3" t="s">
        <v>29</v>
      </c>
      <c r="G524" s="9" t="s">
        <v>99</v>
      </c>
      <c r="H524" s="9" t="s">
        <v>143</v>
      </c>
      <c r="I524" s="3"/>
      <c r="J524" s="3"/>
      <c r="K524" s="9"/>
    </row>
    <row r="525" ht="15.75" customHeight="1">
      <c r="A525" s="10" t="s">
        <v>12</v>
      </c>
      <c r="B525" s="10" t="s">
        <v>82</v>
      </c>
      <c r="C525" s="10" t="s">
        <v>4764</v>
      </c>
      <c r="D525" s="11" t="str">
        <f t="shared" si="1"/>
        <v>Abrir anúncio ↗</v>
      </c>
      <c r="E525" s="12" t="s">
        <v>4767</v>
      </c>
      <c r="F525" s="10" t="s">
        <v>29</v>
      </c>
      <c r="G525" s="12" t="s">
        <v>3685</v>
      </c>
      <c r="H525" s="12" t="s">
        <v>4315</v>
      </c>
      <c r="I525" s="10"/>
      <c r="J525" s="10"/>
      <c r="K525" s="12"/>
    </row>
    <row r="526" ht="15.75" customHeight="1">
      <c r="A526" s="3" t="s">
        <v>12</v>
      </c>
      <c r="B526" s="3" t="s">
        <v>82</v>
      </c>
      <c r="C526" s="3" t="s">
        <v>4772</v>
      </c>
      <c r="D526" s="8" t="str">
        <f t="shared" si="1"/>
        <v>Abrir anúncio ↗</v>
      </c>
      <c r="E526" s="9" t="s">
        <v>4776</v>
      </c>
      <c r="F526" s="3" t="s">
        <v>29</v>
      </c>
      <c r="G526" s="9" t="s">
        <v>3685</v>
      </c>
      <c r="H526" s="9" t="s">
        <v>4315</v>
      </c>
      <c r="I526" s="3"/>
      <c r="J526" s="3"/>
      <c r="K526" s="9"/>
    </row>
    <row r="527" ht="15.75" customHeight="1">
      <c r="A527" s="10" t="s">
        <v>12</v>
      </c>
      <c r="B527" s="10" t="s">
        <v>82</v>
      </c>
      <c r="C527" s="10" t="s">
        <v>4780</v>
      </c>
      <c r="D527" s="11" t="str">
        <f t="shared" si="1"/>
        <v>Abrir anúncio ↗</v>
      </c>
      <c r="E527" s="12" t="s">
        <v>4784</v>
      </c>
      <c r="F527" s="10" t="s">
        <v>86</v>
      </c>
      <c r="G527" s="12" t="s">
        <v>4786</v>
      </c>
      <c r="H527" s="12" t="s">
        <v>4788</v>
      </c>
      <c r="I527" s="10"/>
      <c r="J527" s="10"/>
      <c r="K527" s="12"/>
    </row>
    <row r="528" ht="15.75" customHeight="1">
      <c r="A528" s="3" t="s">
        <v>12</v>
      </c>
      <c r="B528" s="3" t="s">
        <v>82</v>
      </c>
      <c r="C528" s="3" t="s">
        <v>4793</v>
      </c>
      <c r="D528" s="8" t="str">
        <f t="shared" si="1"/>
        <v>Abrir anúncio ↗</v>
      </c>
      <c r="E528" s="9" t="s">
        <v>4795</v>
      </c>
      <c r="F528" s="3" t="s">
        <v>29</v>
      </c>
      <c r="G528" s="9" t="s">
        <v>3685</v>
      </c>
      <c r="H528" s="9" t="s">
        <v>4167</v>
      </c>
      <c r="I528" s="3"/>
      <c r="J528" s="3"/>
      <c r="K528" s="9"/>
    </row>
    <row r="529" ht="15.75" customHeight="1">
      <c r="A529" s="10" t="s">
        <v>12</v>
      </c>
      <c r="B529" s="10" t="s">
        <v>82</v>
      </c>
      <c r="C529" s="10" t="s">
        <v>4800</v>
      </c>
      <c r="D529" s="11" t="str">
        <f t="shared" si="1"/>
        <v>Abrir anúncio ↗</v>
      </c>
      <c r="E529" s="12" t="s">
        <v>4803</v>
      </c>
      <c r="F529" s="10" t="s">
        <v>29</v>
      </c>
      <c r="G529" s="12" t="s">
        <v>157</v>
      </c>
      <c r="H529" s="12" t="s">
        <v>4551</v>
      </c>
      <c r="I529" s="10"/>
      <c r="J529" s="10"/>
      <c r="K529" s="12"/>
    </row>
    <row r="530" ht="15.75" customHeight="1">
      <c r="A530" s="3" t="s">
        <v>12</v>
      </c>
      <c r="B530" s="3" t="s">
        <v>82</v>
      </c>
      <c r="C530" s="3" t="s">
        <v>4809</v>
      </c>
      <c r="D530" s="8" t="str">
        <f t="shared" si="1"/>
        <v>Abrir anúncio ↗</v>
      </c>
      <c r="E530" s="9" t="s">
        <v>4812</v>
      </c>
      <c r="F530" s="3" t="s">
        <v>29</v>
      </c>
      <c r="G530" s="9" t="s">
        <v>3892</v>
      </c>
      <c r="H530" s="9" t="s">
        <v>4588</v>
      </c>
      <c r="I530" s="3"/>
      <c r="J530" s="3"/>
      <c r="K530" s="9"/>
    </row>
    <row r="531" ht="15.75" customHeight="1">
      <c r="A531" s="10" t="s">
        <v>12</v>
      </c>
      <c r="B531" s="10" t="s">
        <v>82</v>
      </c>
      <c r="C531" s="10" t="s">
        <v>4818</v>
      </c>
      <c r="D531" s="11" t="str">
        <f t="shared" si="1"/>
        <v>Abrir anúncio ↗</v>
      </c>
      <c r="E531" s="12" t="s">
        <v>4820</v>
      </c>
      <c r="F531" s="10" t="s">
        <v>29</v>
      </c>
      <c r="G531" s="12" t="s">
        <v>4262</v>
      </c>
      <c r="H531" s="12" t="s">
        <v>4822</v>
      </c>
      <c r="I531" s="10"/>
      <c r="J531" s="10"/>
      <c r="K531" s="12"/>
    </row>
    <row r="532" ht="15.75" customHeight="1">
      <c r="A532" s="3" t="s">
        <v>12</v>
      </c>
      <c r="B532" s="3" t="s">
        <v>82</v>
      </c>
      <c r="C532" s="3" t="s">
        <v>4828</v>
      </c>
      <c r="D532" s="8" t="str">
        <f t="shared" si="1"/>
        <v>Abrir anúncio ↗</v>
      </c>
      <c r="E532" s="9" t="s">
        <v>4830</v>
      </c>
      <c r="F532" s="3" t="s">
        <v>29</v>
      </c>
      <c r="G532" s="9" t="s">
        <v>3422</v>
      </c>
      <c r="H532" s="9" t="s">
        <v>3795</v>
      </c>
      <c r="I532" s="3"/>
      <c r="J532" s="3"/>
      <c r="K532" s="9"/>
    </row>
    <row r="533" ht="15.75" customHeight="1">
      <c r="A533" s="10" t="s">
        <v>12</v>
      </c>
      <c r="B533" s="10" t="s">
        <v>82</v>
      </c>
      <c r="C533" s="10" t="s">
        <v>4840</v>
      </c>
      <c r="D533" s="11" t="str">
        <f t="shared" si="1"/>
        <v>Abrir anúncio ↗</v>
      </c>
      <c r="E533" s="12" t="s">
        <v>4844</v>
      </c>
      <c r="F533" s="10" t="s">
        <v>29</v>
      </c>
      <c r="G533" s="12" t="s">
        <v>3685</v>
      </c>
      <c r="H533" s="12" t="s">
        <v>4241</v>
      </c>
      <c r="I533" s="10"/>
      <c r="J533" s="10"/>
      <c r="K533" s="12"/>
    </row>
    <row r="534" ht="15.75" customHeight="1">
      <c r="A534" s="3" t="s">
        <v>12</v>
      </c>
      <c r="B534" s="3" t="s">
        <v>82</v>
      </c>
      <c r="C534" s="3" t="s">
        <v>4854</v>
      </c>
      <c r="D534" s="8" t="str">
        <f t="shared" si="1"/>
        <v>Abrir anúncio ↗</v>
      </c>
      <c r="E534" s="9" t="s">
        <v>4856</v>
      </c>
      <c r="F534" s="3" t="s">
        <v>29</v>
      </c>
      <c r="G534" s="9" t="s">
        <v>3685</v>
      </c>
      <c r="H534" s="9" t="s">
        <v>3883</v>
      </c>
      <c r="I534" s="3"/>
      <c r="J534" s="3"/>
      <c r="K534" s="9"/>
    </row>
    <row r="535" ht="15.75" customHeight="1">
      <c r="A535" s="10" t="s">
        <v>12</v>
      </c>
      <c r="B535" s="10" t="s">
        <v>82</v>
      </c>
      <c r="C535" s="10" t="s">
        <v>4866</v>
      </c>
      <c r="D535" s="11" t="str">
        <f t="shared" si="1"/>
        <v>Abrir anúncio ↗</v>
      </c>
      <c r="E535" s="12" t="s">
        <v>4869</v>
      </c>
      <c r="F535" s="10" t="s">
        <v>29</v>
      </c>
      <c r="G535" s="12" t="s">
        <v>3422</v>
      </c>
      <c r="H535" s="12" t="s">
        <v>3777</v>
      </c>
      <c r="I535" s="10"/>
      <c r="J535" s="10"/>
      <c r="K535" s="12"/>
    </row>
    <row r="536" ht="15.75" customHeight="1">
      <c r="A536" s="3" t="s">
        <v>12</v>
      </c>
      <c r="B536" s="3" t="s">
        <v>82</v>
      </c>
      <c r="C536" s="3" t="s">
        <v>4876</v>
      </c>
      <c r="D536" s="8" t="str">
        <f t="shared" si="1"/>
        <v>Abrir anúncio ↗</v>
      </c>
      <c r="E536" s="9" t="s">
        <v>4880</v>
      </c>
      <c r="F536" s="3" t="s">
        <v>86</v>
      </c>
      <c r="G536" s="9" t="s">
        <v>3962</v>
      </c>
      <c r="H536" s="9" t="s">
        <v>4882</v>
      </c>
      <c r="I536" s="3"/>
      <c r="J536" s="3"/>
      <c r="K536" s="9"/>
    </row>
    <row r="537" ht="15.75" customHeight="1">
      <c r="A537" s="10" t="s">
        <v>12</v>
      </c>
      <c r="B537" s="10" t="s">
        <v>82</v>
      </c>
      <c r="C537" s="10" t="s">
        <v>4890</v>
      </c>
      <c r="D537" s="11" t="str">
        <f t="shared" si="1"/>
        <v>Abrir anúncio ↗</v>
      </c>
      <c r="E537" s="12" t="s">
        <v>4893</v>
      </c>
      <c r="F537" s="10" t="s">
        <v>29</v>
      </c>
      <c r="G537" s="12" t="s">
        <v>3685</v>
      </c>
      <c r="H537" s="12" t="s">
        <v>3877</v>
      </c>
      <c r="I537" s="10"/>
      <c r="J537" s="10"/>
      <c r="K537" s="12"/>
    </row>
    <row r="538" ht="15.75" customHeight="1">
      <c r="A538" s="3" t="s">
        <v>12</v>
      </c>
      <c r="B538" s="3" t="s">
        <v>82</v>
      </c>
      <c r="C538" s="3" t="s">
        <v>4901</v>
      </c>
      <c r="D538" s="8" t="str">
        <f t="shared" si="1"/>
        <v>Abrir anúncio ↗</v>
      </c>
      <c r="E538" s="9" t="s">
        <v>4903</v>
      </c>
      <c r="F538" s="3" t="s">
        <v>29</v>
      </c>
      <c r="G538" s="9" t="s">
        <v>3685</v>
      </c>
      <c r="H538" s="9" t="s">
        <v>4207</v>
      </c>
      <c r="I538" s="3"/>
      <c r="J538" s="3"/>
      <c r="K538" s="9"/>
    </row>
    <row r="539" ht="15.75" customHeight="1">
      <c r="A539" s="10" t="s">
        <v>12</v>
      </c>
      <c r="B539" s="10" t="s">
        <v>82</v>
      </c>
      <c r="C539" s="10" t="s">
        <v>4912</v>
      </c>
      <c r="D539" s="11" t="str">
        <f t="shared" si="1"/>
        <v>Abrir anúncio ↗</v>
      </c>
      <c r="E539" s="12" t="s">
        <v>4913</v>
      </c>
      <c r="F539" s="10" t="s">
        <v>29</v>
      </c>
      <c r="G539" s="12" t="s">
        <v>3422</v>
      </c>
      <c r="H539" s="12" t="s">
        <v>3777</v>
      </c>
      <c r="I539" s="10"/>
      <c r="J539" s="10"/>
      <c r="K539" s="12"/>
    </row>
    <row r="540" ht="15.75" customHeight="1">
      <c r="A540" s="3" t="s">
        <v>12</v>
      </c>
      <c r="B540" s="3" t="s">
        <v>82</v>
      </c>
      <c r="C540" s="3" t="s">
        <v>4926</v>
      </c>
      <c r="D540" s="8" t="str">
        <f t="shared" si="1"/>
        <v>Abrir anúncio ↗</v>
      </c>
      <c r="E540" s="9" t="s">
        <v>4927</v>
      </c>
      <c r="F540" s="3" t="s">
        <v>29</v>
      </c>
      <c r="G540" s="9" t="s">
        <v>3422</v>
      </c>
      <c r="H540" s="9" t="s">
        <v>4197</v>
      </c>
      <c r="I540" s="3"/>
      <c r="J540" s="3"/>
      <c r="K540" s="9"/>
    </row>
    <row r="541" ht="15.75" customHeight="1">
      <c r="A541" s="10" t="s">
        <v>12</v>
      </c>
      <c r="B541" s="10" t="s">
        <v>82</v>
      </c>
      <c r="C541" s="10" t="s">
        <v>4936</v>
      </c>
      <c r="D541" s="11" t="str">
        <f t="shared" si="1"/>
        <v>Abrir anúncio ↗</v>
      </c>
      <c r="E541" s="12" t="s">
        <v>4939</v>
      </c>
      <c r="F541" s="10" t="s">
        <v>29</v>
      </c>
      <c r="G541" s="12" t="s">
        <v>3685</v>
      </c>
      <c r="H541" s="12" t="s">
        <v>3853</v>
      </c>
      <c r="I541" s="10"/>
      <c r="J541" s="10"/>
      <c r="K541" s="12"/>
    </row>
    <row r="542" ht="15.75" customHeight="1">
      <c r="A542" s="3" t="s">
        <v>12</v>
      </c>
      <c r="B542" s="3" t="s">
        <v>82</v>
      </c>
      <c r="C542" s="3" t="s">
        <v>4946</v>
      </c>
      <c r="D542" s="8" t="str">
        <f t="shared" si="1"/>
        <v>Abrir anúncio ↗</v>
      </c>
      <c r="E542" s="9" t="s">
        <v>4948</v>
      </c>
      <c r="F542" s="3" t="s">
        <v>29</v>
      </c>
      <c r="G542" s="9" t="s">
        <v>4262</v>
      </c>
      <c r="H542" s="9" t="s">
        <v>4952</v>
      </c>
      <c r="I542" s="3"/>
      <c r="J542" s="3"/>
      <c r="K542" s="9"/>
    </row>
    <row r="543" ht="15.75" customHeight="1">
      <c r="A543" s="10" t="s">
        <v>12</v>
      </c>
      <c r="B543" s="10" t="s">
        <v>82</v>
      </c>
      <c r="C543" s="10" t="s">
        <v>4960</v>
      </c>
      <c r="D543" s="11" t="str">
        <f t="shared" si="1"/>
        <v>Abrir anúncio ↗</v>
      </c>
      <c r="E543" s="12" t="s">
        <v>4962</v>
      </c>
      <c r="F543" s="10" t="s">
        <v>86</v>
      </c>
      <c r="G543" s="12" t="s">
        <v>4262</v>
      </c>
      <c r="H543" s="12" t="s">
        <v>4967</v>
      </c>
      <c r="I543" s="10"/>
      <c r="J543" s="10"/>
      <c r="K543" s="12"/>
    </row>
    <row r="544" ht="15.75" customHeight="1">
      <c r="A544" s="3" t="s">
        <v>12</v>
      </c>
      <c r="B544" s="3" t="s">
        <v>82</v>
      </c>
      <c r="C544" s="3" t="s">
        <v>4971</v>
      </c>
      <c r="D544" s="8" t="str">
        <f t="shared" si="1"/>
        <v>Abrir anúncio ↗</v>
      </c>
      <c r="E544" s="9" t="s">
        <v>4975</v>
      </c>
      <c r="F544" s="3" t="s">
        <v>29</v>
      </c>
      <c r="G544" s="9" t="s">
        <v>3892</v>
      </c>
      <c r="H544" s="9" t="s">
        <v>4978</v>
      </c>
      <c r="I544" s="3"/>
      <c r="J544" s="3"/>
      <c r="K544" s="9"/>
    </row>
    <row r="545" ht="15.75" customHeight="1">
      <c r="A545" s="10" t="s">
        <v>12</v>
      </c>
      <c r="B545" s="10" t="s">
        <v>82</v>
      </c>
      <c r="C545" s="10" t="s">
        <v>4983</v>
      </c>
      <c r="D545" s="11" t="str">
        <f t="shared" si="1"/>
        <v>Abrir anúncio ↗</v>
      </c>
      <c r="E545" s="12" t="s">
        <v>4987</v>
      </c>
      <c r="F545" s="10" t="s">
        <v>29</v>
      </c>
      <c r="G545" s="12" t="s">
        <v>4989</v>
      </c>
      <c r="H545" s="12" t="s">
        <v>4991</v>
      </c>
      <c r="I545" s="10"/>
      <c r="J545" s="10"/>
      <c r="K545" s="12"/>
    </row>
    <row r="546" ht="15.75" customHeight="1">
      <c r="A546" s="3" t="s">
        <v>12</v>
      </c>
      <c r="B546" s="3" t="s">
        <v>82</v>
      </c>
      <c r="C546" s="3" t="s">
        <v>4996</v>
      </c>
      <c r="D546" s="8" t="str">
        <f t="shared" si="1"/>
        <v>Abrir anúncio ↗</v>
      </c>
      <c r="E546" s="9" t="s">
        <v>5000</v>
      </c>
      <c r="F546" s="3" t="s">
        <v>29</v>
      </c>
      <c r="G546" s="9" t="s">
        <v>3892</v>
      </c>
      <c r="H546" s="9" t="s">
        <v>3893</v>
      </c>
      <c r="I546" s="3"/>
      <c r="J546" s="3"/>
      <c r="K546" s="9"/>
    </row>
    <row r="547" ht="15.75" customHeight="1">
      <c r="A547" s="10" t="s">
        <v>12</v>
      </c>
      <c r="B547" s="10" t="s">
        <v>82</v>
      </c>
      <c r="C547" s="10" t="s">
        <v>5005</v>
      </c>
      <c r="D547" s="11" t="str">
        <f t="shared" si="1"/>
        <v>Abrir anúncio ↗</v>
      </c>
      <c r="E547" s="12" t="s">
        <v>5009</v>
      </c>
      <c r="F547" s="10" t="s">
        <v>29</v>
      </c>
      <c r="G547" s="12" t="s">
        <v>3685</v>
      </c>
      <c r="H547" s="12" t="s">
        <v>3883</v>
      </c>
      <c r="I547" s="10"/>
      <c r="J547" s="10"/>
      <c r="K547" s="12"/>
    </row>
    <row r="548" ht="15.75" customHeight="1">
      <c r="A548" s="3" t="s">
        <v>12</v>
      </c>
      <c r="B548" s="3" t="s">
        <v>82</v>
      </c>
      <c r="C548" s="3" t="s">
        <v>5018</v>
      </c>
      <c r="D548" s="8" t="str">
        <f t="shared" si="1"/>
        <v>Abrir anúncio ↗</v>
      </c>
      <c r="E548" s="9" t="s">
        <v>5022</v>
      </c>
      <c r="F548" s="3" t="s">
        <v>29</v>
      </c>
      <c r="G548" s="9" t="s">
        <v>3685</v>
      </c>
      <c r="H548" s="9" t="s">
        <v>4167</v>
      </c>
      <c r="I548" s="3"/>
      <c r="J548" s="3"/>
      <c r="K548" s="9"/>
    </row>
    <row r="549" ht="15.75" customHeight="1">
      <c r="A549" s="10" t="s">
        <v>12</v>
      </c>
      <c r="B549" s="10" t="s">
        <v>82</v>
      </c>
      <c r="C549" s="10" t="s">
        <v>5030</v>
      </c>
      <c r="D549" s="11" t="str">
        <f t="shared" si="1"/>
        <v>Abrir anúncio ↗</v>
      </c>
      <c r="E549" s="12" t="s">
        <v>5033</v>
      </c>
      <c r="F549" s="10" t="s">
        <v>29</v>
      </c>
      <c r="G549" s="12" t="s">
        <v>3685</v>
      </c>
      <c r="H549" s="12" t="s">
        <v>4807</v>
      </c>
      <c r="I549" s="10"/>
      <c r="J549" s="10"/>
      <c r="K549" s="12"/>
    </row>
    <row r="550" ht="15.75" customHeight="1">
      <c r="A550" s="3" t="s">
        <v>12</v>
      </c>
      <c r="B550" s="3" t="s">
        <v>82</v>
      </c>
      <c r="C550" s="3" t="s">
        <v>5041</v>
      </c>
      <c r="D550" s="8" t="str">
        <f t="shared" si="1"/>
        <v>Abrir anúncio ↗</v>
      </c>
      <c r="E550" s="9" t="s">
        <v>5046</v>
      </c>
      <c r="F550" s="3" t="s">
        <v>29</v>
      </c>
      <c r="G550" s="9" t="s">
        <v>583</v>
      </c>
      <c r="H550" s="9" t="s">
        <v>3861</v>
      </c>
      <c r="I550" s="3"/>
      <c r="J550" s="3"/>
      <c r="K550" s="9"/>
    </row>
    <row r="551" ht="15.75" customHeight="1">
      <c r="A551" s="10" t="s">
        <v>12</v>
      </c>
      <c r="B551" s="10" t="s">
        <v>82</v>
      </c>
      <c r="C551" s="10" t="s">
        <v>5053</v>
      </c>
      <c r="D551" s="11" t="str">
        <f t="shared" si="1"/>
        <v>Abrir anúncio ↗</v>
      </c>
      <c r="E551" s="12" t="s">
        <v>5056</v>
      </c>
      <c r="F551" s="10" t="s">
        <v>29</v>
      </c>
      <c r="G551" s="12" t="s">
        <v>3422</v>
      </c>
      <c r="H551" s="12" t="s">
        <v>5058</v>
      </c>
      <c r="I551" s="10"/>
      <c r="J551" s="10"/>
      <c r="K551" s="12"/>
    </row>
    <row r="552" ht="15.75" customHeight="1">
      <c r="A552" s="3" t="s">
        <v>12</v>
      </c>
      <c r="B552" s="3" t="s">
        <v>82</v>
      </c>
      <c r="C552" s="3" t="s">
        <v>5064</v>
      </c>
      <c r="D552" s="8" t="str">
        <f t="shared" si="1"/>
        <v>Abrir anúncio ↗</v>
      </c>
      <c r="E552" s="9" t="s">
        <v>5067</v>
      </c>
      <c r="F552" s="3" t="s">
        <v>29</v>
      </c>
      <c r="G552" s="9" t="s">
        <v>3685</v>
      </c>
      <c r="H552" s="9" t="s">
        <v>3986</v>
      </c>
      <c r="I552" s="3"/>
      <c r="J552" s="3"/>
      <c r="K552" s="9"/>
    </row>
    <row r="553" ht="15.75" customHeight="1">
      <c r="A553" s="10" t="s">
        <v>12</v>
      </c>
      <c r="B553" s="10" t="s">
        <v>82</v>
      </c>
      <c r="C553" s="10" t="s">
        <v>5076</v>
      </c>
      <c r="D553" s="11" t="str">
        <f t="shared" si="1"/>
        <v>Abrir anúncio ↗</v>
      </c>
      <c r="E553" s="12" t="s">
        <v>5081</v>
      </c>
      <c r="F553" s="10" t="s">
        <v>29</v>
      </c>
      <c r="G553" s="12" t="s">
        <v>3685</v>
      </c>
      <c r="H553" s="12" t="s">
        <v>3853</v>
      </c>
      <c r="I553" s="10"/>
      <c r="J553" s="10"/>
      <c r="K553" s="12"/>
    </row>
    <row r="554" ht="15.75" customHeight="1">
      <c r="A554" s="3" t="s">
        <v>12</v>
      </c>
      <c r="B554" s="3" t="s">
        <v>82</v>
      </c>
      <c r="C554" s="3" t="s">
        <v>5088</v>
      </c>
      <c r="D554" s="8" t="str">
        <f t="shared" si="1"/>
        <v>Abrir anúncio ↗</v>
      </c>
      <c r="E554" s="9" t="s">
        <v>5091</v>
      </c>
      <c r="F554" s="3" t="s">
        <v>29</v>
      </c>
      <c r="G554" s="9" t="s">
        <v>3685</v>
      </c>
      <c r="H554" s="9" t="s">
        <v>3757</v>
      </c>
      <c r="I554" s="3"/>
      <c r="J554" s="3"/>
      <c r="K554" s="9"/>
    </row>
    <row r="555" ht="15.75" customHeight="1">
      <c r="A555" s="10" t="s">
        <v>12</v>
      </c>
      <c r="B555" s="10" t="s">
        <v>82</v>
      </c>
      <c r="C555" s="10" t="s">
        <v>5100</v>
      </c>
      <c r="D555" s="11" t="str">
        <f t="shared" si="1"/>
        <v>Abrir anúncio ↗</v>
      </c>
      <c r="E555" s="12" t="s">
        <v>5104</v>
      </c>
      <c r="F555" s="10" t="s">
        <v>29</v>
      </c>
      <c r="G555" s="12" t="s">
        <v>3685</v>
      </c>
      <c r="H555" s="12" t="s">
        <v>4207</v>
      </c>
      <c r="I555" s="10"/>
      <c r="J555" s="10"/>
      <c r="K555" s="12"/>
    </row>
    <row r="556" ht="15.75" customHeight="1">
      <c r="A556" s="3" t="s">
        <v>12</v>
      </c>
      <c r="B556" s="3" t="s">
        <v>82</v>
      </c>
      <c r="C556" s="3" t="s">
        <v>5110</v>
      </c>
      <c r="D556" s="8" t="str">
        <f t="shared" si="1"/>
        <v>Abrir anúncio ↗</v>
      </c>
      <c r="E556" s="9" t="s">
        <v>5113</v>
      </c>
      <c r="F556" s="3" t="s">
        <v>29</v>
      </c>
      <c r="G556" s="9" t="s">
        <v>5115</v>
      </c>
      <c r="H556" s="9" t="s">
        <v>5117</v>
      </c>
      <c r="I556" s="3"/>
      <c r="J556" s="3"/>
      <c r="K556" s="9"/>
    </row>
    <row r="557" ht="15.75" customHeight="1">
      <c r="A557" s="10" t="s">
        <v>12</v>
      </c>
      <c r="B557" s="10" t="s">
        <v>82</v>
      </c>
      <c r="C557" s="10" t="s">
        <v>5124</v>
      </c>
      <c r="D557" s="11" t="str">
        <f t="shared" si="1"/>
        <v>Abrir anúncio ↗</v>
      </c>
      <c r="E557" s="12" t="s">
        <v>5126</v>
      </c>
      <c r="F557" s="10" t="s">
        <v>29</v>
      </c>
      <c r="G557" s="12" t="s">
        <v>3422</v>
      </c>
      <c r="H557" s="12" t="s">
        <v>5131</v>
      </c>
      <c r="I557" s="10"/>
      <c r="J557" s="10"/>
      <c r="K557" s="12"/>
    </row>
    <row r="558" ht="15.75" customHeight="1">
      <c r="A558" s="3" t="s">
        <v>12</v>
      </c>
      <c r="B558" s="3" t="s">
        <v>82</v>
      </c>
      <c r="C558" s="3" t="s">
        <v>5136</v>
      </c>
      <c r="D558" s="8" t="str">
        <f t="shared" si="1"/>
        <v>Abrir anúncio ↗</v>
      </c>
      <c r="E558" s="9" t="s">
        <v>5139</v>
      </c>
      <c r="F558" s="3" t="s">
        <v>29</v>
      </c>
      <c r="G558" s="9" t="s">
        <v>3962</v>
      </c>
      <c r="H558" s="9" t="s">
        <v>5142</v>
      </c>
      <c r="I558" s="3"/>
      <c r="J558" s="3"/>
      <c r="K558" s="9"/>
    </row>
    <row r="559" ht="15.75" customHeight="1">
      <c r="A559" s="10" t="s">
        <v>12</v>
      </c>
      <c r="B559" s="10" t="s">
        <v>82</v>
      </c>
      <c r="C559" s="10" t="s">
        <v>5149</v>
      </c>
      <c r="D559" s="11" t="str">
        <f t="shared" si="1"/>
        <v>Abrir anúncio ↗</v>
      </c>
      <c r="E559" s="12" t="s">
        <v>5151</v>
      </c>
      <c r="F559" s="10" t="s">
        <v>29</v>
      </c>
      <c r="G559" s="12" t="s">
        <v>3685</v>
      </c>
      <c r="H559" s="12" t="s">
        <v>4167</v>
      </c>
      <c r="I559" s="10"/>
      <c r="J559" s="10"/>
      <c r="K559" s="12"/>
    </row>
    <row r="560" ht="15.75" customHeight="1">
      <c r="A560" s="3" t="s">
        <v>12</v>
      </c>
      <c r="B560" s="3" t="s">
        <v>82</v>
      </c>
      <c r="C560" s="3" t="s">
        <v>5156</v>
      </c>
      <c r="D560" s="8" t="str">
        <f t="shared" si="1"/>
        <v>Abrir anúncio ↗</v>
      </c>
      <c r="E560" s="9" t="s">
        <v>5160</v>
      </c>
      <c r="F560" s="3" t="s">
        <v>29</v>
      </c>
      <c r="G560" s="9" t="s">
        <v>5161</v>
      </c>
      <c r="H560" s="9" t="s">
        <v>5162</v>
      </c>
      <c r="I560" s="3"/>
      <c r="J560" s="3"/>
      <c r="K560" s="9"/>
    </row>
    <row r="561" ht="15.75" customHeight="1">
      <c r="A561" s="10" t="s">
        <v>12</v>
      </c>
      <c r="B561" s="10" t="s">
        <v>82</v>
      </c>
      <c r="C561" s="10" t="s">
        <v>5168</v>
      </c>
      <c r="D561" s="11" t="str">
        <f t="shared" si="1"/>
        <v>Abrir anúncio ↗</v>
      </c>
      <c r="E561" s="12" t="s">
        <v>5171</v>
      </c>
      <c r="F561" s="10" t="s">
        <v>29</v>
      </c>
      <c r="G561" s="12" t="s">
        <v>3892</v>
      </c>
      <c r="H561" s="12" t="s">
        <v>5175</v>
      </c>
      <c r="I561" s="10"/>
      <c r="J561" s="10"/>
      <c r="K561" s="12"/>
    </row>
    <row r="562" ht="15.75" customHeight="1">
      <c r="A562" s="3" t="s">
        <v>12</v>
      </c>
      <c r="B562" s="3" t="s">
        <v>82</v>
      </c>
      <c r="C562" s="3" t="s">
        <v>5179</v>
      </c>
      <c r="D562" s="8" t="str">
        <f t="shared" si="1"/>
        <v>Abrir anúncio ↗</v>
      </c>
      <c r="E562" s="9" t="s">
        <v>5181</v>
      </c>
      <c r="F562" s="3" t="s">
        <v>29</v>
      </c>
      <c r="G562" s="9" t="s">
        <v>3892</v>
      </c>
      <c r="H562" s="9" t="s">
        <v>5183</v>
      </c>
      <c r="I562" s="3"/>
      <c r="J562" s="3"/>
      <c r="K562" s="9"/>
    </row>
    <row r="563" ht="15.75" customHeight="1">
      <c r="A563" s="10" t="s">
        <v>12</v>
      </c>
      <c r="B563" s="10" t="s">
        <v>82</v>
      </c>
      <c r="C563" s="10" t="s">
        <v>5189</v>
      </c>
      <c r="D563" s="11" t="str">
        <f t="shared" si="1"/>
        <v>Abrir anúncio ↗</v>
      </c>
      <c r="E563" s="12" t="s">
        <v>5191</v>
      </c>
      <c r="F563" s="10" t="s">
        <v>29</v>
      </c>
      <c r="G563" s="12" t="s">
        <v>3892</v>
      </c>
      <c r="H563" s="12" t="s">
        <v>5192</v>
      </c>
      <c r="I563" s="10"/>
      <c r="J563" s="10"/>
      <c r="K563" s="12"/>
    </row>
    <row r="564" ht="15.75" customHeight="1">
      <c r="A564" s="3" t="s">
        <v>12</v>
      </c>
      <c r="B564" s="3" t="s">
        <v>82</v>
      </c>
      <c r="C564" s="3" t="s">
        <v>5198</v>
      </c>
      <c r="D564" s="8" t="str">
        <f t="shared" si="1"/>
        <v>Abrir anúncio ↗</v>
      </c>
      <c r="E564" s="9" t="s">
        <v>5200</v>
      </c>
      <c r="F564" s="3" t="s">
        <v>29</v>
      </c>
      <c r="G564" s="9" t="s">
        <v>3892</v>
      </c>
      <c r="H564" s="9" t="s">
        <v>5202</v>
      </c>
      <c r="I564" s="3"/>
      <c r="J564" s="3"/>
      <c r="K564" s="9"/>
    </row>
    <row r="565" ht="15.75" customHeight="1">
      <c r="A565" s="10" t="s">
        <v>12</v>
      </c>
      <c r="B565" s="10" t="s">
        <v>82</v>
      </c>
      <c r="C565" s="10" t="s">
        <v>5205</v>
      </c>
      <c r="D565" s="11" t="str">
        <f t="shared" si="1"/>
        <v>Abrir anúncio ↗</v>
      </c>
      <c r="E565" s="12" t="s">
        <v>5208</v>
      </c>
      <c r="F565" s="10" t="s">
        <v>29</v>
      </c>
      <c r="G565" s="12" t="s">
        <v>3685</v>
      </c>
      <c r="H565" s="12" t="s">
        <v>3687</v>
      </c>
      <c r="I565" s="10"/>
      <c r="J565" s="10"/>
      <c r="K565" s="12"/>
    </row>
    <row r="566" ht="15.75" customHeight="1">
      <c r="A566" s="3" t="s">
        <v>12</v>
      </c>
      <c r="B566" s="3" t="s">
        <v>82</v>
      </c>
      <c r="C566" s="3" t="s">
        <v>5213</v>
      </c>
      <c r="D566" s="8" t="str">
        <f t="shared" si="1"/>
        <v>Abrir anúncio ↗</v>
      </c>
      <c r="E566" s="9" t="s">
        <v>5216</v>
      </c>
      <c r="F566" s="3" t="s">
        <v>29</v>
      </c>
      <c r="G566" s="9" t="s">
        <v>3685</v>
      </c>
      <c r="H566" s="9" t="s">
        <v>4241</v>
      </c>
      <c r="I566" s="3"/>
      <c r="J566" s="3"/>
      <c r="K566" s="9"/>
    </row>
    <row r="567" ht="15.75" customHeight="1">
      <c r="A567" s="10" t="s">
        <v>12</v>
      </c>
      <c r="B567" s="10" t="s">
        <v>82</v>
      </c>
      <c r="C567" s="10" t="s">
        <v>5222</v>
      </c>
      <c r="D567" s="11" t="str">
        <f t="shared" si="1"/>
        <v>Abrir anúncio ↗</v>
      </c>
      <c r="E567" s="12" t="s">
        <v>5223</v>
      </c>
      <c r="F567" s="10" t="s">
        <v>29</v>
      </c>
      <c r="G567" s="12" t="s">
        <v>3685</v>
      </c>
      <c r="H567" s="12" t="s">
        <v>3898</v>
      </c>
      <c r="I567" s="10"/>
      <c r="J567" s="10"/>
      <c r="K567" s="12"/>
    </row>
    <row r="568" ht="15.75" customHeight="1">
      <c r="A568" s="3" t="s">
        <v>12</v>
      </c>
      <c r="B568" s="3" t="s">
        <v>82</v>
      </c>
      <c r="C568" s="3" t="s">
        <v>5230</v>
      </c>
      <c r="D568" s="8" t="str">
        <f t="shared" si="1"/>
        <v>Abrir anúncio ↗</v>
      </c>
      <c r="E568" s="9" t="s">
        <v>5232</v>
      </c>
      <c r="F568" s="3" t="s">
        <v>29</v>
      </c>
      <c r="G568" s="9" t="s">
        <v>3685</v>
      </c>
      <c r="H568" s="9" t="s">
        <v>3757</v>
      </c>
      <c r="I568" s="3"/>
      <c r="J568" s="3"/>
      <c r="K568" s="9"/>
    </row>
    <row r="569" ht="15.75" customHeight="1">
      <c r="A569" s="10" t="s">
        <v>12</v>
      </c>
      <c r="B569" s="10" t="s">
        <v>82</v>
      </c>
      <c r="C569" s="10" t="s">
        <v>5239</v>
      </c>
      <c r="D569" s="11" t="str">
        <f t="shared" si="1"/>
        <v>Abrir anúncio ↗</v>
      </c>
      <c r="E569" s="12" t="s">
        <v>5242</v>
      </c>
      <c r="F569" s="10" t="s">
        <v>29</v>
      </c>
      <c r="G569" s="12" t="s">
        <v>4538</v>
      </c>
      <c r="H569" s="12" t="s">
        <v>5243</v>
      </c>
      <c r="I569" s="10"/>
      <c r="J569" s="10"/>
      <c r="K569" s="12"/>
    </row>
    <row r="570" ht="15.75" customHeight="1">
      <c r="A570" s="3" t="s">
        <v>12</v>
      </c>
      <c r="B570" s="3" t="s">
        <v>82</v>
      </c>
      <c r="C570" s="3" t="s">
        <v>5250</v>
      </c>
      <c r="D570" s="8" t="str">
        <f t="shared" si="1"/>
        <v>Abrir anúncio ↗</v>
      </c>
      <c r="E570" s="9" t="s">
        <v>5252</v>
      </c>
      <c r="F570" s="3" t="s">
        <v>29</v>
      </c>
      <c r="G570" s="9" t="s">
        <v>3892</v>
      </c>
      <c r="H570" s="9" t="s">
        <v>5255</v>
      </c>
      <c r="I570" s="3"/>
      <c r="J570" s="3"/>
      <c r="K570" s="9"/>
    </row>
    <row r="571" ht="15.75" customHeight="1">
      <c r="A571" s="10" t="s">
        <v>12</v>
      </c>
      <c r="B571" s="10" t="s">
        <v>82</v>
      </c>
      <c r="C571" s="10" t="s">
        <v>5262</v>
      </c>
      <c r="D571" s="11" t="str">
        <f t="shared" si="1"/>
        <v>Abrir anúncio ↗</v>
      </c>
      <c r="E571" s="12" t="s">
        <v>5263</v>
      </c>
      <c r="F571" s="10" t="s">
        <v>29</v>
      </c>
      <c r="G571" s="12" t="s">
        <v>3685</v>
      </c>
      <c r="H571" s="12" t="s">
        <v>4383</v>
      </c>
      <c r="I571" s="10"/>
      <c r="J571" s="10"/>
      <c r="K571" s="12"/>
    </row>
    <row r="572" ht="15.75" customHeight="1">
      <c r="A572" s="3" t="s">
        <v>12</v>
      </c>
      <c r="B572" s="3" t="s">
        <v>82</v>
      </c>
      <c r="C572" s="3" t="s">
        <v>5270</v>
      </c>
      <c r="D572" s="8" t="str">
        <f t="shared" si="1"/>
        <v>Abrir anúncio ↗</v>
      </c>
      <c r="E572" s="9" t="s">
        <v>5274</v>
      </c>
      <c r="F572" s="3" t="s">
        <v>29</v>
      </c>
      <c r="G572" s="9" t="s">
        <v>3685</v>
      </c>
      <c r="H572" s="9" t="s">
        <v>4207</v>
      </c>
      <c r="I572" s="3"/>
      <c r="J572" s="3"/>
      <c r="K572" s="9"/>
    </row>
    <row r="573" ht="15.75" customHeight="1">
      <c r="A573" s="10" t="s">
        <v>12</v>
      </c>
      <c r="B573" s="10" t="s">
        <v>82</v>
      </c>
      <c r="C573" s="10" t="s">
        <v>5279</v>
      </c>
      <c r="D573" s="11" t="str">
        <f t="shared" si="1"/>
        <v>Abrir anúncio ↗</v>
      </c>
      <c r="E573" s="12" t="s">
        <v>5282</v>
      </c>
      <c r="F573" s="10" t="s">
        <v>29</v>
      </c>
      <c r="G573" s="12" t="s">
        <v>3422</v>
      </c>
      <c r="H573" s="12" t="s">
        <v>5285</v>
      </c>
      <c r="I573" s="10"/>
      <c r="J573" s="10"/>
      <c r="K573" s="12"/>
    </row>
    <row r="574" ht="15.75" customHeight="1">
      <c r="A574" s="3" t="s">
        <v>12</v>
      </c>
      <c r="B574" s="3" t="s">
        <v>82</v>
      </c>
      <c r="C574" s="3" t="s">
        <v>5289</v>
      </c>
      <c r="D574" s="8" t="str">
        <f t="shared" si="1"/>
        <v>Abrir anúncio ↗</v>
      </c>
      <c r="E574" s="9" t="s">
        <v>5290</v>
      </c>
      <c r="F574" s="3" t="s">
        <v>29</v>
      </c>
      <c r="G574" s="9" t="s">
        <v>3685</v>
      </c>
      <c r="H574" s="9" t="s">
        <v>4167</v>
      </c>
      <c r="I574" s="3"/>
      <c r="J574" s="3"/>
      <c r="K574" s="9"/>
    </row>
    <row r="575" ht="15.75" customHeight="1">
      <c r="A575" s="10" t="s">
        <v>12</v>
      </c>
      <c r="B575" s="10" t="s">
        <v>82</v>
      </c>
      <c r="C575" s="10" t="s">
        <v>5296</v>
      </c>
      <c r="D575" s="11" t="str">
        <f t="shared" si="1"/>
        <v>Abrir anúncio ↗</v>
      </c>
      <c r="E575" s="12" t="s">
        <v>5297</v>
      </c>
      <c r="F575" s="10" t="s">
        <v>29</v>
      </c>
      <c r="G575" s="12" t="s">
        <v>3892</v>
      </c>
      <c r="H575" s="12" t="s">
        <v>5300</v>
      </c>
      <c r="I575" s="10"/>
      <c r="J575" s="10"/>
      <c r="K575" s="12"/>
    </row>
    <row r="576" ht="15.75" customHeight="1">
      <c r="A576" s="3" t="s">
        <v>12</v>
      </c>
      <c r="B576" s="3" t="s">
        <v>82</v>
      </c>
      <c r="C576" s="3" t="s">
        <v>5305</v>
      </c>
      <c r="D576" s="8" t="str">
        <f t="shared" si="1"/>
        <v>Abrir anúncio ↗</v>
      </c>
      <c r="E576" s="9" t="s">
        <v>5306</v>
      </c>
      <c r="F576" s="3" t="s">
        <v>29</v>
      </c>
      <c r="G576" s="9" t="s">
        <v>3962</v>
      </c>
      <c r="H576" s="9" t="s">
        <v>5308</v>
      </c>
      <c r="I576" s="3"/>
      <c r="J576" s="3"/>
      <c r="K576" s="9"/>
    </row>
    <row r="577" ht="15.75" customHeight="1">
      <c r="A577" s="10" t="s">
        <v>12</v>
      </c>
      <c r="B577" s="10" t="s">
        <v>82</v>
      </c>
      <c r="C577" s="10" t="s">
        <v>5313</v>
      </c>
      <c r="D577" s="11" t="str">
        <f t="shared" si="1"/>
        <v>Abrir anúncio ↗</v>
      </c>
      <c r="E577" s="12" t="s">
        <v>5315</v>
      </c>
      <c r="F577" s="10" t="s">
        <v>29</v>
      </c>
      <c r="G577" s="12" t="s">
        <v>3685</v>
      </c>
      <c r="H577" s="12" t="s">
        <v>4315</v>
      </c>
      <c r="I577" s="10"/>
      <c r="J577" s="10"/>
      <c r="K577" s="12"/>
    </row>
    <row r="578" ht="15.75" customHeight="1">
      <c r="A578" s="3" t="s">
        <v>12</v>
      </c>
      <c r="B578" s="3" t="s">
        <v>82</v>
      </c>
      <c r="C578" s="3" t="s">
        <v>5321</v>
      </c>
      <c r="D578" s="8" t="str">
        <f t="shared" si="1"/>
        <v>Abrir anúncio ↗</v>
      </c>
      <c r="E578" s="9" t="s">
        <v>5323</v>
      </c>
      <c r="F578" s="3" t="s">
        <v>29</v>
      </c>
      <c r="G578" s="9" t="s">
        <v>3685</v>
      </c>
      <c r="H578" s="9" t="s">
        <v>4383</v>
      </c>
      <c r="I578" s="3"/>
      <c r="J578" s="3"/>
      <c r="K578" s="9"/>
    </row>
    <row r="579" ht="15.75" customHeight="1">
      <c r="A579" s="10" t="s">
        <v>12</v>
      </c>
      <c r="B579" s="10" t="s">
        <v>82</v>
      </c>
      <c r="C579" s="10" t="s">
        <v>5328</v>
      </c>
      <c r="D579" s="11" t="str">
        <f t="shared" si="1"/>
        <v>Abrir anúncio ↗</v>
      </c>
      <c r="E579" s="12" t="s">
        <v>5331</v>
      </c>
      <c r="F579" s="10" t="s">
        <v>29</v>
      </c>
      <c r="G579" s="12" t="s">
        <v>3685</v>
      </c>
      <c r="H579" s="12" t="s">
        <v>4241</v>
      </c>
      <c r="I579" s="10"/>
      <c r="J579" s="10"/>
      <c r="K579" s="12"/>
    </row>
    <row r="580" ht="15.75" customHeight="1">
      <c r="A580" s="3" t="s">
        <v>12</v>
      </c>
      <c r="B580" s="3" t="s">
        <v>82</v>
      </c>
      <c r="C580" s="3" t="s">
        <v>5335</v>
      </c>
      <c r="D580" s="8" t="str">
        <f t="shared" si="1"/>
        <v>Abrir anúncio ↗</v>
      </c>
      <c r="E580" s="9" t="s">
        <v>5338</v>
      </c>
      <c r="F580" s="3" t="s">
        <v>29</v>
      </c>
      <c r="G580" s="9" t="s">
        <v>5339</v>
      </c>
      <c r="H580" s="9" t="s">
        <v>5340</v>
      </c>
      <c r="I580" s="3"/>
      <c r="J580" s="3"/>
      <c r="K580" s="9"/>
    </row>
    <row r="581" ht="15.75" customHeight="1">
      <c r="A581" s="10" t="s">
        <v>12</v>
      </c>
      <c r="B581" s="10" t="s">
        <v>82</v>
      </c>
      <c r="C581" s="10" t="s">
        <v>5343</v>
      </c>
      <c r="D581" s="11" t="str">
        <f t="shared" si="1"/>
        <v>Abrir anúncio ↗</v>
      </c>
      <c r="E581" s="12" t="s">
        <v>5345</v>
      </c>
      <c r="F581" s="10" t="s">
        <v>29</v>
      </c>
      <c r="G581" s="12" t="s">
        <v>5161</v>
      </c>
      <c r="H581" s="12" t="s">
        <v>5348</v>
      </c>
      <c r="I581" s="10"/>
      <c r="J581" s="10"/>
      <c r="K581" s="12"/>
    </row>
    <row r="582" ht="15.75" customHeight="1">
      <c r="A582" s="3" t="s">
        <v>12</v>
      </c>
      <c r="B582" s="3" t="s">
        <v>82</v>
      </c>
      <c r="C582" s="3" t="s">
        <v>5349</v>
      </c>
      <c r="D582" s="8" t="str">
        <f t="shared" si="1"/>
        <v>Abrir anúncio ↗</v>
      </c>
      <c r="E582" s="9" t="s">
        <v>5353</v>
      </c>
      <c r="F582" s="3" t="s">
        <v>29</v>
      </c>
      <c r="G582" s="9" t="s">
        <v>583</v>
      </c>
      <c r="H582" s="9" t="s">
        <v>3861</v>
      </c>
      <c r="I582" s="3"/>
      <c r="J582" s="3"/>
      <c r="K582" s="9"/>
    </row>
    <row r="583" ht="15.75" customHeight="1">
      <c r="A583" s="10" t="s">
        <v>12</v>
      </c>
      <c r="B583" s="10" t="s">
        <v>82</v>
      </c>
      <c r="C583" s="10" t="s">
        <v>5357</v>
      </c>
      <c r="D583" s="11" t="str">
        <f t="shared" si="1"/>
        <v>Abrir anúncio ↗</v>
      </c>
      <c r="E583" s="12" t="s">
        <v>5362</v>
      </c>
      <c r="F583" s="10" t="s">
        <v>29</v>
      </c>
      <c r="G583" s="12" t="s">
        <v>3422</v>
      </c>
      <c r="H583" s="12" t="s">
        <v>3531</v>
      </c>
      <c r="I583" s="10"/>
      <c r="J583" s="10"/>
      <c r="K583" s="12"/>
    </row>
    <row r="584" ht="15.75" customHeight="1">
      <c r="A584" s="3" t="s">
        <v>12</v>
      </c>
      <c r="B584" s="3" t="s">
        <v>82</v>
      </c>
      <c r="C584" s="3" t="s">
        <v>5366</v>
      </c>
      <c r="D584" s="8" t="str">
        <f t="shared" si="1"/>
        <v>Abrir anúncio ↗</v>
      </c>
      <c r="E584" s="9" t="s">
        <v>5369</v>
      </c>
      <c r="F584" s="3" t="s">
        <v>29</v>
      </c>
      <c r="G584" s="9" t="s">
        <v>3685</v>
      </c>
      <c r="H584" s="9" t="s">
        <v>3917</v>
      </c>
      <c r="I584" s="3"/>
      <c r="J584" s="3"/>
      <c r="K584" s="9"/>
    </row>
    <row r="585" ht="15.75" customHeight="1">
      <c r="A585" s="10" t="s">
        <v>12</v>
      </c>
      <c r="B585" s="10" t="s">
        <v>82</v>
      </c>
      <c r="C585" s="10" t="s">
        <v>5372</v>
      </c>
      <c r="D585" s="11" t="str">
        <f t="shared" si="1"/>
        <v>Abrir anúncio ↗</v>
      </c>
      <c r="E585" s="12" t="s">
        <v>5374</v>
      </c>
      <c r="F585" s="10" t="s">
        <v>86</v>
      </c>
      <c r="G585" s="12" t="s">
        <v>99</v>
      </c>
      <c r="H585" s="12" t="s">
        <v>3384</v>
      </c>
      <c r="I585" s="10"/>
      <c r="J585" s="10"/>
      <c r="K585" s="12"/>
    </row>
    <row r="586" ht="15.75" customHeight="1">
      <c r="A586" s="3" t="s">
        <v>12</v>
      </c>
      <c r="B586" s="3" t="s">
        <v>82</v>
      </c>
      <c r="C586" s="3" t="s">
        <v>5378</v>
      </c>
      <c r="D586" s="8" t="str">
        <f t="shared" si="1"/>
        <v>Abrir anúncio ↗</v>
      </c>
      <c r="E586" s="9" t="s">
        <v>5380</v>
      </c>
      <c r="F586" s="3" t="s">
        <v>29</v>
      </c>
      <c r="G586" s="9" t="s">
        <v>3685</v>
      </c>
      <c r="H586" s="9" t="s">
        <v>3757</v>
      </c>
      <c r="I586" s="3"/>
      <c r="J586" s="3"/>
      <c r="K586" s="9"/>
    </row>
    <row r="587" ht="15.75" customHeight="1">
      <c r="A587" s="10" t="s">
        <v>12</v>
      </c>
      <c r="B587" s="10" t="s">
        <v>82</v>
      </c>
      <c r="C587" s="10" t="s">
        <v>5386</v>
      </c>
      <c r="D587" s="11" t="str">
        <f t="shared" si="1"/>
        <v>Abrir anúncio ↗</v>
      </c>
      <c r="E587" s="12" t="s">
        <v>2275</v>
      </c>
      <c r="F587" s="10" t="s">
        <v>29</v>
      </c>
      <c r="G587" s="12" t="s">
        <v>99</v>
      </c>
      <c r="H587" s="12" t="s">
        <v>143</v>
      </c>
      <c r="I587" s="10"/>
      <c r="J587" s="10"/>
      <c r="K587" s="12"/>
    </row>
    <row r="588" ht="15.75" customHeight="1">
      <c r="A588" s="3" t="s">
        <v>12</v>
      </c>
      <c r="B588" s="3" t="s">
        <v>82</v>
      </c>
      <c r="C588" s="3" t="s">
        <v>5392</v>
      </c>
      <c r="D588" s="8" t="str">
        <f t="shared" si="1"/>
        <v>Abrir anúncio ↗</v>
      </c>
      <c r="E588" s="9" t="s">
        <v>5395</v>
      </c>
      <c r="F588" s="3" t="s">
        <v>29</v>
      </c>
      <c r="G588" s="9" t="s">
        <v>3685</v>
      </c>
      <c r="H588" s="9" t="s">
        <v>4315</v>
      </c>
      <c r="I588" s="3"/>
      <c r="J588" s="3"/>
      <c r="K588" s="9"/>
    </row>
    <row r="589" ht="15.75" customHeight="1">
      <c r="A589" s="10" t="s">
        <v>12</v>
      </c>
      <c r="B589" s="10" t="s">
        <v>82</v>
      </c>
      <c r="C589" s="10" t="s">
        <v>5404</v>
      </c>
      <c r="D589" s="11" t="str">
        <f t="shared" si="1"/>
        <v>Abrir anúncio ↗</v>
      </c>
      <c r="E589" s="12" t="s">
        <v>5405</v>
      </c>
      <c r="F589" s="10" t="s">
        <v>29</v>
      </c>
      <c r="G589" s="12" t="s">
        <v>3685</v>
      </c>
      <c r="H589" s="12" t="s">
        <v>3834</v>
      </c>
      <c r="I589" s="10"/>
      <c r="J589" s="10"/>
      <c r="K589" s="12"/>
    </row>
    <row r="590" ht="15.75" customHeight="1">
      <c r="A590" s="3" t="s">
        <v>12</v>
      </c>
      <c r="B590" s="3" t="s">
        <v>82</v>
      </c>
      <c r="C590" s="3" t="s">
        <v>5414</v>
      </c>
      <c r="D590" s="8" t="str">
        <f t="shared" si="1"/>
        <v>Abrir anúncio ↗</v>
      </c>
      <c r="E590" s="9" t="s">
        <v>5415</v>
      </c>
      <c r="F590" s="3" t="s">
        <v>29</v>
      </c>
      <c r="G590" s="9" t="s">
        <v>3422</v>
      </c>
      <c r="H590" s="9" t="s">
        <v>3425</v>
      </c>
      <c r="I590" s="3"/>
      <c r="J590" s="3"/>
      <c r="K590" s="9"/>
    </row>
    <row r="591" ht="15.75" customHeight="1">
      <c r="A591" s="10" t="s">
        <v>12</v>
      </c>
      <c r="B591" s="10" t="s">
        <v>82</v>
      </c>
      <c r="C591" s="10" t="s">
        <v>5423</v>
      </c>
      <c r="D591" s="11" t="str">
        <f t="shared" si="1"/>
        <v>Abrir anúncio ↗</v>
      </c>
      <c r="E591" s="12" t="s">
        <v>5425</v>
      </c>
      <c r="F591" s="10" t="s">
        <v>29</v>
      </c>
      <c r="G591" s="12" t="s">
        <v>3422</v>
      </c>
      <c r="H591" s="12" t="s">
        <v>5285</v>
      </c>
      <c r="I591" s="10"/>
      <c r="J591" s="10"/>
      <c r="K591" s="12"/>
    </row>
    <row r="592" ht="15.75" customHeight="1">
      <c r="A592" s="3" t="s">
        <v>12</v>
      </c>
      <c r="B592" s="3" t="s">
        <v>82</v>
      </c>
      <c r="C592" s="3" t="s">
        <v>5433</v>
      </c>
      <c r="D592" s="8" t="str">
        <f t="shared" si="1"/>
        <v>Abrir anúncio ↗</v>
      </c>
      <c r="E592" s="9" t="s">
        <v>5436</v>
      </c>
      <c r="F592" s="3" t="s">
        <v>29</v>
      </c>
      <c r="G592" s="9" t="s">
        <v>3685</v>
      </c>
      <c r="H592" s="9" t="s">
        <v>4807</v>
      </c>
      <c r="I592" s="3"/>
      <c r="J592" s="3"/>
      <c r="K592" s="9"/>
    </row>
    <row r="593" ht="15.75" customHeight="1">
      <c r="A593" s="10" t="s">
        <v>12</v>
      </c>
      <c r="B593" s="10" t="s">
        <v>82</v>
      </c>
      <c r="C593" s="10" t="s">
        <v>5444</v>
      </c>
      <c r="D593" s="11" t="str">
        <f t="shared" si="1"/>
        <v>Abrir anúncio ↗</v>
      </c>
      <c r="E593" s="12" t="s">
        <v>5448</v>
      </c>
      <c r="F593" s="10" t="s">
        <v>29</v>
      </c>
      <c r="G593" s="12" t="s">
        <v>3685</v>
      </c>
      <c r="H593" s="12" t="s">
        <v>3883</v>
      </c>
      <c r="I593" s="10"/>
      <c r="J593" s="10"/>
      <c r="K593" s="12"/>
    </row>
    <row r="594" ht="15.75" customHeight="1">
      <c r="A594" s="3" t="s">
        <v>12</v>
      </c>
      <c r="B594" s="3" t="s">
        <v>82</v>
      </c>
      <c r="C594" s="3" t="s">
        <v>5457</v>
      </c>
      <c r="D594" s="8" t="str">
        <f t="shared" si="1"/>
        <v>Abrir anúncio ↗</v>
      </c>
      <c r="E594" s="9" t="s">
        <v>5460</v>
      </c>
      <c r="F594" s="3" t="s">
        <v>29</v>
      </c>
      <c r="G594" s="9" t="s">
        <v>3685</v>
      </c>
      <c r="H594" s="9" t="s">
        <v>3853</v>
      </c>
      <c r="I594" s="3"/>
      <c r="J594" s="3"/>
      <c r="K594" s="9"/>
    </row>
    <row r="595" ht="15.75" customHeight="1">
      <c r="A595" s="10" t="s">
        <v>12</v>
      </c>
      <c r="B595" s="10" t="s">
        <v>82</v>
      </c>
      <c r="C595" s="10" t="s">
        <v>5467</v>
      </c>
      <c r="D595" s="11" t="str">
        <f t="shared" si="1"/>
        <v>Abrir anúncio ↗</v>
      </c>
      <c r="E595" s="12" t="s">
        <v>5469</v>
      </c>
      <c r="F595" s="10" t="s">
        <v>29</v>
      </c>
      <c r="G595" s="12" t="s">
        <v>3685</v>
      </c>
      <c r="H595" s="12" t="s">
        <v>3853</v>
      </c>
      <c r="I595" s="10"/>
      <c r="J595" s="10"/>
      <c r="K595" s="12"/>
    </row>
    <row r="596" ht="15.75" customHeight="1">
      <c r="A596" s="3" t="s">
        <v>12</v>
      </c>
      <c r="B596" s="3" t="s">
        <v>82</v>
      </c>
      <c r="C596" s="3" t="s">
        <v>5477</v>
      </c>
      <c r="D596" s="8" t="str">
        <f t="shared" si="1"/>
        <v>Abrir anúncio ↗</v>
      </c>
      <c r="E596" s="9" t="s">
        <v>5480</v>
      </c>
      <c r="F596" s="3" t="s">
        <v>29</v>
      </c>
      <c r="G596" s="9" t="s">
        <v>3685</v>
      </c>
      <c r="H596" s="9" t="s">
        <v>3789</v>
      </c>
      <c r="I596" s="3"/>
      <c r="J596" s="3"/>
      <c r="K596" s="9"/>
    </row>
    <row r="597" ht="15.75" customHeight="1">
      <c r="A597" s="10" t="s">
        <v>12</v>
      </c>
      <c r="B597" s="10" t="s">
        <v>82</v>
      </c>
      <c r="C597" s="10" t="s">
        <v>5487</v>
      </c>
      <c r="D597" s="11" t="str">
        <f t="shared" si="1"/>
        <v>Abrir anúncio ↗</v>
      </c>
      <c r="E597" s="12" t="s">
        <v>5489</v>
      </c>
      <c r="F597" s="10" t="s">
        <v>29</v>
      </c>
      <c r="G597" s="12" t="s">
        <v>3685</v>
      </c>
      <c r="H597" s="12" t="s">
        <v>3871</v>
      </c>
      <c r="I597" s="10"/>
      <c r="J597" s="10"/>
      <c r="K597" s="12"/>
    </row>
    <row r="598" ht="15.75" customHeight="1">
      <c r="A598" s="3" t="s">
        <v>12</v>
      </c>
      <c r="B598" s="3" t="s">
        <v>82</v>
      </c>
      <c r="C598" s="3" t="s">
        <v>5496</v>
      </c>
      <c r="D598" s="8" t="str">
        <f t="shared" si="1"/>
        <v>Abrir anúncio ↗</v>
      </c>
      <c r="E598" s="9" t="s">
        <v>5498</v>
      </c>
      <c r="F598" s="3" t="s">
        <v>29</v>
      </c>
      <c r="G598" s="9" t="s">
        <v>3422</v>
      </c>
      <c r="H598" s="9" t="s">
        <v>5501</v>
      </c>
      <c r="I598" s="3"/>
      <c r="J598" s="3"/>
      <c r="K598" s="9"/>
    </row>
    <row r="599" ht="15.75" customHeight="1">
      <c r="A599" s="10" t="s">
        <v>12</v>
      </c>
      <c r="B599" s="10" t="s">
        <v>82</v>
      </c>
      <c r="C599" s="10" t="s">
        <v>5507</v>
      </c>
      <c r="D599" s="11" t="str">
        <f t="shared" si="1"/>
        <v>Abrir anúncio ↗</v>
      </c>
      <c r="E599" s="12" t="s">
        <v>5509</v>
      </c>
      <c r="F599" s="10" t="s">
        <v>29</v>
      </c>
      <c r="G599" s="12" t="s">
        <v>3685</v>
      </c>
      <c r="H599" s="12" t="s">
        <v>3917</v>
      </c>
      <c r="I599" s="10"/>
      <c r="J599" s="10"/>
      <c r="K599" s="12"/>
    </row>
    <row r="600" ht="15.75" customHeight="1">
      <c r="A600" s="3" t="s">
        <v>12</v>
      </c>
      <c r="B600" s="3" t="s">
        <v>82</v>
      </c>
      <c r="C600" s="3" t="s">
        <v>5514</v>
      </c>
      <c r="D600" s="8" t="str">
        <f t="shared" si="1"/>
        <v>Abrir anúncio ↗</v>
      </c>
      <c r="E600" s="9" t="s">
        <v>5517</v>
      </c>
      <c r="F600" s="3" t="s">
        <v>29</v>
      </c>
      <c r="G600" s="9" t="s">
        <v>99</v>
      </c>
      <c r="H600" s="9" t="s">
        <v>143</v>
      </c>
      <c r="I600" s="3"/>
      <c r="J600" s="3"/>
      <c r="K600" s="9"/>
    </row>
    <row r="601" ht="15.75" customHeight="1">
      <c r="A601" s="10" t="s">
        <v>12</v>
      </c>
      <c r="B601" s="10" t="s">
        <v>82</v>
      </c>
      <c r="C601" s="10" t="s">
        <v>5522</v>
      </c>
      <c r="D601" s="11" t="str">
        <f t="shared" si="1"/>
        <v>Abrir anúncio ↗</v>
      </c>
      <c r="E601" s="12" t="s">
        <v>5524</v>
      </c>
      <c r="F601" s="10" t="s">
        <v>29</v>
      </c>
      <c r="G601" s="12" t="s">
        <v>5528</v>
      </c>
      <c r="H601" s="12" t="s">
        <v>5530</v>
      </c>
      <c r="I601" s="10"/>
      <c r="J601" s="10"/>
      <c r="K601" s="12"/>
    </row>
    <row r="602" ht="15.75" customHeight="1">
      <c r="A602" s="3" t="s">
        <v>12</v>
      </c>
      <c r="B602" s="3" t="s">
        <v>82</v>
      </c>
      <c r="C602" s="3" t="s">
        <v>5534</v>
      </c>
      <c r="D602" s="8" t="str">
        <f t="shared" si="1"/>
        <v>Abrir anúncio ↗</v>
      </c>
      <c r="E602" s="9" t="s">
        <v>5535</v>
      </c>
      <c r="F602" s="3" t="s">
        <v>29</v>
      </c>
      <c r="G602" s="9" t="s">
        <v>3685</v>
      </c>
      <c r="H602" s="9" t="s">
        <v>4189</v>
      </c>
      <c r="I602" s="3"/>
      <c r="J602" s="3"/>
      <c r="K602" s="9"/>
    </row>
    <row r="603" ht="15.75" customHeight="1">
      <c r="A603" s="10" t="s">
        <v>12</v>
      </c>
      <c r="B603" s="10" t="s">
        <v>82</v>
      </c>
      <c r="C603" s="10" t="s">
        <v>5544</v>
      </c>
      <c r="D603" s="11" t="str">
        <f t="shared" si="1"/>
        <v>Abrir anúncio ↗</v>
      </c>
      <c r="E603" s="12" t="s">
        <v>5545</v>
      </c>
      <c r="F603" s="10" t="s">
        <v>29</v>
      </c>
      <c r="G603" s="12" t="s">
        <v>5547</v>
      </c>
      <c r="H603" s="12" t="s">
        <v>5549</v>
      </c>
      <c r="I603" s="10"/>
      <c r="J603" s="10"/>
      <c r="K603" s="12"/>
    </row>
    <row r="604" ht="15.75" customHeight="1">
      <c r="A604" s="3" t="s">
        <v>12</v>
      </c>
      <c r="B604" s="3" t="s">
        <v>82</v>
      </c>
      <c r="C604" s="3" t="s">
        <v>5556</v>
      </c>
      <c r="D604" s="8" t="str">
        <f t="shared" si="1"/>
        <v>Abrir anúncio ↗</v>
      </c>
      <c r="E604" s="9" t="s">
        <v>5557</v>
      </c>
      <c r="F604" s="3" t="s">
        <v>29</v>
      </c>
      <c r="G604" s="9" t="s">
        <v>3892</v>
      </c>
      <c r="H604" s="9" t="s">
        <v>5175</v>
      </c>
      <c r="I604" s="3"/>
      <c r="J604" s="3"/>
      <c r="K604" s="9"/>
    </row>
    <row r="605" ht="15.75" customHeight="1">
      <c r="A605" s="10" t="s">
        <v>12</v>
      </c>
      <c r="B605" s="10" t="s">
        <v>82</v>
      </c>
      <c r="C605" s="10" t="s">
        <v>5565</v>
      </c>
      <c r="D605" s="11" t="str">
        <f t="shared" si="1"/>
        <v>Abrir anúncio ↗</v>
      </c>
      <c r="E605" s="12" t="s">
        <v>5567</v>
      </c>
      <c r="F605" s="10" t="s">
        <v>29</v>
      </c>
      <c r="G605" s="12" t="s">
        <v>3685</v>
      </c>
      <c r="H605" s="12" t="s">
        <v>3871</v>
      </c>
      <c r="I605" s="10"/>
      <c r="J605" s="10"/>
      <c r="K605" s="12"/>
    </row>
    <row r="606" ht="15.75" customHeight="1">
      <c r="A606" s="3" t="s">
        <v>12</v>
      </c>
      <c r="B606" s="3" t="s">
        <v>82</v>
      </c>
      <c r="C606" s="3" t="s">
        <v>5575</v>
      </c>
      <c r="D606" s="8" t="str">
        <f t="shared" si="1"/>
        <v>Abrir anúncio ↗</v>
      </c>
      <c r="E606" s="9" t="s">
        <v>5577</v>
      </c>
      <c r="F606" s="3" t="s">
        <v>86</v>
      </c>
      <c r="G606" s="9" t="s">
        <v>5578</v>
      </c>
      <c r="H606" s="9" t="s">
        <v>5580</v>
      </c>
      <c r="I606" s="3"/>
      <c r="J606" s="3"/>
      <c r="K606" s="9"/>
    </row>
    <row r="607" ht="15.75" customHeight="1">
      <c r="A607" s="10" t="s">
        <v>12</v>
      </c>
      <c r="B607" s="10" t="s">
        <v>82</v>
      </c>
      <c r="C607" s="10" t="s">
        <v>5586</v>
      </c>
      <c r="D607" s="11" t="str">
        <f t="shared" si="1"/>
        <v>Abrir anúncio ↗</v>
      </c>
      <c r="E607" s="12" t="s">
        <v>5589</v>
      </c>
      <c r="F607" s="10" t="s">
        <v>29</v>
      </c>
      <c r="G607" s="12" t="s">
        <v>99</v>
      </c>
      <c r="H607" s="12" t="s">
        <v>3384</v>
      </c>
      <c r="I607" s="10"/>
      <c r="J607" s="10"/>
      <c r="K607" s="12"/>
    </row>
    <row r="608" ht="15.75" customHeight="1">
      <c r="A608" s="3" t="s">
        <v>12</v>
      </c>
      <c r="B608" s="3" t="s">
        <v>82</v>
      </c>
      <c r="C608" s="3" t="s">
        <v>5596</v>
      </c>
      <c r="D608" s="8" t="str">
        <f t="shared" si="1"/>
        <v>Abrir anúncio ↗</v>
      </c>
      <c r="E608" s="9" t="s">
        <v>5600</v>
      </c>
      <c r="F608" s="3" t="s">
        <v>29</v>
      </c>
      <c r="G608" s="9" t="s">
        <v>3685</v>
      </c>
      <c r="H608" s="9" t="s">
        <v>5603</v>
      </c>
      <c r="I608" s="3"/>
      <c r="J608" s="3"/>
      <c r="K608" s="9"/>
    </row>
    <row r="609" ht="15.75" customHeight="1">
      <c r="A609" s="10" t="s">
        <v>12</v>
      </c>
      <c r="B609" s="10" t="s">
        <v>82</v>
      </c>
      <c r="C609" s="10" t="s">
        <v>5607</v>
      </c>
      <c r="D609" s="11" t="str">
        <f t="shared" si="1"/>
        <v>Abrir anúncio ↗</v>
      </c>
      <c r="E609" s="12" t="s">
        <v>3505</v>
      </c>
      <c r="F609" s="10" t="s">
        <v>86</v>
      </c>
      <c r="G609" s="12" t="s">
        <v>3422</v>
      </c>
      <c r="H609" s="12" t="s">
        <v>3509</v>
      </c>
      <c r="I609" s="10"/>
      <c r="J609" s="10"/>
      <c r="K609" s="12"/>
    </row>
    <row r="610" ht="15.75" customHeight="1">
      <c r="A610" s="3" t="s">
        <v>12</v>
      </c>
      <c r="B610" s="3" t="s">
        <v>82</v>
      </c>
      <c r="C610" s="3" t="s">
        <v>5615</v>
      </c>
      <c r="D610" s="8" t="str">
        <f t="shared" si="1"/>
        <v>Abrir anúncio ↗</v>
      </c>
      <c r="E610" s="9" t="s">
        <v>5617</v>
      </c>
      <c r="F610" s="3" t="s">
        <v>29</v>
      </c>
      <c r="G610" s="9" t="s">
        <v>3685</v>
      </c>
      <c r="H610" s="9" t="s">
        <v>3809</v>
      </c>
      <c r="I610" s="3"/>
      <c r="J610" s="3"/>
      <c r="K610" s="9"/>
    </row>
    <row r="611" ht="15.75" customHeight="1">
      <c r="A611" s="10" t="s">
        <v>12</v>
      </c>
      <c r="B611" s="10" t="s">
        <v>82</v>
      </c>
      <c r="C611" s="10" t="s">
        <v>5626</v>
      </c>
      <c r="D611" s="11" t="str">
        <f t="shared" si="1"/>
        <v>Abrir anúncio ↗</v>
      </c>
      <c r="E611" s="12" t="s">
        <v>5628</v>
      </c>
      <c r="F611" s="10" t="s">
        <v>29</v>
      </c>
      <c r="G611" s="12" t="s">
        <v>3685</v>
      </c>
      <c r="H611" s="12" t="s">
        <v>3898</v>
      </c>
      <c r="I611" s="10"/>
      <c r="J611" s="10"/>
      <c r="K611" s="12"/>
    </row>
    <row r="612" ht="15.75" customHeight="1">
      <c r="A612" s="3" t="s">
        <v>12</v>
      </c>
      <c r="B612" s="3" t="s">
        <v>82</v>
      </c>
      <c r="C612" s="3" t="s">
        <v>5635</v>
      </c>
      <c r="D612" s="8" t="str">
        <f t="shared" si="1"/>
        <v>Abrir anúncio ↗</v>
      </c>
      <c r="E612" s="9" t="s">
        <v>1290</v>
      </c>
      <c r="F612" s="3" t="s">
        <v>29</v>
      </c>
      <c r="G612" s="9" t="s">
        <v>99</v>
      </c>
      <c r="H612" s="9" t="s">
        <v>3384</v>
      </c>
      <c r="I612" s="3"/>
      <c r="J612" s="3"/>
      <c r="K612" s="9"/>
    </row>
    <row r="613" ht="15.75" customHeight="1">
      <c r="A613" s="10" t="s">
        <v>12</v>
      </c>
      <c r="B613" s="10" t="s">
        <v>82</v>
      </c>
      <c r="C613" s="10" t="s">
        <v>5643</v>
      </c>
      <c r="D613" s="11" t="str">
        <f t="shared" si="1"/>
        <v>Abrir anúncio ↗</v>
      </c>
      <c r="E613" s="12" t="s">
        <v>5648</v>
      </c>
      <c r="F613" s="10" t="s">
        <v>29</v>
      </c>
      <c r="G613" s="12" t="s">
        <v>3685</v>
      </c>
      <c r="H613" s="12" t="s">
        <v>3687</v>
      </c>
      <c r="I613" s="10"/>
      <c r="J613" s="10"/>
      <c r="K613" s="12"/>
    </row>
    <row r="614" ht="15.75" customHeight="1">
      <c r="A614" s="3" t="s">
        <v>12</v>
      </c>
      <c r="B614" s="3" t="s">
        <v>82</v>
      </c>
      <c r="C614" s="3" t="s">
        <v>5653</v>
      </c>
      <c r="D614" s="8" t="str">
        <f t="shared" si="1"/>
        <v>Abrir anúncio ↗</v>
      </c>
      <c r="E614" s="9" t="s">
        <v>5656</v>
      </c>
      <c r="F614" s="3" t="s">
        <v>29</v>
      </c>
      <c r="G614" s="9" t="s">
        <v>3892</v>
      </c>
      <c r="H614" s="9" t="s">
        <v>5183</v>
      </c>
      <c r="I614" s="3"/>
      <c r="J614" s="3"/>
      <c r="K614" s="9"/>
    </row>
    <row r="615" ht="15.75" customHeight="1">
      <c r="A615" s="10" t="s">
        <v>12</v>
      </c>
      <c r="B615" s="10" t="s">
        <v>82</v>
      </c>
      <c r="C615" s="10" t="s">
        <v>5663</v>
      </c>
      <c r="D615" s="11" t="str">
        <f t="shared" si="1"/>
        <v>Abrir anúncio ↗</v>
      </c>
      <c r="E615" s="12" t="s">
        <v>5665</v>
      </c>
      <c r="F615" s="10" t="s">
        <v>29</v>
      </c>
      <c r="G615" s="12" t="s">
        <v>5339</v>
      </c>
      <c r="H615" s="12" t="s">
        <v>5670</v>
      </c>
      <c r="I615" s="10"/>
      <c r="J615" s="10"/>
      <c r="K615" s="12"/>
    </row>
    <row r="616" ht="15.75" customHeight="1">
      <c r="A616" s="3" t="s">
        <v>12</v>
      </c>
      <c r="B616" s="3" t="s">
        <v>82</v>
      </c>
      <c r="C616" s="3" t="s">
        <v>5674</v>
      </c>
      <c r="D616" s="8" t="str">
        <f t="shared" si="1"/>
        <v>Abrir anúncio ↗</v>
      </c>
      <c r="E616" s="9" t="s">
        <v>5676</v>
      </c>
      <c r="F616" s="3" t="s">
        <v>29</v>
      </c>
      <c r="G616" s="9" t="s">
        <v>5339</v>
      </c>
      <c r="H616" s="9" t="s">
        <v>5680</v>
      </c>
      <c r="I616" s="3"/>
      <c r="J616" s="3"/>
      <c r="K616" s="9"/>
    </row>
    <row r="617" ht="15.75" customHeight="1">
      <c r="A617" s="10" t="s">
        <v>12</v>
      </c>
      <c r="B617" s="10" t="s">
        <v>82</v>
      </c>
      <c r="C617" s="10" t="s">
        <v>5686</v>
      </c>
      <c r="D617" s="11" t="str">
        <f t="shared" si="1"/>
        <v>Abrir anúncio ↗</v>
      </c>
      <c r="E617" s="12" t="s">
        <v>5688</v>
      </c>
      <c r="F617" s="10" t="s">
        <v>29</v>
      </c>
      <c r="G617" s="12" t="s">
        <v>2390</v>
      </c>
      <c r="H617" s="12" t="s">
        <v>2392</v>
      </c>
      <c r="I617" s="10"/>
      <c r="J617" s="10"/>
      <c r="K617" s="12"/>
    </row>
    <row r="618" ht="15.75" customHeight="1">
      <c r="A618" s="3" t="s">
        <v>12</v>
      </c>
      <c r="B618" s="3" t="s">
        <v>82</v>
      </c>
      <c r="C618" s="3" t="s">
        <v>5695</v>
      </c>
      <c r="D618" s="8" t="str">
        <f t="shared" si="1"/>
        <v>Abrir anúncio ↗</v>
      </c>
      <c r="E618" s="9" t="s">
        <v>5697</v>
      </c>
      <c r="F618" s="3" t="s">
        <v>29</v>
      </c>
      <c r="G618" s="9" t="s">
        <v>3709</v>
      </c>
      <c r="H618" s="9" t="s">
        <v>4332</v>
      </c>
      <c r="I618" s="3"/>
      <c r="J618" s="3"/>
      <c r="K618" s="9"/>
    </row>
    <row r="619" ht="15.75" customHeight="1">
      <c r="A619" s="10" t="s">
        <v>12</v>
      </c>
      <c r="B619" s="10" t="s">
        <v>82</v>
      </c>
      <c r="C619" s="10" t="s">
        <v>5705</v>
      </c>
      <c r="D619" s="11" t="str">
        <f t="shared" si="1"/>
        <v>Abrir anúncio ↗</v>
      </c>
      <c r="E619" s="12" t="s">
        <v>5706</v>
      </c>
      <c r="F619" s="10" t="s">
        <v>29</v>
      </c>
      <c r="G619" s="12" t="s">
        <v>2390</v>
      </c>
      <c r="H619" s="12" t="s">
        <v>2392</v>
      </c>
      <c r="I619" s="10"/>
      <c r="J619" s="10"/>
      <c r="K619" s="12"/>
    </row>
    <row r="620" ht="15.75" customHeight="1">
      <c r="A620" s="3" t="s">
        <v>12</v>
      </c>
      <c r="B620" s="3" t="s">
        <v>82</v>
      </c>
      <c r="C620" s="3" t="s">
        <v>5713</v>
      </c>
      <c r="D620" s="8" t="str">
        <f t="shared" si="1"/>
        <v>Abrir anúncio ↗</v>
      </c>
      <c r="E620" s="9" t="s">
        <v>5717</v>
      </c>
      <c r="F620" s="3" t="s">
        <v>29</v>
      </c>
      <c r="G620" s="9" t="s">
        <v>3709</v>
      </c>
      <c r="H620" s="9" t="s">
        <v>3904</v>
      </c>
      <c r="I620" s="3"/>
      <c r="J620" s="3"/>
      <c r="K620" s="9"/>
    </row>
    <row r="621" ht="15.75" customHeight="1">
      <c r="A621" s="10" t="s">
        <v>12</v>
      </c>
      <c r="B621" s="10" t="s">
        <v>82</v>
      </c>
      <c r="C621" s="10" t="s">
        <v>5723</v>
      </c>
      <c r="D621" s="11" t="str">
        <f t="shared" si="1"/>
        <v>Abrir anúncio ↗</v>
      </c>
      <c r="E621" s="12" t="s">
        <v>5725</v>
      </c>
      <c r="F621" s="10" t="s">
        <v>29</v>
      </c>
      <c r="G621" s="12" t="s">
        <v>3709</v>
      </c>
      <c r="H621" s="12" t="s">
        <v>3712</v>
      </c>
      <c r="I621" s="10"/>
      <c r="J621" s="10"/>
      <c r="K621" s="12"/>
    </row>
    <row r="622" ht="15.75" customHeight="1">
      <c r="A622" s="3" t="s">
        <v>12</v>
      </c>
      <c r="B622" s="3" t="s">
        <v>82</v>
      </c>
      <c r="C622" s="3" t="s">
        <v>5731</v>
      </c>
      <c r="D622" s="8" t="str">
        <f t="shared" si="1"/>
        <v>Abrir anúncio ↗</v>
      </c>
      <c r="E622" s="9" t="s">
        <v>5735</v>
      </c>
      <c r="F622" s="3" t="s">
        <v>29</v>
      </c>
      <c r="G622" s="9" t="s">
        <v>3709</v>
      </c>
      <c r="H622" s="9" t="s">
        <v>5737</v>
      </c>
      <c r="I622" s="3"/>
      <c r="J622" s="3"/>
      <c r="K622" s="9"/>
    </row>
    <row r="623" ht="15.75" customHeight="1">
      <c r="A623" s="10" t="s">
        <v>12</v>
      </c>
      <c r="B623" s="10" t="s">
        <v>82</v>
      </c>
      <c r="C623" s="10" t="s">
        <v>5741</v>
      </c>
      <c r="D623" s="11" t="str">
        <f t="shared" si="1"/>
        <v>Abrir anúncio ↗</v>
      </c>
      <c r="E623" s="12" t="s">
        <v>5744</v>
      </c>
      <c r="F623" s="10" t="s">
        <v>29</v>
      </c>
      <c r="G623" s="12" t="s">
        <v>3709</v>
      </c>
      <c r="H623" s="12" t="s">
        <v>4590</v>
      </c>
      <c r="I623" s="10"/>
      <c r="J623" s="10"/>
      <c r="K623" s="12"/>
    </row>
    <row r="624" ht="15.75" customHeight="1">
      <c r="A624" s="3" t="s">
        <v>12</v>
      </c>
      <c r="B624" s="3" t="s">
        <v>82</v>
      </c>
      <c r="C624" s="3" t="s">
        <v>5752</v>
      </c>
      <c r="D624" s="8" t="str">
        <f t="shared" si="1"/>
        <v>Abrir anúncio ↗</v>
      </c>
      <c r="E624" s="9" t="s">
        <v>5753</v>
      </c>
      <c r="F624" s="3" t="s">
        <v>29</v>
      </c>
      <c r="G624" s="9" t="s">
        <v>3685</v>
      </c>
      <c r="H624" s="9" t="s">
        <v>3853</v>
      </c>
      <c r="I624" s="3"/>
      <c r="J624" s="3"/>
      <c r="K624" s="9"/>
    </row>
    <row r="625" ht="15.75" customHeight="1">
      <c r="A625" s="10" t="s">
        <v>12</v>
      </c>
      <c r="B625" s="10" t="s">
        <v>82</v>
      </c>
      <c r="C625" s="10" t="s">
        <v>5761</v>
      </c>
      <c r="D625" s="11" t="str">
        <f t="shared" si="1"/>
        <v>Abrir anúncio ↗</v>
      </c>
      <c r="E625" s="12" t="s">
        <v>5762</v>
      </c>
      <c r="F625" s="10" t="s">
        <v>29</v>
      </c>
      <c r="G625" s="12" t="s">
        <v>3685</v>
      </c>
      <c r="H625" s="12" t="s">
        <v>4207</v>
      </c>
      <c r="I625" s="10"/>
      <c r="J625" s="10"/>
      <c r="K625" s="12"/>
    </row>
    <row r="626" ht="15.75" customHeight="1">
      <c r="A626" s="3" t="s">
        <v>12</v>
      </c>
      <c r="B626" s="3" t="s">
        <v>82</v>
      </c>
      <c r="C626" s="3" t="s">
        <v>5768</v>
      </c>
      <c r="D626" s="8" t="str">
        <f t="shared" si="1"/>
        <v>Abrir anúncio ↗</v>
      </c>
      <c r="E626" s="9" t="s">
        <v>5773</v>
      </c>
      <c r="F626" s="3" t="s">
        <v>29</v>
      </c>
      <c r="G626" s="9" t="s">
        <v>5774</v>
      </c>
      <c r="H626" s="9" t="s">
        <v>5775</v>
      </c>
      <c r="I626" s="3"/>
      <c r="J626" s="3"/>
      <c r="K626" s="9"/>
    </row>
    <row r="627" ht="15.75" customHeight="1">
      <c r="A627" s="10" t="s">
        <v>12</v>
      </c>
      <c r="B627" s="10" t="s">
        <v>82</v>
      </c>
      <c r="C627" s="10" t="s">
        <v>5780</v>
      </c>
      <c r="D627" s="11" t="str">
        <f t="shared" si="1"/>
        <v>Abrir anúncio ↗</v>
      </c>
      <c r="E627" s="12" t="s">
        <v>5782</v>
      </c>
      <c r="F627" s="10" t="s">
        <v>29</v>
      </c>
      <c r="G627" s="12" t="s">
        <v>2390</v>
      </c>
      <c r="H627" s="12" t="s">
        <v>2392</v>
      </c>
      <c r="I627" s="10"/>
      <c r="J627" s="10"/>
      <c r="K627" s="12"/>
    </row>
    <row r="628" ht="15.75" customHeight="1">
      <c r="A628" s="3" t="s">
        <v>12</v>
      </c>
      <c r="B628" s="3" t="s">
        <v>82</v>
      </c>
      <c r="C628" s="3" t="s">
        <v>5789</v>
      </c>
      <c r="D628" s="8" t="str">
        <f t="shared" si="1"/>
        <v>Abrir anúncio ↗</v>
      </c>
      <c r="E628" s="9" t="s">
        <v>5791</v>
      </c>
      <c r="F628" s="3" t="s">
        <v>29</v>
      </c>
      <c r="G628" s="9" t="s">
        <v>2390</v>
      </c>
      <c r="H628" s="9" t="s">
        <v>2392</v>
      </c>
      <c r="I628" s="3"/>
      <c r="J628" s="3"/>
      <c r="K628" s="9"/>
    </row>
    <row r="629" ht="15.75" customHeight="1">
      <c r="A629" s="10" t="s">
        <v>12</v>
      </c>
      <c r="B629" s="10" t="s">
        <v>82</v>
      </c>
      <c r="C629" s="10" t="s">
        <v>5798</v>
      </c>
      <c r="D629" s="11" t="str">
        <f t="shared" si="1"/>
        <v>Abrir anúncio ↗</v>
      </c>
      <c r="E629" s="12" t="s">
        <v>424</v>
      </c>
      <c r="F629" s="10" t="s">
        <v>29</v>
      </c>
      <c r="G629" s="12" t="s">
        <v>583</v>
      </c>
      <c r="H629" s="12" t="s">
        <v>3861</v>
      </c>
      <c r="I629" s="10"/>
      <c r="J629" s="10"/>
      <c r="K629" s="12"/>
    </row>
    <row r="630" ht="15.75" customHeight="1">
      <c r="A630" s="3" t="s">
        <v>12</v>
      </c>
      <c r="B630" s="3" t="s">
        <v>82</v>
      </c>
      <c r="C630" s="3" t="s">
        <v>5807</v>
      </c>
      <c r="D630" s="8" t="str">
        <f t="shared" si="1"/>
        <v>Abrir anúncio ↗</v>
      </c>
      <c r="E630" s="9" t="s">
        <v>5809</v>
      </c>
      <c r="F630" s="3" t="s">
        <v>29</v>
      </c>
      <c r="G630" s="9" t="s">
        <v>3962</v>
      </c>
      <c r="H630" s="9" t="s">
        <v>5812</v>
      </c>
      <c r="I630" s="3"/>
      <c r="J630" s="3"/>
      <c r="K630" s="9"/>
    </row>
    <row r="631" ht="15.75" customHeight="1">
      <c r="A631" s="10" t="s">
        <v>12</v>
      </c>
      <c r="B631" s="10" t="s">
        <v>82</v>
      </c>
      <c r="C631" s="10" t="s">
        <v>5816</v>
      </c>
      <c r="D631" s="11" t="str">
        <f t="shared" si="1"/>
        <v>Abrir anúncio ↗</v>
      </c>
      <c r="E631" s="12" t="s">
        <v>5820</v>
      </c>
      <c r="F631" s="10" t="s">
        <v>29</v>
      </c>
      <c r="G631" s="12" t="s">
        <v>5822</v>
      </c>
      <c r="H631" s="12" t="s">
        <v>5824</v>
      </c>
      <c r="I631" s="10"/>
      <c r="J631" s="10"/>
      <c r="K631" s="12"/>
    </row>
    <row r="632" ht="15.75" customHeight="1">
      <c r="A632" s="3" t="s">
        <v>12</v>
      </c>
      <c r="B632" s="3" t="s">
        <v>82</v>
      </c>
      <c r="C632" s="3" t="s">
        <v>5827</v>
      </c>
      <c r="D632" s="8" t="str">
        <f t="shared" si="1"/>
        <v>Abrir anúncio ↗</v>
      </c>
      <c r="E632" s="9" t="s">
        <v>5829</v>
      </c>
      <c r="F632" s="3" t="s">
        <v>29</v>
      </c>
      <c r="G632" s="9" t="s">
        <v>3892</v>
      </c>
      <c r="H632" s="9" t="s">
        <v>5183</v>
      </c>
      <c r="I632" s="3"/>
      <c r="J632" s="3"/>
      <c r="K632" s="9"/>
    </row>
    <row r="633" ht="15.75" customHeight="1">
      <c r="A633" s="10" t="s">
        <v>12</v>
      </c>
      <c r="B633" s="10" t="s">
        <v>82</v>
      </c>
      <c r="C633" s="10" t="s">
        <v>5836</v>
      </c>
      <c r="D633" s="11" t="str">
        <f t="shared" si="1"/>
        <v>Abrir anúncio ↗</v>
      </c>
      <c r="E633" s="12" t="s">
        <v>5838</v>
      </c>
      <c r="F633" s="10" t="s">
        <v>29</v>
      </c>
      <c r="G633" s="12" t="s">
        <v>3685</v>
      </c>
      <c r="H633" s="12" t="s">
        <v>3898</v>
      </c>
      <c r="I633" s="10"/>
      <c r="J633" s="10"/>
      <c r="K633" s="12"/>
    </row>
    <row r="634" ht="15.75" customHeight="1">
      <c r="A634" s="3" t="s">
        <v>12</v>
      </c>
      <c r="B634" s="3" t="s">
        <v>82</v>
      </c>
      <c r="C634" s="3" t="s">
        <v>5843</v>
      </c>
      <c r="D634" s="8" t="str">
        <f t="shared" si="1"/>
        <v>Abrir anúncio ↗</v>
      </c>
      <c r="E634" s="9" t="s">
        <v>5847</v>
      </c>
      <c r="F634" s="3" t="s">
        <v>29</v>
      </c>
      <c r="G634" s="9" t="s">
        <v>99</v>
      </c>
      <c r="H634" s="9" t="s">
        <v>143</v>
      </c>
      <c r="I634" s="3"/>
      <c r="J634" s="3"/>
      <c r="K634" s="9"/>
    </row>
    <row r="635" ht="15.75" customHeight="1">
      <c r="A635" s="10" t="s">
        <v>12</v>
      </c>
      <c r="B635" s="10" t="s">
        <v>82</v>
      </c>
      <c r="C635" s="10" t="s">
        <v>5852</v>
      </c>
      <c r="D635" s="11" t="str">
        <f t="shared" si="1"/>
        <v>Abrir anúncio ↗</v>
      </c>
      <c r="E635" s="12" t="s">
        <v>5855</v>
      </c>
      <c r="F635" s="10" t="s">
        <v>29</v>
      </c>
      <c r="G635" s="12" t="s">
        <v>99</v>
      </c>
      <c r="H635" s="12" t="s">
        <v>143</v>
      </c>
      <c r="I635" s="10"/>
      <c r="J635" s="10"/>
      <c r="K635" s="12"/>
    </row>
    <row r="636" ht="15.75" customHeight="1">
      <c r="A636" s="3" t="s">
        <v>12</v>
      </c>
      <c r="B636" s="3" t="s">
        <v>82</v>
      </c>
      <c r="C636" s="3" t="s">
        <v>5862</v>
      </c>
      <c r="D636" s="8" t="str">
        <f t="shared" si="1"/>
        <v>Abrir anúncio ↗</v>
      </c>
      <c r="E636" s="9" t="s">
        <v>5864</v>
      </c>
      <c r="F636" s="3" t="s">
        <v>29</v>
      </c>
      <c r="G636" s="9" t="s">
        <v>99</v>
      </c>
      <c r="H636" s="9" t="s">
        <v>143</v>
      </c>
      <c r="I636" s="3"/>
      <c r="J636" s="3"/>
      <c r="K636" s="9"/>
    </row>
    <row r="637" ht="15.75" customHeight="1">
      <c r="A637" s="10" t="s">
        <v>12</v>
      </c>
      <c r="B637" s="10" t="s">
        <v>82</v>
      </c>
      <c r="C637" s="10" t="s">
        <v>5872</v>
      </c>
      <c r="D637" s="11" t="str">
        <f t="shared" si="1"/>
        <v>Abrir anúncio ↗</v>
      </c>
      <c r="E637" s="12" t="s">
        <v>5873</v>
      </c>
      <c r="F637" s="10" t="s">
        <v>29</v>
      </c>
      <c r="G637" s="12" t="s">
        <v>99</v>
      </c>
      <c r="H637" s="12" t="s">
        <v>143</v>
      </c>
      <c r="I637" s="10"/>
      <c r="J637" s="10"/>
      <c r="K637" s="12"/>
    </row>
    <row r="638" ht="15.75" customHeight="1">
      <c r="A638" s="3" t="s">
        <v>12</v>
      </c>
      <c r="B638" s="3" t="s">
        <v>82</v>
      </c>
      <c r="C638" s="3" t="s">
        <v>5881</v>
      </c>
      <c r="D638" s="8" t="str">
        <f t="shared" si="1"/>
        <v>Abrir anúncio ↗</v>
      </c>
      <c r="E638" s="9" t="s">
        <v>5884</v>
      </c>
      <c r="F638" s="3" t="s">
        <v>29</v>
      </c>
      <c r="G638" s="9" t="s">
        <v>99</v>
      </c>
      <c r="H638" s="9" t="s">
        <v>143</v>
      </c>
      <c r="I638" s="3"/>
      <c r="J638" s="3"/>
      <c r="K638" s="9"/>
    </row>
    <row r="639" ht="15.75" customHeight="1">
      <c r="A639" s="10" t="s">
        <v>12</v>
      </c>
      <c r="B639" s="10" t="s">
        <v>82</v>
      </c>
      <c r="C639" s="10" t="s">
        <v>5891</v>
      </c>
      <c r="D639" s="11" t="str">
        <f t="shared" si="1"/>
        <v>Abrir anúncio ↗</v>
      </c>
      <c r="E639" s="12" t="s">
        <v>5894</v>
      </c>
      <c r="F639" s="10" t="s">
        <v>29</v>
      </c>
      <c r="G639" s="12" t="s">
        <v>99</v>
      </c>
      <c r="H639" s="12" t="s">
        <v>143</v>
      </c>
      <c r="I639" s="10"/>
      <c r="J639" s="10"/>
      <c r="K639" s="12"/>
    </row>
    <row r="640" ht="15.75" customHeight="1">
      <c r="A640" s="3" t="s">
        <v>12</v>
      </c>
      <c r="B640" s="3" t="s">
        <v>82</v>
      </c>
      <c r="C640" s="3" t="s">
        <v>5900</v>
      </c>
      <c r="D640" s="8" t="str">
        <f t="shared" si="1"/>
        <v>Abrir anúncio ↗</v>
      </c>
      <c r="E640" s="9" t="s">
        <v>5901</v>
      </c>
      <c r="F640" s="3" t="s">
        <v>29</v>
      </c>
      <c r="G640" s="9" t="s">
        <v>99</v>
      </c>
      <c r="H640" s="9" t="s">
        <v>143</v>
      </c>
      <c r="I640" s="3"/>
      <c r="J640" s="3"/>
      <c r="K640" s="9"/>
    </row>
    <row r="641" ht="15.75" customHeight="1">
      <c r="A641" s="10" t="s">
        <v>12</v>
      </c>
      <c r="B641" s="10" t="s">
        <v>82</v>
      </c>
      <c r="C641" s="10" t="s">
        <v>5906</v>
      </c>
      <c r="D641" s="11" t="str">
        <f t="shared" si="1"/>
        <v>Abrir anúncio ↗</v>
      </c>
      <c r="E641" s="12" t="s">
        <v>5908</v>
      </c>
      <c r="F641" s="10" t="s">
        <v>29</v>
      </c>
      <c r="G641" s="12" t="s">
        <v>99</v>
      </c>
      <c r="H641" s="12" t="s">
        <v>143</v>
      </c>
      <c r="I641" s="10"/>
      <c r="J641" s="10"/>
      <c r="K641" s="12"/>
    </row>
    <row r="642" ht="15.75" customHeight="1">
      <c r="A642" s="3" t="s">
        <v>12</v>
      </c>
      <c r="B642" s="3" t="s">
        <v>82</v>
      </c>
      <c r="C642" s="3" t="s">
        <v>5915</v>
      </c>
      <c r="D642" s="8" t="str">
        <f t="shared" si="1"/>
        <v>Abrir anúncio ↗</v>
      </c>
      <c r="E642" s="9" t="s">
        <v>5917</v>
      </c>
      <c r="F642" s="3" t="s">
        <v>29</v>
      </c>
      <c r="G642" s="9" t="s">
        <v>99</v>
      </c>
      <c r="H642" s="9" t="s">
        <v>143</v>
      </c>
      <c r="I642" s="3"/>
      <c r="J642" s="3"/>
      <c r="K642" s="9"/>
    </row>
    <row r="643" ht="15.75" customHeight="1">
      <c r="A643" s="10" t="s">
        <v>12</v>
      </c>
      <c r="B643" s="10" t="s">
        <v>82</v>
      </c>
      <c r="C643" s="10" t="s">
        <v>5922</v>
      </c>
      <c r="D643" s="11" t="str">
        <f t="shared" si="1"/>
        <v>Abrir anúncio ↗</v>
      </c>
      <c r="E643" s="12" t="s">
        <v>5923</v>
      </c>
      <c r="F643" s="10" t="s">
        <v>29</v>
      </c>
      <c r="G643" s="12" t="s">
        <v>99</v>
      </c>
      <c r="H643" s="12" t="s">
        <v>143</v>
      </c>
      <c r="I643" s="10"/>
      <c r="J643" s="10"/>
      <c r="K643" s="12"/>
    </row>
    <row r="644" ht="15.75" customHeight="1">
      <c r="A644" s="3" t="s">
        <v>12</v>
      </c>
      <c r="B644" s="3" t="s">
        <v>82</v>
      </c>
      <c r="C644" s="3" t="s">
        <v>5927</v>
      </c>
      <c r="D644" s="8" t="str">
        <f t="shared" si="1"/>
        <v>Abrir anúncio ↗</v>
      </c>
      <c r="E644" s="9" t="s">
        <v>5928</v>
      </c>
      <c r="F644" s="3" t="s">
        <v>29</v>
      </c>
      <c r="G644" s="9" t="s">
        <v>99</v>
      </c>
      <c r="H644" s="9" t="s">
        <v>143</v>
      </c>
      <c r="I644" s="3"/>
      <c r="J644" s="3"/>
      <c r="K644" s="9"/>
    </row>
    <row r="645" ht="15.75" customHeight="1">
      <c r="A645" s="10" t="s">
        <v>12</v>
      </c>
      <c r="B645" s="10" t="s">
        <v>82</v>
      </c>
      <c r="C645" s="10" t="s">
        <v>5932</v>
      </c>
      <c r="D645" s="11" t="str">
        <f t="shared" si="1"/>
        <v>Abrir anúncio ↗</v>
      </c>
      <c r="E645" s="12" t="s">
        <v>5934</v>
      </c>
      <c r="F645" s="10" t="s">
        <v>29</v>
      </c>
      <c r="G645" s="12" t="s">
        <v>99</v>
      </c>
      <c r="H645" s="12" t="s">
        <v>143</v>
      </c>
      <c r="I645" s="10"/>
      <c r="J645" s="10"/>
      <c r="K645" s="12"/>
    </row>
    <row r="646" ht="15.75" customHeight="1">
      <c r="A646" s="3" t="s">
        <v>12</v>
      </c>
      <c r="B646" s="3" t="s">
        <v>82</v>
      </c>
      <c r="C646" s="3" t="s">
        <v>5938</v>
      </c>
      <c r="D646" s="8" t="str">
        <f t="shared" si="1"/>
        <v>Abrir anúncio ↗</v>
      </c>
      <c r="E646" s="9" t="s">
        <v>5939</v>
      </c>
      <c r="F646" s="3" t="s">
        <v>29</v>
      </c>
      <c r="G646" s="9" t="s">
        <v>99</v>
      </c>
      <c r="H646" s="9" t="s">
        <v>143</v>
      </c>
      <c r="I646" s="3"/>
      <c r="J646" s="3"/>
      <c r="K646" s="9"/>
    </row>
    <row r="647" ht="15.75" customHeight="1">
      <c r="A647" s="10" t="s">
        <v>12</v>
      </c>
      <c r="B647" s="10" t="s">
        <v>82</v>
      </c>
      <c r="C647" s="10" t="s">
        <v>5944</v>
      </c>
      <c r="D647" s="11" t="str">
        <f t="shared" si="1"/>
        <v>Abrir anúncio ↗</v>
      </c>
      <c r="E647" s="12" t="s">
        <v>5945</v>
      </c>
      <c r="F647" s="10" t="s">
        <v>29</v>
      </c>
      <c r="G647" s="12" t="s">
        <v>5946</v>
      </c>
      <c r="H647" s="12" t="s">
        <v>5948</v>
      </c>
      <c r="I647" s="10"/>
      <c r="J647" s="10"/>
      <c r="K647" s="12"/>
    </row>
    <row r="648" ht="15.75" customHeight="1">
      <c r="A648" s="3" t="s">
        <v>12</v>
      </c>
      <c r="B648" s="3" t="s">
        <v>82</v>
      </c>
      <c r="C648" s="3" t="s">
        <v>5951</v>
      </c>
      <c r="D648" s="8" t="str">
        <f t="shared" si="1"/>
        <v>Abrir anúncio ↗</v>
      </c>
      <c r="E648" s="9" t="s">
        <v>5953</v>
      </c>
      <c r="F648" s="3" t="s">
        <v>29</v>
      </c>
      <c r="G648" s="9" t="s">
        <v>3709</v>
      </c>
      <c r="H648" s="9" t="s">
        <v>5956</v>
      </c>
      <c r="I648" s="3"/>
      <c r="J648" s="3"/>
      <c r="K648" s="9"/>
    </row>
    <row r="649" ht="15.75" customHeight="1">
      <c r="A649" s="10" t="s">
        <v>12</v>
      </c>
      <c r="B649" s="10" t="s">
        <v>82</v>
      </c>
      <c r="C649" s="10" t="s">
        <v>5959</v>
      </c>
      <c r="D649" s="11" t="str">
        <f t="shared" si="1"/>
        <v>Abrir anúncio ↗</v>
      </c>
      <c r="E649" s="12" t="s">
        <v>5960</v>
      </c>
      <c r="F649" s="10" t="s">
        <v>29</v>
      </c>
      <c r="G649" s="12" t="s">
        <v>3709</v>
      </c>
      <c r="H649" s="12" t="s">
        <v>5962</v>
      </c>
      <c r="I649" s="10"/>
      <c r="J649" s="10"/>
      <c r="K649" s="12"/>
    </row>
    <row r="650" ht="15.75" customHeight="1">
      <c r="A650" s="3" t="s">
        <v>12</v>
      </c>
      <c r="B650" s="3" t="s">
        <v>82</v>
      </c>
      <c r="C650" s="3" t="s">
        <v>5963</v>
      </c>
      <c r="D650" s="8" t="str">
        <f t="shared" si="1"/>
        <v>Abrir anúncio ↗</v>
      </c>
      <c r="E650" s="9" t="s">
        <v>5966</v>
      </c>
      <c r="F650" s="3" t="s">
        <v>29</v>
      </c>
      <c r="G650" s="9" t="s">
        <v>3709</v>
      </c>
      <c r="H650" s="9" t="s">
        <v>4141</v>
      </c>
      <c r="I650" s="3"/>
      <c r="J650" s="3"/>
      <c r="K650" s="9"/>
    </row>
    <row r="651" ht="15.75" customHeight="1">
      <c r="A651" s="10" t="s">
        <v>12</v>
      </c>
      <c r="B651" s="10" t="s">
        <v>82</v>
      </c>
      <c r="C651" s="10" t="s">
        <v>5969</v>
      </c>
      <c r="D651" s="11" t="str">
        <f t="shared" si="1"/>
        <v>Abrir anúncio ↗</v>
      </c>
      <c r="E651" s="12" t="s">
        <v>5970</v>
      </c>
      <c r="F651" s="10" t="s">
        <v>29</v>
      </c>
      <c r="G651" s="12" t="s">
        <v>3709</v>
      </c>
      <c r="H651" s="12" t="s">
        <v>5973</v>
      </c>
      <c r="I651" s="10"/>
      <c r="J651" s="10"/>
      <c r="K651" s="12"/>
    </row>
    <row r="652" ht="15.75" customHeight="1">
      <c r="A652" s="3" t="s">
        <v>12</v>
      </c>
      <c r="B652" s="3" t="s">
        <v>82</v>
      </c>
      <c r="C652" s="3" t="s">
        <v>5976</v>
      </c>
      <c r="D652" s="8" t="str">
        <f t="shared" si="1"/>
        <v>Abrir anúncio ↗</v>
      </c>
      <c r="E652" s="9" t="s">
        <v>5977</v>
      </c>
      <c r="F652" s="3" t="s">
        <v>29</v>
      </c>
      <c r="G652" s="9" t="s">
        <v>3709</v>
      </c>
      <c r="H652" s="9" t="s">
        <v>5962</v>
      </c>
      <c r="I652" s="3"/>
      <c r="J652" s="3"/>
      <c r="K652" s="9"/>
    </row>
    <row r="653" ht="15.75" customHeight="1">
      <c r="A653" s="10" t="s">
        <v>12</v>
      </c>
      <c r="B653" s="10" t="s">
        <v>82</v>
      </c>
      <c r="C653" s="10" t="s">
        <v>5981</v>
      </c>
      <c r="D653" s="11" t="str">
        <f t="shared" si="1"/>
        <v>Abrir anúncio ↗</v>
      </c>
      <c r="E653" s="12" t="s">
        <v>5983</v>
      </c>
      <c r="F653" s="10" t="s">
        <v>29</v>
      </c>
      <c r="G653" s="12" t="s">
        <v>3709</v>
      </c>
      <c r="H653" s="12" t="s">
        <v>5973</v>
      </c>
      <c r="I653" s="10"/>
      <c r="J653" s="10"/>
      <c r="K653" s="12"/>
    </row>
    <row r="654" ht="15.75" customHeight="1">
      <c r="A654" s="3" t="s">
        <v>12</v>
      </c>
      <c r="B654" s="3" t="s">
        <v>82</v>
      </c>
      <c r="C654" s="3" t="s">
        <v>5991</v>
      </c>
      <c r="D654" s="8" t="str">
        <f t="shared" si="1"/>
        <v>Abrir anúncio ↗</v>
      </c>
      <c r="E654" s="9" t="s">
        <v>5995</v>
      </c>
      <c r="F654" s="3" t="s">
        <v>29</v>
      </c>
      <c r="G654" s="9" t="s">
        <v>3709</v>
      </c>
      <c r="H654" s="9" t="s">
        <v>5956</v>
      </c>
      <c r="I654" s="3"/>
      <c r="J654" s="3"/>
      <c r="K654" s="9"/>
    </row>
    <row r="655" ht="15.75" customHeight="1">
      <c r="A655" s="10" t="s">
        <v>12</v>
      </c>
      <c r="B655" s="10" t="s">
        <v>82</v>
      </c>
      <c r="C655" s="10" t="s">
        <v>6001</v>
      </c>
      <c r="D655" s="11" t="str">
        <f t="shared" si="1"/>
        <v>Abrir anúncio ↗</v>
      </c>
      <c r="E655" s="12" t="s">
        <v>6004</v>
      </c>
      <c r="F655" s="10" t="s">
        <v>29</v>
      </c>
      <c r="G655" s="12" t="s">
        <v>3709</v>
      </c>
      <c r="H655" s="12" t="s">
        <v>5962</v>
      </c>
      <c r="I655" s="10"/>
      <c r="J655" s="10"/>
      <c r="K655" s="12"/>
    </row>
    <row r="656" ht="15.75" customHeight="1">
      <c r="A656" s="3" t="s">
        <v>12</v>
      </c>
      <c r="B656" s="3" t="s">
        <v>82</v>
      </c>
      <c r="C656" s="3" t="s">
        <v>6010</v>
      </c>
      <c r="D656" s="8" t="str">
        <f t="shared" si="1"/>
        <v>Abrir anúncio ↗</v>
      </c>
      <c r="E656" s="9" t="s">
        <v>6013</v>
      </c>
      <c r="F656" s="3" t="s">
        <v>29</v>
      </c>
      <c r="G656" s="9" t="s">
        <v>3709</v>
      </c>
      <c r="H656" s="9" t="s">
        <v>3999</v>
      </c>
      <c r="I656" s="3"/>
      <c r="J656" s="3"/>
      <c r="K656" s="9"/>
    </row>
    <row r="657" ht="15.75" customHeight="1">
      <c r="A657" s="10" t="s">
        <v>12</v>
      </c>
      <c r="B657" s="10" t="s">
        <v>82</v>
      </c>
      <c r="C657" s="10" t="s">
        <v>6021</v>
      </c>
      <c r="D657" s="11" t="str">
        <f t="shared" si="1"/>
        <v>Abrir anúncio ↗</v>
      </c>
      <c r="E657" s="12" t="s">
        <v>6023</v>
      </c>
      <c r="F657" s="10" t="s">
        <v>29</v>
      </c>
      <c r="G657" s="12" t="s">
        <v>2390</v>
      </c>
      <c r="H657" s="12" t="s">
        <v>2392</v>
      </c>
      <c r="I657" s="10"/>
      <c r="J657" s="10"/>
      <c r="K657" s="12"/>
    </row>
    <row r="658" ht="15.75" customHeight="1">
      <c r="A658" s="3" t="s">
        <v>12</v>
      </c>
      <c r="B658" s="3" t="s">
        <v>82</v>
      </c>
      <c r="C658" s="3" t="s">
        <v>6028</v>
      </c>
      <c r="D658" s="8" t="str">
        <f t="shared" si="1"/>
        <v>Abrir anúncio ↗</v>
      </c>
      <c r="E658" s="9" t="s">
        <v>6030</v>
      </c>
      <c r="F658" s="3" t="s">
        <v>29</v>
      </c>
      <c r="G658" s="9" t="s">
        <v>3709</v>
      </c>
      <c r="H658" s="9" t="s">
        <v>5962</v>
      </c>
      <c r="I658" s="3"/>
      <c r="J658" s="3"/>
      <c r="K658" s="9"/>
    </row>
    <row r="659" ht="15.75" customHeight="1">
      <c r="A659" s="10" t="s">
        <v>12</v>
      </c>
      <c r="B659" s="10" t="s">
        <v>82</v>
      </c>
      <c r="C659" s="10" t="s">
        <v>6040</v>
      </c>
      <c r="D659" s="11" t="str">
        <f t="shared" si="1"/>
        <v>Abrir anúncio ↗</v>
      </c>
      <c r="E659" s="12" t="s">
        <v>6041</v>
      </c>
      <c r="F659" s="10" t="s">
        <v>86</v>
      </c>
      <c r="G659" s="12" t="s">
        <v>4786</v>
      </c>
      <c r="H659" s="12" t="s">
        <v>6046</v>
      </c>
      <c r="I659" s="10"/>
      <c r="J659" s="10"/>
      <c r="K659" s="12"/>
    </row>
    <row r="660" ht="15.75" customHeight="1">
      <c r="A660" s="3" t="s">
        <v>12</v>
      </c>
      <c r="B660" s="3" t="s">
        <v>82</v>
      </c>
      <c r="C660" s="3" t="s">
        <v>6055</v>
      </c>
      <c r="D660" s="8" t="str">
        <f t="shared" si="1"/>
        <v>Abrir anúncio ↗</v>
      </c>
      <c r="E660" s="9" t="s">
        <v>6057</v>
      </c>
      <c r="F660" s="3" t="s">
        <v>29</v>
      </c>
      <c r="G660" s="9" t="s">
        <v>4538</v>
      </c>
      <c r="H660" s="9" t="s">
        <v>6060</v>
      </c>
      <c r="I660" s="3"/>
      <c r="J660" s="3"/>
      <c r="K660" s="9"/>
    </row>
    <row r="661" ht="15.75" customHeight="1">
      <c r="A661" s="10" t="s">
        <v>12</v>
      </c>
      <c r="B661" s="10" t="s">
        <v>82</v>
      </c>
      <c r="C661" s="10" t="s">
        <v>6064</v>
      </c>
      <c r="D661" s="11" t="str">
        <f t="shared" si="1"/>
        <v>Abrir anúncio ↗</v>
      </c>
      <c r="E661" s="12" t="s">
        <v>6066</v>
      </c>
      <c r="F661" s="10" t="s">
        <v>29</v>
      </c>
      <c r="G661" s="12" t="s">
        <v>3892</v>
      </c>
      <c r="H661" s="12" t="s">
        <v>4643</v>
      </c>
      <c r="I661" s="10"/>
      <c r="J661" s="10"/>
      <c r="K661" s="12"/>
    </row>
    <row r="662" ht="15.75" customHeight="1">
      <c r="A662" s="3" t="s">
        <v>12</v>
      </c>
      <c r="B662" s="3" t="s">
        <v>82</v>
      </c>
      <c r="C662" s="3" t="s">
        <v>6070</v>
      </c>
      <c r="D662" s="8" t="str">
        <f t="shared" si="1"/>
        <v>Abrir anúncio ↗</v>
      </c>
      <c r="E662" s="9" t="s">
        <v>6071</v>
      </c>
      <c r="F662" s="3" t="s">
        <v>29</v>
      </c>
      <c r="G662" s="9" t="s">
        <v>6073</v>
      </c>
      <c r="H662" s="9" t="s">
        <v>6074</v>
      </c>
      <c r="I662" s="3"/>
      <c r="J662" s="3"/>
      <c r="K662" s="9"/>
    </row>
    <row r="663" ht="15.75" customHeight="1">
      <c r="A663" s="10" t="s">
        <v>12</v>
      </c>
      <c r="B663" s="10" t="s">
        <v>82</v>
      </c>
      <c r="C663" s="10" t="s">
        <v>6079</v>
      </c>
      <c r="D663" s="11" t="str">
        <f t="shared" si="1"/>
        <v>Abrir anúncio ↗</v>
      </c>
      <c r="E663" s="12" t="s">
        <v>6080</v>
      </c>
      <c r="F663" s="10" t="s">
        <v>29</v>
      </c>
      <c r="G663" s="12" t="s">
        <v>3709</v>
      </c>
      <c r="H663" s="12" t="s">
        <v>4075</v>
      </c>
      <c r="I663" s="10"/>
      <c r="J663" s="10"/>
      <c r="K663" s="12"/>
    </row>
    <row r="664" ht="15.75" customHeight="1">
      <c r="A664" s="3" t="s">
        <v>12</v>
      </c>
      <c r="B664" s="3" t="s">
        <v>82</v>
      </c>
      <c r="C664" s="3" t="s">
        <v>6086</v>
      </c>
      <c r="D664" s="8" t="str">
        <f t="shared" si="1"/>
        <v>Abrir anúncio ↗</v>
      </c>
      <c r="E664" s="9" t="s">
        <v>6087</v>
      </c>
      <c r="F664" s="3" t="s">
        <v>29</v>
      </c>
      <c r="G664" s="9" t="s">
        <v>3892</v>
      </c>
      <c r="H664" s="9" t="s">
        <v>4221</v>
      </c>
      <c r="I664" s="3"/>
      <c r="J664" s="3"/>
      <c r="K664" s="9"/>
    </row>
    <row r="665" ht="15.75" customHeight="1">
      <c r="A665" s="10" t="s">
        <v>12</v>
      </c>
      <c r="B665" s="10" t="s">
        <v>82</v>
      </c>
      <c r="C665" s="10" t="s">
        <v>6091</v>
      </c>
      <c r="D665" s="11" t="str">
        <f t="shared" si="1"/>
        <v>Abrir anúncio ↗</v>
      </c>
      <c r="E665" s="12" t="s">
        <v>6093</v>
      </c>
      <c r="F665" s="10" t="s">
        <v>86</v>
      </c>
      <c r="G665" s="12" t="s">
        <v>4538</v>
      </c>
      <c r="H665" s="12" t="s">
        <v>6094</v>
      </c>
      <c r="I665" s="10"/>
      <c r="J665" s="10"/>
      <c r="K665" s="12"/>
    </row>
    <row r="666" ht="15.75" customHeight="1">
      <c r="A666" s="3" t="s">
        <v>12</v>
      </c>
      <c r="B666" s="3" t="s">
        <v>82</v>
      </c>
      <c r="C666" s="3" t="s">
        <v>6096</v>
      </c>
      <c r="D666" s="8" t="str">
        <f t="shared" si="1"/>
        <v>Abrir anúncio ↗</v>
      </c>
      <c r="E666" s="9" t="s">
        <v>6098</v>
      </c>
      <c r="F666" s="3" t="s">
        <v>29</v>
      </c>
      <c r="G666" s="9" t="s">
        <v>4786</v>
      </c>
      <c r="H666" s="9" t="s">
        <v>6099</v>
      </c>
      <c r="I666" s="3"/>
      <c r="J666" s="3"/>
      <c r="K666" s="9"/>
    </row>
    <row r="667" ht="15.75" customHeight="1">
      <c r="A667" s="10" t="s">
        <v>12</v>
      </c>
      <c r="B667" s="10" t="s">
        <v>82</v>
      </c>
      <c r="C667" s="10" t="s">
        <v>6101</v>
      </c>
      <c r="D667" s="11" t="str">
        <f t="shared" si="1"/>
        <v>Abrir anúncio ↗</v>
      </c>
      <c r="E667" s="12" t="s">
        <v>6102</v>
      </c>
      <c r="F667" s="10" t="s">
        <v>29</v>
      </c>
      <c r="G667" s="12" t="s">
        <v>4786</v>
      </c>
      <c r="H667" s="12" t="s">
        <v>6104</v>
      </c>
      <c r="I667" s="10"/>
      <c r="J667" s="10"/>
      <c r="K667" s="12"/>
    </row>
    <row r="668" ht="15.75" customHeight="1">
      <c r="A668" s="3" t="s">
        <v>12</v>
      </c>
      <c r="B668" s="3" t="s">
        <v>82</v>
      </c>
      <c r="C668" s="3" t="s">
        <v>6107</v>
      </c>
      <c r="D668" s="8" t="str">
        <f t="shared" si="1"/>
        <v>Abrir anúncio ↗</v>
      </c>
      <c r="E668" s="9" t="s">
        <v>6109</v>
      </c>
      <c r="F668" s="3" t="s">
        <v>29</v>
      </c>
      <c r="G668" s="9" t="s">
        <v>5115</v>
      </c>
      <c r="H668" s="9" t="s">
        <v>6110</v>
      </c>
      <c r="I668" s="3"/>
      <c r="J668" s="3"/>
      <c r="K668" s="9"/>
    </row>
    <row r="669" ht="15.75" customHeight="1">
      <c r="A669" s="10" t="s">
        <v>12</v>
      </c>
      <c r="B669" s="10" t="s">
        <v>82</v>
      </c>
      <c r="C669" s="10" t="s">
        <v>6113</v>
      </c>
      <c r="D669" s="11" t="str">
        <f t="shared" si="1"/>
        <v>Abrir anúncio ↗</v>
      </c>
      <c r="E669" s="12" t="s">
        <v>6114</v>
      </c>
      <c r="F669" s="10" t="s">
        <v>86</v>
      </c>
      <c r="G669" s="12" t="s">
        <v>4786</v>
      </c>
      <c r="H669" s="12" t="s">
        <v>6116</v>
      </c>
      <c r="I669" s="10"/>
      <c r="J669" s="10"/>
      <c r="K669" s="12"/>
    </row>
    <row r="670" ht="15.75" customHeight="1">
      <c r="A670" s="3" t="s">
        <v>12</v>
      </c>
      <c r="B670" s="3" t="s">
        <v>82</v>
      </c>
      <c r="C670" s="3" t="s">
        <v>6118</v>
      </c>
      <c r="D670" s="8" t="str">
        <f t="shared" si="1"/>
        <v>Abrir anúncio ↗</v>
      </c>
      <c r="E670" s="9" t="s">
        <v>6119</v>
      </c>
      <c r="F670" s="3" t="s">
        <v>29</v>
      </c>
      <c r="G670" s="9" t="s">
        <v>4538</v>
      </c>
      <c r="H670" s="9" t="s">
        <v>5243</v>
      </c>
      <c r="I670" s="3"/>
      <c r="J670" s="3"/>
      <c r="K670" s="9"/>
    </row>
    <row r="671" ht="15.75" customHeight="1">
      <c r="A671" s="10" t="s">
        <v>12</v>
      </c>
      <c r="B671" s="10" t="s">
        <v>82</v>
      </c>
      <c r="C671" s="10" t="s">
        <v>6123</v>
      </c>
      <c r="D671" s="11" t="str">
        <f t="shared" si="1"/>
        <v>Abrir anúncio ↗</v>
      </c>
      <c r="E671" s="12" t="s">
        <v>6125</v>
      </c>
      <c r="F671" s="10" t="s">
        <v>29</v>
      </c>
      <c r="G671" s="12" t="s">
        <v>4786</v>
      </c>
      <c r="H671" s="12" t="s">
        <v>6126</v>
      </c>
      <c r="I671" s="10"/>
      <c r="J671" s="10"/>
      <c r="K671" s="12"/>
    </row>
    <row r="672" ht="15.75" customHeight="1">
      <c r="A672" s="3" t="s">
        <v>12</v>
      </c>
      <c r="B672" s="3" t="s">
        <v>82</v>
      </c>
      <c r="C672" s="3" t="s">
        <v>6129</v>
      </c>
      <c r="D672" s="8" t="str">
        <f t="shared" si="1"/>
        <v>Abrir anúncio ↗</v>
      </c>
      <c r="E672" s="9" t="s">
        <v>6131</v>
      </c>
      <c r="F672" s="3" t="s">
        <v>29</v>
      </c>
      <c r="G672" s="9" t="s">
        <v>3892</v>
      </c>
      <c r="H672" s="9" t="s">
        <v>6133</v>
      </c>
      <c r="I672" s="3"/>
      <c r="J672" s="3"/>
      <c r="K672" s="9"/>
    </row>
    <row r="673" ht="15.75" customHeight="1">
      <c r="A673" s="10" t="s">
        <v>12</v>
      </c>
      <c r="B673" s="10" t="s">
        <v>82</v>
      </c>
      <c r="C673" s="10" t="s">
        <v>6135</v>
      </c>
      <c r="D673" s="11" t="str">
        <f t="shared" si="1"/>
        <v>Abrir anúncio ↗</v>
      </c>
      <c r="E673" s="12" t="s">
        <v>6136</v>
      </c>
      <c r="F673" s="10" t="s">
        <v>29</v>
      </c>
      <c r="G673" s="12" t="s">
        <v>3422</v>
      </c>
      <c r="H673" s="12" t="s">
        <v>6138</v>
      </c>
      <c r="I673" s="10"/>
      <c r="J673" s="10"/>
      <c r="K673" s="12"/>
    </row>
    <row r="674" ht="15.75" customHeight="1">
      <c r="A674" s="3" t="s">
        <v>12</v>
      </c>
      <c r="B674" s="3" t="s">
        <v>82</v>
      </c>
      <c r="C674" s="3" t="s">
        <v>6141</v>
      </c>
      <c r="D674" s="8" t="str">
        <f t="shared" si="1"/>
        <v>Abrir anúncio ↗</v>
      </c>
      <c r="E674" s="9" t="s">
        <v>6143</v>
      </c>
      <c r="F674" s="3" t="s">
        <v>29</v>
      </c>
      <c r="G674" s="9" t="s">
        <v>99</v>
      </c>
      <c r="H674" s="9" t="s">
        <v>143</v>
      </c>
      <c r="I674" s="3"/>
      <c r="J674" s="3"/>
      <c r="K674" s="9"/>
    </row>
    <row r="675" ht="15.75" customHeight="1">
      <c r="A675" s="10" t="s">
        <v>12</v>
      </c>
      <c r="B675" s="10" t="s">
        <v>82</v>
      </c>
      <c r="C675" s="10" t="s">
        <v>6152</v>
      </c>
      <c r="D675" s="11" t="str">
        <f t="shared" si="1"/>
        <v>Abrir anúncio ↗</v>
      </c>
      <c r="E675" s="12" t="s">
        <v>6154</v>
      </c>
      <c r="F675" s="10" t="s">
        <v>29</v>
      </c>
      <c r="G675" s="12" t="s">
        <v>3685</v>
      </c>
      <c r="H675" s="12" t="s">
        <v>4167</v>
      </c>
      <c r="I675" s="10"/>
      <c r="J675" s="10"/>
      <c r="K675" s="12"/>
    </row>
    <row r="676" ht="15.75" customHeight="1">
      <c r="A676" s="3" t="s">
        <v>12</v>
      </c>
      <c r="B676" s="3" t="s">
        <v>82</v>
      </c>
      <c r="C676" s="3" t="s">
        <v>6161</v>
      </c>
      <c r="D676" s="8" t="str">
        <f t="shared" si="1"/>
        <v>Abrir anúncio ↗</v>
      </c>
      <c r="E676" s="9" t="s">
        <v>6163</v>
      </c>
      <c r="F676" s="3" t="s">
        <v>29</v>
      </c>
      <c r="G676" s="9" t="s">
        <v>3422</v>
      </c>
      <c r="H676" s="9" t="s">
        <v>6138</v>
      </c>
      <c r="I676" s="3"/>
      <c r="J676" s="3"/>
      <c r="K676" s="9"/>
    </row>
    <row r="677" ht="15.75" customHeight="1">
      <c r="A677" s="10" t="s">
        <v>12</v>
      </c>
      <c r="B677" s="10" t="s">
        <v>82</v>
      </c>
      <c r="C677" s="10" t="s">
        <v>6166</v>
      </c>
      <c r="D677" s="11" t="str">
        <f t="shared" si="1"/>
        <v>Abrir anúncio ↗</v>
      </c>
      <c r="E677" s="12" t="s">
        <v>6169</v>
      </c>
      <c r="F677" s="10" t="s">
        <v>29</v>
      </c>
      <c r="G677" s="12" t="s">
        <v>3422</v>
      </c>
      <c r="H677" s="12" t="s">
        <v>6170</v>
      </c>
      <c r="I677" s="10"/>
      <c r="J677" s="10"/>
      <c r="K677" s="12"/>
    </row>
    <row r="678" ht="15.75" customHeight="1">
      <c r="A678" s="3" t="s">
        <v>12</v>
      </c>
      <c r="B678" s="3" t="s">
        <v>82</v>
      </c>
      <c r="C678" s="3" t="s">
        <v>6174</v>
      </c>
      <c r="D678" s="8" t="str">
        <f t="shared" si="1"/>
        <v>Abrir anúncio ↗</v>
      </c>
      <c r="E678" s="9" t="s">
        <v>6175</v>
      </c>
      <c r="F678" s="3" t="s">
        <v>29</v>
      </c>
      <c r="G678" s="9" t="s">
        <v>3422</v>
      </c>
      <c r="H678" s="9" t="s">
        <v>6178</v>
      </c>
      <c r="I678" s="3"/>
      <c r="J678" s="3"/>
      <c r="K678" s="9"/>
    </row>
    <row r="679" ht="15.75" customHeight="1">
      <c r="A679" s="10" t="s">
        <v>12</v>
      </c>
      <c r="B679" s="10" t="s">
        <v>82</v>
      </c>
      <c r="C679" s="10" t="s">
        <v>6183</v>
      </c>
      <c r="D679" s="11" t="str">
        <f t="shared" si="1"/>
        <v>Abrir anúncio ↗</v>
      </c>
      <c r="E679" s="12" t="s">
        <v>6186</v>
      </c>
      <c r="F679" s="10" t="s">
        <v>29</v>
      </c>
      <c r="G679" s="12" t="s">
        <v>3709</v>
      </c>
      <c r="H679" s="12" t="s">
        <v>4084</v>
      </c>
      <c r="I679" s="10"/>
      <c r="J679" s="10"/>
      <c r="K679" s="12"/>
    </row>
    <row r="680" ht="15.75" customHeight="1">
      <c r="A680" s="3" t="s">
        <v>12</v>
      </c>
      <c r="B680" s="3" t="s">
        <v>82</v>
      </c>
      <c r="C680" s="3" t="s">
        <v>6191</v>
      </c>
      <c r="D680" s="8" t="str">
        <f t="shared" si="1"/>
        <v>Abrir anúncio ↗</v>
      </c>
      <c r="E680" s="9" t="s">
        <v>6192</v>
      </c>
      <c r="F680" s="3" t="s">
        <v>29</v>
      </c>
      <c r="G680" s="9" t="s">
        <v>3709</v>
      </c>
      <c r="H680" s="9" t="s">
        <v>4443</v>
      </c>
      <c r="I680" s="3"/>
      <c r="J680" s="3"/>
      <c r="K680" s="9"/>
    </row>
    <row r="681" ht="15.75" customHeight="1">
      <c r="A681" s="10" t="s">
        <v>12</v>
      </c>
      <c r="B681" s="10" t="s">
        <v>82</v>
      </c>
      <c r="C681" s="10" t="s">
        <v>6197</v>
      </c>
      <c r="D681" s="11" t="str">
        <f t="shared" si="1"/>
        <v>Abrir anúncio ↗</v>
      </c>
      <c r="E681" s="12" t="s">
        <v>6201</v>
      </c>
      <c r="F681" s="10" t="s">
        <v>29</v>
      </c>
      <c r="G681" s="12" t="s">
        <v>3709</v>
      </c>
      <c r="H681" s="12" t="s">
        <v>4084</v>
      </c>
      <c r="I681" s="10"/>
      <c r="J681" s="10"/>
      <c r="K681" s="12"/>
    </row>
    <row r="682" ht="15.75" customHeight="1">
      <c r="A682" s="3" t="s">
        <v>12</v>
      </c>
      <c r="B682" s="3" t="s">
        <v>82</v>
      </c>
      <c r="C682" s="3" t="s">
        <v>6205</v>
      </c>
      <c r="D682" s="8" t="str">
        <f t="shared" si="1"/>
        <v>Abrir anúncio ↗</v>
      </c>
      <c r="E682" s="9" t="s">
        <v>6209</v>
      </c>
      <c r="F682" s="3" t="s">
        <v>29</v>
      </c>
      <c r="G682" s="9" t="s">
        <v>3709</v>
      </c>
      <c r="H682" s="9" t="s">
        <v>3725</v>
      </c>
      <c r="I682" s="3"/>
      <c r="J682" s="3"/>
      <c r="K682" s="9"/>
    </row>
    <row r="683" ht="15.75" customHeight="1">
      <c r="A683" s="10" t="s">
        <v>12</v>
      </c>
      <c r="B683" s="10" t="s">
        <v>82</v>
      </c>
      <c r="C683" s="10" t="s">
        <v>6217</v>
      </c>
      <c r="D683" s="11" t="str">
        <f t="shared" si="1"/>
        <v>Abrir anúncio ↗</v>
      </c>
      <c r="E683" s="12" t="s">
        <v>6218</v>
      </c>
      <c r="F683" s="10" t="s">
        <v>29</v>
      </c>
      <c r="G683" s="12" t="s">
        <v>6220</v>
      </c>
      <c r="H683" s="12" t="s">
        <v>6223</v>
      </c>
      <c r="I683" s="10"/>
      <c r="J683" s="10"/>
      <c r="K683" s="12"/>
    </row>
    <row r="684" ht="15.75" customHeight="1">
      <c r="A684" s="3" t="s">
        <v>12</v>
      </c>
      <c r="B684" s="3" t="s">
        <v>82</v>
      </c>
      <c r="C684" s="3" t="s">
        <v>6227</v>
      </c>
      <c r="D684" s="8" t="str">
        <f t="shared" si="1"/>
        <v>Abrir anúncio ↗</v>
      </c>
      <c r="E684" s="9" t="s">
        <v>6229</v>
      </c>
      <c r="F684" s="3" t="s">
        <v>29</v>
      </c>
      <c r="G684" s="9" t="s">
        <v>3709</v>
      </c>
      <c r="H684" s="9" t="s">
        <v>6233</v>
      </c>
      <c r="I684" s="3"/>
      <c r="J684" s="3"/>
      <c r="K684" s="9"/>
    </row>
    <row r="685" ht="15.75" customHeight="1">
      <c r="A685" s="10" t="s">
        <v>12</v>
      </c>
      <c r="B685" s="10" t="s">
        <v>82</v>
      </c>
      <c r="C685" s="10" t="s">
        <v>6236</v>
      </c>
      <c r="D685" s="11" t="str">
        <f t="shared" si="1"/>
        <v>Abrir anúncio ↗</v>
      </c>
      <c r="E685" s="12" t="s">
        <v>6238</v>
      </c>
      <c r="F685" s="10" t="s">
        <v>29</v>
      </c>
      <c r="G685" s="12" t="s">
        <v>3709</v>
      </c>
      <c r="H685" s="12" t="s">
        <v>4284</v>
      </c>
      <c r="I685" s="10"/>
      <c r="J685" s="10"/>
      <c r="K685" s="12"/>
    </row>
    <row r="686" ht="15.75" customHeight="1">
      <c r="A686" s="3" t="s">
        <v>12</v>
      </c>
      <c r="B686" s="3" t="s">
        <v>82</v>
      </c>
      <c r="C686" s="3" t="s">
        <v>6245</v>
      </c>
      <c r="D686" s="8" t="str">
        <f t="shared" si="1"/>
        <v>Abrir anúncio ↗</v>
      </c>
      <c r="E686" s="9" t="s">
        <v>6247</v>
      </c>
      <c r="F686" s="3" t="s">
        <v>29</v>
      </c>
      <c r="G686" s="9" t="s">
        <v>3709</v>
      </c>
      <c r="H686" s="9" t="s">
        <v>4590</v>
      </c>
      <c r="I686" s="3"/>
      <c r="J686" s="3"/>
      <c r="K686" s="9"/>
    </row>
    <row r="687" ht="15.75" customHeight="1">
      <c r="A687" s="10" t="s">
        <v>12</v>
      </c>
      <c r="B687" s="10" t="s">
        <v>82</v>
      </c>
      <c r="C687" s="10" t="s">
        <v>6253</v>
      </c>
      <c r="D687" s="11" t="str">
        <f t="shared" si="1"/>
        <v>Abrir anúncio ↗</v>
      </c>
      <c r="E687" s="12" t="s">
        <v>6257</v>
      </c>
      <c r="F687" s="10" t="s">
        <v>29</v>
      </c>
      <c r="G687" s="12" t="s">
        <v>3709</v>
      </c>
      <c r="H687" s="12" t="s">
        <v>6260</v>
      </c>
      <c r="I687" s="10"/>
      <c r="J687" s="10"/>
      <c r="K687" s="12"/>
    </row>
    <row r="688" ht="15.75" customHeight="1">
      <c r="A688" s="3" t="s">
        <v>12</v>
      </c>
      <c r="B688" s="3" t="s">
        <v>82</v>
      </c>
      <c r="C688" s="3" t="s">
        <v>6265</v>
      </c>
      <c r="D688" s="8" t="str">
        <f t="shared" si="1"/>
        <v>Abrir anúncio ↗</v>
      </c>
      <c r="E688" s="9" t="s">
        <v>6266</v>
      </c>
      <c r="F688" s="3" t="s">
        <v>29</v>
      </c>
      <c r="G688" s="9" t="s">
        <v>3709</v>
      </c>
      <c r="H688" s="9" t="s">
        <v>4092</v>
      </c>
      <c r="I688" s="3"/>
      <c r="J688" s="3"/>
      <c r="K688" s="9"/>
    </row>
    <row r="689" ht="15.75" customHeight="1">
      <c r="A689" s="10" t="s">
        <v>12</v>
      </c>
      <c r="B689" s="10" t="s">
        <v>82</v>
      </c>
      <c r="C689" s="10" t="s">
        <v>6273</v>
      </c>
      <c r="D689" s="11" t="str">
        <f t="shared" si="1"/>
        <v>Abrir anúncio ↗</v>
      </c>
      <c r="E689" s="12" t="s">
        <v>6275</v>
      </c>
      <c r="F689" s="10" t="s">
        <v>29</v>
      </c>
      <c r="G689" s="12" t="s">
        <v>3709</v>
      </c>
      <c r="H689" s="12" t="s">
        <v>4245</v>
      </c>
      <c r="I689" s="10"/>
      <c r="J689" s="10"/>
      <c r="K689" s="12"/>
    </row>
    <row r="690" ht="15.75" customHeight="1">
      <c r="A690" s="3" t="s">
        <v>12</v>
      </c>
      <c r="B690" s="3" t="s">
        <v>82</v>
      </c>
      <c r="C690" s="3" t="s">
        <v>6282</v>
      </c>
      <c r="D690" s="8" t="str">
        <f t="shared" si="1"/>
        <v>Abrir anúncio ↗</v>
      </c>
      <c r="E690" s="9" t="s">
        <v>6284</v>
      </c>
      <c r="F690" s="3" t="s">
        <v>29</v>
      </c>
      <c r="G690" s="9" t="s">
        <v>3709</v>
      </c>
      <c r="H690" s="9" t="s">
        <v>4092</v>
      </c>
      <c r="I690" s="3"/>
      <c r="J690" s="3"/>
      <c r="K690" s="9"/>
    </row>
    <row r="691" ht="15.75" customHeight="1">
      <c r="A691" s="10" t="s">
        <v>12</v>
      </c>
      <c r="B691" s="10" t="s">
        <v>82</v>
      </c>
      <c r="C691" s="10" t="s">
        <v>6289</v>
      </c>
      <c r="D691" s="11" t="str">
        <f t="shared" si="1"/>
        <v>Abrir anúncio ↗</v>
      </c>
      <c r="E691" s="12" t="s">
        <v>6291</v>
      </c>
      <c r="F691" s="10" t="s">
        <v>86</v>
      </c>
      <c r="G691" s="12" t="s">
        <v>4538</v>
      </c>
      <c r="H691" s="12" t="s">
        <v>6292</v>
      </c>
      <c r="I691" s="10"/>
      <c r="J691" s="10"/>
      <c r="K691" s="12"/>
    </row>
    <row r="692" ht="15.75" customHeight="1">
      <c r="A692" s="3" t="s">
        <v>12</v>
      </c>
      <c r="B692" s="3" t="s">
        <v>82</v>
      </c>
      <c r="C692" s="3" t="s">
        <v>6296</v>
      </c>
      <c r="D692" s="8" t="str">
        <f t="shared" si="1"/>
        <v>Abrir anúncio ↗</v>
      </c>
      <c r="E692" s="9" t="s">
        <v>6298</v>
      </c>
      <c r="F692" s="3" t="s">
        <v>29</v>
      </c>
      <c r="G692" s="9" t="s">
        <v>4786</v>
      </c>
      <c r="H692" s="9" t="s">
        <v>6300</v>
      </c>
      <c r="I692" s="3"/>
      <c r="J692" s="3"/>
      <c r="K692" s="9"/>
    </row>
    <row r="693" ht="15.75" customHeight="1">
      <c r="A693" s="10" t="s">
        <v>12</v>
      </c>
      <c r="B693" s="10" t="s">
        <v>82</v>
      </c>
      <c r="C693" s="10" t="s">
        <v>6304</v>
      </c>
      <c r="D693" s="11" t="str">
        <f t="shared" si="1"/>
        <v>Abrir anúncio ↗</v>
      </c>
      <c r="E693" s="12" t="s">
        <v>6306</v>
      </c>
      <c r="F693" s="10" t="s">
        <v>86</v>
      </c>
      <c r="G693" s="12" t="s">
        <v>4786</v>
      </c>
      <c r="H693" s="12" t="s">
        <v>6099</v>
      </c>
      <c r="I693" s="10"/>
      <c r="J693" s="10"/>
      <c r="K693" s="12"/>
    </row>
    <row r="694" ht="15.75" customHeight="1">
      <c r="A694" s="3" t="s">
        <v>12</v>
      </c>
      <c r="B694" s="3" t="s">
        <v>82</v>
      </c>
      <c r="C694" s="3" t="s">
        <v>6309</v>
      </c>
      <c r="D694" s="8" t="str">
        <f t="shared" si="1"/>
        <v>Abrir anúncio ↗</v>
      </c>
      <c r="E694" s="9" t="s">
        <v>6312</v>
      </c>
      <c r="F694" s="3" t="s">
        <v>29</v>
      </c>
      <c r="G694" s="9" t="s">
        <v>4786</v>
      </c>
      <c r="H694" s="9" t="s">
        <v>6315</v>
      </c>
      <c r="I694" s="3"/>
      <c r="J694" s="3"/>
      <c r="K694" s="9"/>
    </row>
    <row r="695" ht="15.75" customHeight="1">
      <c r="A695" s="10" t="s">
        <v>12</v>
      </c>
      <c r="B695" s="10" t="s">
        <v>82</v>
      </c>
      <c r="C695" s="10" t="s">
        <v>6319</v>
      </c>
      <c r="D695" s="11" t="str">
        <f t="shared" si="1"/>
        <v>Abrir anúncio ↗</v>
      </c>
      <c r="E695" s="12" t="s">
        <v>6320</v>
      </c>
      <c r="F695" s="10" t="s">
        <v>29</v>
      </c>
      <c r="G695" s="12" t="s">
        <v>4538</v>
      </c>
      <c r="H695" s="12" t="s">
        <v>6325</v>
      </c>
      <c r="I695" s="10"/>
      <c r="J695" s="10"/>
      <c r="K695" s="12"/>
    </row>
    <row r="696" ht="15.75" customHeight="1">
      <c r="A696" s="3" t="s">
        <v>12</v>
      </c>
      <c r="B696" s="3" t="s">
        <v>82</v>
      </c>
      <c r="C696" s="3" t="s">
        <v>6329</v>
      </c>
      <c r="D696" s="8" t="str">
        <f t="shared" si="1"/>
        <v>Abrir anúncio ↗</v>
      </c>
      <c r="E696" s="9" t="s">
        <v>6331</v>
      </c>
      <c r="F696" s="3" t="s">
        <v>29</v>
      </c>
      <c r="G696" s="9" t="s">
        <v>4786</v>
      </c>
      <c r="H696" s="9" t="s">
        <v>6334</v>
      </c>
      <c r="I696" s="3"/>
      <c r="J696" s="3"/>
      <c r="K696" s="9"/>
    </row>
    <row r="697" ht="15.75" customHeight="1">
      <c r="A697" s="10" t="s">
        <v>12</v>
      </c>
      <c r="B697" s="10" t="s">
        <v>82</v>
      </c>
      <c r="C697" s="10" t="s">
        <v>6338</v>
      </c>
      <c r="D697" s="11" t="str">
        <f t="shared" si="1"/>
        <v>Abrir anúncio ↗</v>
      </c>
      <c r="E697" s="12" t="s">
        <v>6340</v>
      </c>
      <c r="F697" s="10" t="s">
        <v>86</v>
      </c>
      <c r="G697" s="12" t="s">
        <v>4786</v>
      </c>
      <c r="H697" s="12" t="s">
        <v>6342</v>
      </c>
      <c r="I697" s="10"/>
      <c r="J697" s="10"/>
      <c r="K697" s="12"/>
    </row>
    <row r="698" ht="15.75" customHeight="1">
      <c r="A698" s="3" t="s">
        <v>12</v>
      </c>
      <c r="B698" s="3" t="s">
        <v>82</v>
      </c>
      <c r="C698" s="3" t="s">
        <v>6345</v>
      </c>
      <c r="D698" s="8" t="str">
        <f t="shared" si="1"/>
        <v>Abrir anúncio ↗</v>
      </c>
      <c r="E698" s="9" t="s">
        <v>6348</v>
      </c>
      <c r="F698" s="3" t="s">
        <v>86</v>
      </c>
      <c r="G698" s="9" t="s">
        <v>4786</v>
      </c>
      <c r="H698" s="9" t="s">
        <v>6349</v>
      </c>
      <c r="I698" s="3"/>
      <c r="J698" s="3"/>
      <c r="K698" s="9"/>
    </row>
    <row r="699" ht="15.75" customHeight="1">
      <c r="A699" s="10" t="s">
        <v>12</v>
      </c>
      <c r="B699" s="10" t="s">
        <v>82</v>
      </c>
      <c r="C699" s="10" t="s">
        <v>6353</v>
      </c>
      <c r="D699" s="11" t="str">
        <f t="shared" si="1"/>
        <v>Abrir anúncio ↗</v>
      </c>
      <c r="E699" s="12" t="s">
        <v>6355</v>
      </c>
      <c r="F699" s="10" t="s">
        <v>29</v>
      </c>
      <c r="G699" s="12" t="s">
        <v>2390</v>
      </c>
      <c r="H699" s="12" t="s">
        <v>2392</v>
      </c>
      <c r="I699" s="10"/>
      <c r="J699" s="10"/>
      <c r="K699" s="12"/>
    </row>
    <row r="700" ht="15.75" customHeight="1">
      <c r="A700" s="3" t="s">
        <v>12</v>
      </c>
      <c r="B700" s="3" t="s">
        <v>82</v>
      </c>
      <c r="C700" s="3" t="s">
        <v>6361</v>
      </c>
      <c r="D700" s="8" t="str">
        <f t="shared" si="1"/>
        <v>Abrir anúncio ↗</v>
      </c>
      <c r="E700" s="9" t="s">
        <v>6363</v>
      </c>
      <c r="F700" s="3" t="s">
        <v>29</v>
      </c>
      <c r="G700" s="9" t="s">
        <v>2390</v>
      </c>
      <c r="H700" s="9" t="s">
        <v>2392</v>
      </c>
      <c r="I700" s="3"/>
      <c r="J700" s="3"/>
      <c r="K700" s="9"/>
    </row>
    <row r="701" ht="15.75" customHeight="1">
      <c r="A701" s="10" t="s">
        <v>12</v>
      </c>
      <c r="B701" s="10" t="s">
        <v>82</v>
      </c>
      <c r="C701" s="10" t="s">
        <v>6367</v>
      </c>
      <c r="D701" s="11" t="str">
        <f t="shared" si="1"/>
        <v>Abrir anúncio ↗</v>
      </c>
      <c r="E701" s="12" t="s">
        <v>6369</v>
      </c>
      <c r="F701" s="10" t="s">
        <v>29</v>
      </c>
      <c r="G701" s="12" t="s">
        <v>6220</v>
      </c>
      <c r="H701" s="12" t="s">
        <v>6371</v>
      </c>
      <c r="I701" s="10"/>
      <c r="J701" s="10"/>
      <c r="K701" s="12"/>
    </row>
    <row r="702" ht="15.75" customHeight="1">
      <c r="A702" s="3" t="s">
        <v>12</v>
      </c>
      <c r="B702" s="3" t="s">
        <v>82</v>
      </c>
      <c r="C702" s="3" t="s">
        <v>6375</v>
      </c>
      <c r="D702" s="8" t="str">
        <f t="shared" si="1"/>
        <v>Abrir anúncio ↗</v>
      </c>
      <c r="E702" s="9" t="s">
        <v>6377</v>
      </c>
      <c r="F702" s="3" t="s">
        <v>29</v>
      </c>
      <c r="G702" s="9" t="s">
        <v>3709</v>
      </c>
      <c r="H702" s="9" t="s">
        <v>4245</v>
      </c>
      <c r="I702" s="3"/>
      <c r="J702" s="3"/>
      <c r="K702" s="9"/>
    </row>
    <row r="703" ht="15.75" customHeight="1">
      <c r="A703" s="10" t="s">
        <v>12</v>
      </c>
      <c r="B703" s="10" t="s">
        <v>82</v>
      </c>
      <c r="C703" s="10" t="s">
        <v>6381</v>
      </c>
      <c r="D703" s="11" t="str">
        <f t="shared" si="1"/>
        <v>Abrir anúncio ↗</v>
      </c>
      <c r="E703" s="12" t="s">
        <v>6383</v>
      </c>
      <c r="F703" s="10" t="s">
        <v>29</v>
      </c>
      <c r="G703" s="12" t="s">
        <v>3709</v>
      </c>
      <c r="H703" s="12" t="s">
        <v>4443</v>
      </c>
      <c r="I703" s="10"/>
      <c r="J703" s="10"/>
      <c r="K703" s="12"/>
    </row>
    <row r="704" ht="15.75" customHeight="1">
      <c r="A704" s="3" t="s">
        <v>12</v>
      </c>
      <c r="B704" s="3" t="s">
        <v>82</v>
      </c>
      <c r="C704" s="3" t="s">
        <v>6387</v>
      </c>
      <c r="D704" s="8" t="str">
        <f t="shared" si="1"/>
        <v>Abrir anúncio ↗</v>
      </c>
      <c r="E704" s="9" t="s">
        <v>6389</v>
      </c>
      <c r="F704" s="3" t="s">
        <v>29</v>
      </c>
      <c r="G704" s="9" t="s">
        <v>3709</v>
      </c>
      <c r="H704" s="9" t="s">
        <v>4075</v>
      </c>
      <c r="I704" s="3"/>
      <c r="J704" s="3"/>
      <c r="K704" s="9"/>
    </row>
    <row r="705" ht="15.75" customHeight="1">
      <c r="A705" s="10" t="s">
        <v>12</v>
      </c>
      <c r="B705" s="10" t="s">
        <v>82</v>
      </c>
      <c r="C705" s="10" t="s">
        <v>6394</v>
      </c>
      <c r="D705" s="11" t="str">
        <f t="shared" si="1"/>
        <v>Abrir anúncio ↗</v>
      </c>
      <c r="E705" s="12" t="s">
        <v>6395</v>
      </c>
      <c r="F705" s="10" t="s">
        <v>86</v>
      </c>
      <c r="G705" s="12" t="s">
        <v>3709</v>
      </c>
      <c r="H705" s="12" t="s">
        <v>3999</v>
      </c>
      <c r="I705" s="10"/>
      <c r="J705" s="10"/>
      <c r="K705" s="12"/>
    </row>
    <row r="706" ht="15.75" customHeight="1">
      <c r="A706" s="3" t="s">
        <v>12</v>
      </c>
      <c r="B706" s="3" t="s">
        <v>82</v>
      </c>
      <c r="C706" s="3" t="s">
        <v>6399</v>
      </c>
      <c r="D706" s="8" t="str">
        <f t="shared" si="1"/>
        <v>Abrir anúncio ↗</v>
      </c>
      <c r="E706" s="9" t="s">
        <v>6401</v>
      </c>
      <c r="F706" s="3" t="s">
        <v>29</v>
      </c>
      <c r="G706" s="9" t="s">
        <v>4538</v>
      </c>
      <c r="H706" s="9" t="s">
        <v>6060</v>
      </c>
      <c r="I706" s="3"/>
      <c r="J706" s="3"/>
      <c r="K706" s="9"/>
    </row>
    <row r="707" ht="15.75" customHeight="1">
      <c r="A707" s="10" t="s">
        <v>12</v>
      </c>
      <c r="B707" s="10" t="s">
        <v>82</v>
      </c>
      <c r="C707" s="10" t="s">
        <v>6406</v>
      </c>
      <c r="D707" s="11" t="str">
        <f t="shared" si="1"/>
        <v>Abrir anúncio ↗</v>
      </c>
      <c r="E707" s="12" t="s">
        <v>6407</v>
      </c>
      <c r="F707" s="10" t="s">
        <v>29</v>
      </c>
      <c r="G707" s="12" t="s">
        <v>5115</v>
      </c>
      <c r="H707" s="12" t="s">
        <v>6410</v>
      </c>
      <c r="I707" s="10"/>
      <c r="J707" s="10"/>
      <c r="K707" s="12"/>
    </row>
    <row r="708" ht="15.75" customHeight="1">
      <c r="A708" s="3" t="s">
        <v>12</v>
      </c>
      <c r="B708" s="3" t="s">
        <v>82</v>
      </c>
      <c r="C708" s="3" t="s">
        <v>6413</v>
      </c>
      <c r="D708" s="8" t="str">
        <f t="shared" si="1"/>
        <v>Abrir anúncio ↗</v>
      </c>
      <c r="E708" s="9" t="s">
        <v>6415</v>
      </c>
      <c r="F708" s="3" t="s">
        <v>29</v>
      </c>
      <c r="G708" s="9" t="s">
        <v>3709</v>
      </c>
      <c r="H708" s="9" t="s">
        <v>4092</v>
      </c>
      <c r="I708" s="3"/>
      <c r="J708" s="3"/>
      <c r="K708" s="9"/>
    </row>
    <row r="709" ht="15.75" customHeight="1">
      <c r="A709" s="10" t="s">
        <v>12</v>
      </c>
      <c r="B709" s="10" t="s">
        <v>82</v>
      </c>
      <c r="C709" s="10" t="s">
        <v>6420</v>
      </c>
      <c r="D709" s="11" t="str">
        <f t="shared" si="1"/>
        <v>Abrir anúncio ↗</v>
      </c>
      <c r="E709" s="12" t="s">
        <v>6421</v>
      </c>
      <c r="F709" s="10" t="s">
        <v>86</v>
      </c>
      <c r="G709" s="12" t="s">
        <v>3709</v>
      </c>
      <c r="H709" s="12" t="s">
        <v>4284</v>
      </c>
      <c r="I709" s="10"/>
      <c r="J709" s="10"/>
      <c r="K709" s="12"/>
    </row>
    <row r="710" ht="15.75" customHeight="1">
      <c r="A710" s="3" t="s">
        <v>12</v>
      </c>
      <c r="B710" s="3" t="s">
        <v>82</v>
      </c>
      <c r="C710" s="3" t="s">
        <v>6426</v>
      </c>
      <c r="D710" s="8" t="str">
        <f t="shared" si="1"/>
        <v>Abrir anúncio ↗</v>
      </c>
      <c r="E710" s="9" t="s">
        <v>6427</v>
      </c>
      <c r="F710" s="3" t="s">
        <v>29</v>
      </c>
      <c r="G710" s="9" t="s">
        <v>3709</v>
      </c>
      <c r="H710" s="9" t="s">
        <v>4590</v>
      </c>
      <c r="I710" s="3"/>
      <c r="J710" s="3"/>
      <c r="K710" s="9"/>
    </row>
    <row r="711" ht="15.75" customHeight="1">
      <c r="A711" s="10" t="s">
        <v>12</v>
      </c>
      <c r="B711" s="10" t="s">
        <v>82</v>
      </c>
      <c r="C711" s="10" t="s">
        <v>6434</v>
      </c>
      <c r="D711" s="11" t="str">
        <f t="shared" si="1"/>
        <v>Abrir anúncio ↗</v>
      </c>
      <c r="E711" s="12" t="s">
        <v>6436</v>
      </c>
      <c r="F711" s="10" t="s">
        <v>29</v>
      </c>
      <c r="G711" s="12" t="s">
        <v>3709</v>
      </c>
      <c r="H711" s="12" t="s">
        <v>4590</v>
      </c>
      <c r="I711" s="10"/>
      <c r="J711" s="10"/>
      <c r="K711" s="12"/>
    </row>
    <row r="712" ht="15.75" customHeight="1">
      <c r="A712" s="3" t="s">
        <v>12</v>
      </c>
      <c r="B712" s="3" t="s">
        <v>82</v>
      </c>
      <c r="C712" s="3" t="s">
        <v>6440</v>
      </c>
      <c r="D712" s="8" t="str">
        <f t="shared" si="1"/>
        <v>Abrir anúncio ↗</v>
      </c>
      <c r="E712" s="9" t="s">
        <v>6442</v>
      </c>
      <c r="F712" s="3" t="s">
        <v>29</v>
      </c>
      <c r="G712" s="9" t="s">
        <v>5946</v>
      </c>
      <c r="H712" s="9" t="s">
        <v>5948</v>
      </c>
      <c r="I712" s="3"/>
      <c r="J712" s="3"/>
      <c r="K712" s="9"/>
    </row>
    <row r="713" ht="15.75" customHeight="1">
      <c r="A713" s="10" t="s">
        <v>12</v>
      </c>
      <c r="B713" s="10" t="s">
        <v>82</v>
      </c>
      <c r="C713" s="10" t="s">
        <v>6446</v>
      </c>
      <c r="D713" s="11" t="str">
        <f t="shared" si="1"/>
        <v>Abrir anúncio ↗</v>
      </c>
      <c r="E713" s="12" t="s">
        <v>6449</v>
      </c>
      <c r="F713" s="10" t="s">
        <v>29</v>
      </c>
      <c r="G713" s="12" t="s">
        <v>6220</v>
      </c>
      <c r="H713" s="12" t="s">
        <v>6451</v>
      </c>
      <c r="I713" s="10"/>
      <c r="J713" s="10"/>
      <c r="K713" s="12"/>
    </row>
    <row r="714" ht="15.75" customHeight="1">
      <c r="A714" s="3" t="s">
        <v>12</v>
      </c>
      <c r="B714" s="3" t="s">
        <v>82</v>
      </c>
      <c r="C714" s="3" t="s">
        <v>6456</v>
      </c>
      <c r="D714" s="8" t="str">
        <f t="shared" si="1"/>
        <v>Abrir anúncio ↗</v>
      </c>
      <c r="E714" s="9" t="s">
        <v>6458</v>
      </c>
      <c r="F714" s="3" t="s">
        <v>29</v>
      </c>
      <c r="G714" s="9" t="s">
        <v>3709</v>
      </c>
      <c r="H714" s="9" t="s">
        <v>4590</v>
      </c>
      <c r="I714" s="3"/>
      <c r="J714" s="3"/>
      <c r="K714" s="9"/>
    </row>
    <row r="715" ht="15.75" customHeight="1">
      <c r="A715" s="10" t="s">
        <v>12</v>
      </c>
      <c r="B715" s="10" t="s">
        <v>82</v>
      </c>
      <c r="C715" s="10" t="s">
        <v>6463</v>
      </c>
      <c r="D715" s="11" t="str">
        <f t="shared" si="1"/>
        <v>Abrir anúncio ↗</v>
      </c>
      <c r="E715" s="12" t="s">
        <v>6465</v>
      </c>
      <c r="F715" s="10" t="s">
        <v>29</v>
      </c>
      <c r="G715" s="12" t="s">
        <v>3709</v>
      </c>
      <c r="H715" s="12" t="s">
        <v>5737</v>
      </c>
      <c r="I715" s="10"/>
      <c r="J715" s="10"/>
      <c r="K715" s="12"/>
    </row>
    <row r="716" ht="15.75" customHeight="1">
      <c r="A716" s="3" t="s">
        <v>12</v>
      </c>
      <c r="B716" s="3" t="s">
        <v>82</v>
      </c>
      <c r="C716" s="3" t="s">
        <v>6469</v>
      </c>
      <c r="D716" s="8" t="str">
        <f t="shared" si="1"/>
        <v>Abrir anúncio ↗</v>
      </c>
      <c r="E716" s="9" t="s">
        <v>6471</v>
      </c>
      <c r="F716" s="3" t="s">
        <v>29</v>
      </c>
      <c r="G716" s="9" t="s">
        <v>6472</v>
      </c>
      <c r="H716" s="9" t="s">
        <v>6475</v>
      </c>
      <c r="I716" s="3"/>
      <c r="J716" s="3"/>
      <c r="K716" s="9"/>
    </row>
    <row r="717" ht="15.75" customHeight="1">
      <c r="A717" s="10" t="s">
        <v>12</v>
      </c>
      <c r="B717" s="10" t="s">
        <v>82</v>
      </c>
      <c r="C717" s="10" t="s">
        <v>6479</v>
      </c>
      <c r="D717" s="11" t="str">
        <f t="shared" si="1"/>
        <v>Abrir anúncio ↗</v>
      </c>
      <c r="E717" s="12" t="s">
        <v>6481</v>
      </c>
      <c r="F717" s="10" t="s">
        <v>29</v>
      </c>
      <c r="G717" s="12" t="s">
        <v>3709</v>
      </c>
      <c r="H717" s="12" t="s">
        <v>4097</v>
      </c>
      <c r="I717" s="10"/>
      <c r="J717" s="10"/>
      <c r="K717" s="12"/>
    </row>
    <row r="718" ht="15.75" customHeight="1">
      <c r="A718" s="3" t="s">
        <v>12</v>
      </c>
      <c r="B718" s="3" t="s">
        <v>82</v>
      </c>
      <c r="C718" s="3" t="s">
        <v>6487</v>
      </c>
      <c r="D718" s="8" t="str">
        <f t="shared" si="1"/>
        <v>Abrir anúncio ↗</v>
      </c>
      <c r="E718" s="9" t="s">
        <v>6489</v>
      </c>
      <c r="F718" s="3" t="s">
        <v>29</v>
      </c>
      <c r="G718" s="9" t="s">
        <v>2390</v>
      </c>
      <c r="H718" s="9" t="s">
        <v>2392</v>
      </c>
      <c r="I718" s="3"/>
      <c r="J718" s="3"/>
      <c r="K718" s="9"/>
    </row>
    <row r="719" ht="15.75" customHeight="1">
      <c r="A719" s="10" t="s">
        <v>12</v>
      </c>
      <c r="B719" s="10" t="s">
        <v>82</v>
      </c>
      <c r="C719" s="10" t="s">
        <v>6493</v>
      </c>
      <c r="D719" s="11" t="str">
        <f t="shared" si="1"/>
        <v>Abrir anúncio ↗</v>
      </c>
      <c r="E719" s="12" t="s">
        <v>6495</v>
      </c>
      <c r="F719" s="10" t="s">
        <v>29</v>
      </c>
      <c r="G719" s="12" t="s">
        <v>6220</v>
      </c>
      <c r="H719" s="12" t="s">
        <v>6371</v>
      </c>
      <c r="I719" s="10"/>
      <c r="J719" s="10"/>
      <c r="K719" s="12"/>
    </row>
    <row r="720" ht="15.75" customHeight="1">
      <c r="A720" s="3" t="s">
        <v>12</v>
      </c>
      <c r="B720" s="3" t="s">
        <v>82</v>
      </c>
      <c r="C720" s="3" t="s">
        <v>6499</v>
      </c>
      <c r="D720" s="8" t="str">
        <f t="shared" si="1"/>
        <v>Abrir anúncio ↗</v>
      </c>
      <c r="E720" s="9" t="s">
        <v>6502</v>
      </c>
      <c r="F720" s="3" t="s">
        <v>29</v>
      </c>
      <c r="G720" s="9" t="s">
        <v>3709</v>
      </c>
      <c r="H720" s="9" t="s">
        <v>6233</v>
      </c>
      <c r="I720" s="3"/>
      <c r="J720" s="3"/>
      <c r="K720" s="9"/>
    </row>
    <row r="721" ht="15.75" customHeight="1">
      <c r="A721" s="10" t="s">
        <v>12</v>
      </c>
      <c r="B721" s="10" t="s">
        <v>82</v>
      </c>
      <c r="C721" s="10" t="s">
        <v>6505</v>
      </c>
      <c r="D721" s="11" t="str">
        <f t="shared" si="1"/>
        <v>Abrir anúncio ↗</v>
      </c>
      <c r="E721" s="12" t="s">
        <v>6507</v>
      </c>
      <c r="F721" s="10" t="s">
        <v>29</v>
      </c>
      <c r="G721" s="12" t="s">
        <v>6508</v>
      </c>
      <c r="H721" s="12" t="s">
        <v>6509</v>
      </c>
      <c r="I721" s="10"/>
      <c r="J721" s="10"/>
      <c r="K721" s="12"/>
    </row>
    <row r="722" ht="15.75" customHeight="1">
      <c r="A722" s="3" t="s">
        <v>12</v>
      </c>
      <c r="B722" s="3" t="s">
        <v>82</v>
      </c>
      <c r="C722" s="3" t="s">
        <v>6512</v>
      </c>
      <c r="D722" s="8" t="str">
        <f t="shared" si="1"/>
        <v>Abrir anúncio ↗</v>
      </c>
      <c r="E722" s="9" t="s">
        <v>6513</v>
      </c>
      <c r="F722" s="3" t="s">
        <v>29</v>
      </c>
      <c r="G722" s="9" t="s">
        <v>2390</v>
      </c>
      <c r="H722" s="9" t="s">
        <v>2392</v>
      </c>
      <c r="I722" s="3"/>
      <c r="J722" s="3"/>
      <c r="K722" s="9"/>
    </row>
    <row r="723" ht="15.75" customHeight="1">
      <c r="A723" s="10" t="s">
        <v>12</v>
      </c>
      <c r="B723" s="10" t="s">
        <v>82</v>
      </c>
      <c r="C723" s="10" t="s">
        <v>6518</v>
      </c>
      <c r="D723" s="11" t="str">
        <f t="shared" si="1"/>
        <v>Abrir anúncio ↗</v>
      </c>
      <c r="E723" s="12" t="s">
        <v>6519</v>
      </c>
      <c r="F723" s="10" t="s">
        <v>86</v>
      </c>
      <c r="G723" s="12" t="s">
        <v>6522</v>
      </c>
      <c r="H723" s="12" t="s">
        <v>6524</v>
      </c>
      <c r="I723" s="10"/>
      <c r="J723" s="10"/>
      <c r="K723" s="12"/>
    </row>
    <row r="724" ht="15.75" customHeight="1">
      <c r="A724" s="3" t="s">
        <v>12</v>
      </c>
      <c r="B724" s="3" t="s">
        <v>82</v>
      </c>
      <c r="C724" s="3" t="s">
        <v>6525</v>
      </c>
      <c r="D724" s="8" t="str">
        <f t="shared" si="1"/>
        <v>Abrir anúncio ↗</v>
      </c>
      <c r="E724" s="9" t="s">
        <v>6527</v>
      </c>
      <c r="F724" s="3" t="s">
        <v>29</v>
      </c>
      <c r="G724" s="9" t="s">
        <v>99</v>
      </c>
      <c r="H724" s="9" t="s">
        <v>143</v>
      </c>
      <c r="I724" s="3"/>
      <c r="J724" s="3"/>
      <c r="K724" s="9"/>
    </row>
    <row r="725" ht="15.75" customHeight="1">
      <c r="A725" s="10" t="s">
        <v>12</v>
      </c>
      <c r="B725" s="10" t="s">
        <v>82</v>
      </c>
      <c r="C725" s="10" t="s">
        <v>6530</v>
      </c>
      <c r="D725" s="11" t="str">
        <f t="shared" si="1"/>
        <v>Abrir anúncio ↗</v>
      </c>
      <c r="E725" s="12" t="s">
        <v>6532</v>
      </c>
      <c r="F725" s="10" t="s">
        <v>29</v>
      </c>
      <c r="G725" s="12" t="s">
        <v>3709</v>
      </c>
      <c r="H725" s="12" t="s">
        <v>4284</v>
      </c>
      <c r="I725" s="10"/>
      <c r="J725" s="10"/>
      <c r="K725" s="12"/>
    </row>
    <row r="726" ht="15.75" customHeight="1">
      <c r="A726" s="3" t="s">
        <v>12</v>
      </c>
      <c r="B726" s="3" t="s">
        <v>82</v>
      </c>
      <c r="C726" s="3" t="s">
        <v>6536</v>
      </c>
      <c r="D726" s="8" t="str">
        <f t="shared" si="1"/>
        <v>Abrir anúncio ↗</v>
      </c>
      <c r="E726" s="9" t="s">
        <v>6537</v>
      </c>
      <c r="F726" s="3" t="s">
        <v>29</v>
      </c>
      <c r="G726" s="9" t="s">
        <v>3709</v>
      </c>
      <c r="H726" s="9" t="s">
        <v>3904</v>
      </c>
      <c r="I726" s="3"/>
      <c r="J726" s="3"/>
      <c r="K726" s="9"/>
    </row>
    <row r="727" ht="15.75" customHeight="1">
      <c r="A727" s="10" t="s">
        <v>12</v>
      </c>
      <c r="B727" s="10" t="s">
        <v>82</v>
      </c>
      <c r="C727" s="10" t="s">
        <v>6541</v>
      </c>
      <c r="D727" s="11" t="str">
        <f t="shared" si="1"/>
        <v>Abrir anúncio ↗</v>
      </c>
      <c r="E727" s="12" t="s">
        <v>6543</v>
      </c>
      <c r="F727" s="10" t="s">
        <v>86</v>
      </c>
      <c r="G727" s="12" t="s">
        <v>6220</v>
      </c>
      <c r="H727" s="12" t="s">
        <v>6544</v>
      </c>
      <c r="I727" s="10"/>
      <c r="J727" s="10"/>
      <c r="K727" s="12"/>
    </row>
    <row r="728" ht="15.75" customHeight="1">
      <c r="A728" s="3" t="s">
        <v>12</v>
      </c>
      <c r="B728" s="3" t="s">
        <v>82</v>
      </c>
      <c r="C728" s="3" t="s">
        <v>6547</v>
      </c>
      <c r="D728" s="8" t="str">
        <f t="shared" si="1"/>
        <v>Abrir anúncio ↗</v>
      </c>
      <c r="E728" s="9" t="s">
        <v>6549</v>
      </c>
      <c r="F728" s="3" t="s">
        <v>29</v>
      </c>
      <c r="G728" s="9" t="s">
        <v>99</v>
      </c>
      <c r="H728" s="9" t="s">
        <v>143</v>
      </c>
      <c r="I728" s="3"/>
      <c r="J728" s="3"/>
      <c r="K728" s="9"/>
    </row>
    <row r="729" ht="15.75" customHeight="1">
      <c r="A729" s="10" t="s">
        <v>12</v>
      </c>
      <c r="B729" s="10" t="s">
        <v>82</v>
      </c>
      <c r="C729" s="10" t="s">
        <v>6554</v>
      </c>
      <c r="D729" s="11" t="str">
        <f t="shared" si="1"/>
        <v>Abrir anúncio ↗</v>
      </c>
      <c r="E729" s="12" t="s">
        <v>6555</v>
      </c>
      <c r="F729" s="10" t="s">
        <v>29</v>
      </c>
      <c r="G729" s="12" t="s">
        <v>3685</v>
      </c>
      <c r="H729" s="12" t="s">
        <v>4167</v>
      </c>
      <c r="I729" s="10"/>
      <c r="J729" s="10"/>
      <c r="K729" s="12"/>
    </row>
    <row r="730" ht="15.75" customHeight="1">
      <c r="A730" s="3" t="s">
        <v>12</v>
      </c>
      <c r="B730" s="3" t="s">
        <v>82</v>
      </c>
      <c r="C730" s="3" t="s">
        <v>6558</v>
      </c>
      <c r="D730" s="8" t="str">
        <f t="shared" si="1"/>
        <v>Abrir anúncio ↗</v>
      </c>
      <c r="E730" s="9" t="s">
        <v>6561</v>
      </c>
      <c r="F730" s="3" t="s">
        <v>29</v>
      </c>
      <c r="G730" s="9" t="s">
        <v>6562</v>
      </c>
      <c r="H730" s="9" t="s">
        <v>6563</v>
      </c>
      <c r="I730" s="3"/>
      <c r="J730" s="3"/>
      <c r="K730" s="9"/>
    </row>
    <row r="731" ht="15.75" customHeight="1">
      <c r="A731" s="10" t="s">
        <v>12</v>
      </c>
      <c r="B731" s="10" t="s">
        <v>82</v>
      </c>
      <c r="C731" s="10" t="s">
        <v>6567</v>
      </c>
      <c r="D731" s="11" t="str">
        <f t="shared" si="1"/>
        <v>Abrir anúncio ↗</v>
      </c>
      <c r="E731" s="12" t="s">
        <v>6568</v>
      </c>
      <c r="F731" s="10" t="s">
        <v>29</v>
      </c>
      <c r="G731" s="12" t="s">
        <v>6569</v>
      </c>
      <c r="H731" s="12" t="s">
        <v>6570</v>
      </c>
      <c r="I731" s="10"/>
      <c r="J731" s="10"/>
      <c r="K731" s="12"/>
    </row>
    <row r="732" ht="15.75" customHeight="1">
      <c r="A732" s="3" t="s">
        <v>12</v>
      </c>
      <c r="B732" s="3" t="s">
        <v>82</v>
      </c>
      <c r="C732" s="3" t="s">
        <v>6575</v>
      </c>
      <c r="D732" s="8" t="str">
        <f t="shared" si="1"/>
        <v>Abrir anúncio ↗</v>
      </c>
      <c r="E732" s="9" t="s">
        <v>6578</v>
      </c>
      <c r="F732" s="3" t="s">
        <v>86</v>
      </c>
      <c r="G732" s="9" t="s">
        <v>3892</v>
      </c>
      <c r="H732" s="9" t="s">
        <v>6580</v>
      </c>
      <c r="I732" s="3"/>
      <c r="J732" s="3"/>
      <c r="K732" s="9"/>
    </row>
    <row r="733" ht="15.75" customHeight="1">
      <c r="A733" s="10" t="s">
        <v>12</v>
      </c>
      <c r="B733" s="10" t="s">
        <v>82</v>
      </c>
      <c r="C733" s="10" t="s">
        <v>6584</v>
      </c>
      <c r="D733" s="11" t="str">
        <f t="shared" si="1"/>
        <v>Abrir anúncio ↗</v>
      </c>
      <c r="E733" s="12" t="s">
        <v>6585</v>
      </c>
      <c r="F733" s="10" t="s">
        <v>29</v>
      </c>
      <c r="G733" s="12" t="s">
        <v>6220</v>
      </c>
      <c r="H733" s="12" t="s">
        <v>6371</v>
      </c>
      <c r="I733" s="10"/>
      <c r="J733" s="10"/>
      <c r="K733" s="12"/>
    </row>
    <row r="734" ht="15.75" customHeight="1">
      <c r="A734" s="3" t="s">
        <v>12</v>
      </c>
      <c r="B734" s="3" t="s">
        <v>82</v>
      </c>
      <c r="C734" s="3" t="s">
        <v>6590</v>
      </c>
      <c r="D734" s="8" t="str">
        <f t="shared" si="1"/>
        <v>Abrir anúncio ↗</v>
      </c>
      <c r="E734" s="9" t="s">
        <v>6593</v>
      </c>
      <c r="F734" s="3" t="s">
        <v>86</v>
      </c>
      <c r="G734" s="9" t="s">
        <v>4786</v>
      </c>
      <c r="H734" s="9" t="s">
        <v>6595</v>
      </c>
      <c r="I734" s="3"/>
      <c r="J734" s="3"/>
      <c r="K734" s="9"/>
    </row>
    <row r="735" ht="15.75" customHeight="1">
      <c r="A735" s="10" t="s">
        <v>12</v>
      </c>
      <c r="B735" s="10" t="s">
        <v>82</v>
      </c>
      <c r="C735" s="10" t="s">
        <v>6598</v>
      </c>
      <c r="D735" s="11" t="str">
        <f t="shared" si="1"/>
        <v>Abrir anúncio ↗</v>
      </c>
      <c r="E735" s="12" t="s">
        <v>6601</v>
      </c>
      <c r="F735" s="10" t="s">
        <v>86</v>
      </c>
      <c r="G735" s="12" t="s">
        <v>6220</v>
      </c>
      <c r="H735" s="12" t="s">
        <v>6603</v>
      </c>
      <c r="I735" s="10"/>
      <c r="J735" s="10"/>
      <c r="K735" s="12"/>
    </row>
    <row r="736" ht="15.75" customHeight="1">
      <c r="A736" s="3" t="s">
        <v>12</v>
      </c>
      <c r="B736" s="3" t="s">
        <v>82</v>
      </c>
      <c r="C736" s="3" t="s">
        <v>6606</v>
      </c>
      <c r="D736" s="8" t="str">
        <f t="shared" si="1"/>
        <v>Abrir anúncio ↗</v>
      </c>
      <c r="E736" s="9" t="s">
        <v>6607</v>
      </c>
      <c r="F736" s="3" t="s">
        <v>29</v>
      </c>
      <c r="G736" s="9" t="s">
        <v>3709</v>
      </c>
      <c r="H736" s="9" t="s">
        <v>4146</v>
      </c>
      <c r="I736" s="3"/>
      <c r="J736" s="3"/>
      <c r="K736" s="9"/>
    </row>
    <row r="737" ht="15.75" customHeight="1">
      <c r="A737" s="10" t="s">
        <v>12</v>
      </c>
      <c r="B737" s="10" t="s">
        <v>82</v>
      </c>
      <c r="C737" s="10" t="s">
        <v>6610</v>
      </c>
      <c r="D737" s="11" t="str">
        <f t="shared" si="1"/>
        <v>Abrir anúncio ↗</v>
      </c>
      <c r="E737" s="12" t="s">
        <v>6613</v>
      </c>
      <c r="F737" s="10" t="s">
        <v>29</v>
      </c>
      <c r="G737" s="12" t="s">
        <v>3709</v>
      </c>
      <c r="H737" s="12" t="s">
        <v>3712</v>
      </c>
      <c r="I737" s="10"/>
      <c r="J737" s="10"/>
      <c r="K737" s="12"/>
    </row>
    <row r="738" ht="15.75" customHeight="1">
      <c r="A738" s="3" t="s">
        <v>12</v>
      </c>
      <c r="B738" s="3" t="s">
        <v>82</v>
      </c>
      <c r="C738" s="3" t="s">
        <v>6616</v>
      </c>
      <c r="D738" s="8" t="str">
        <f t="shared" si="1"/>
        <v>Abrir anúncio ↗</v>
      </c>
      <c r="E738" s="9" t="s">
        <v>6617</v>
      </c>
      <c r="F738" s="3" t="s">
        <v>29</v>
      </c>
      <c r="G738" s="9" t="s">
        <v>3709</v>
      </c>
      <c r="H738" s="9" t="s">
        <v>4245</v>
      </c>
      <c r="I738" s="3"/>
      <c r="J738" s="3"/>
      <c r="K738" s="9"/>
    </row>
    <row r="739" ht="15.75" customHeight="1">
      <c r="A739" s="10" t="s">
        <v>12</v>
      </c>
      <c r="B739" s="10" t="s">
        <v>82</v>
      </c>
      <c r="C739" s="10" t="s">
        <v>6620</v>
      </c>
      <c r="D739" s="11" t="str">
        <f t="shared" si="1"/>
        <v>Abrir anúncio ↗</v>
      </c>
      <c r="E739" s="12" t="s">
        <v>6621</v>
      </c>
      <c r="F739" s="10" t="s">
        <v>29</v>
      </c>
      <c r="G739" s="12" t="s">
        <v>3709</v>
      </c>
      <c r="H739" s="12" t="s">
        <v>3712</v>
      </c>
      <c r="I739" s="10"/>
      <c r="J739" s="10"/>
      <c r="K739" s="12"/>
    </row>
    <row r="740" ht="15.75" customHeight="1">
      <c r="A740" s="3" t="s">
        <v>12</v>
      </c>
      <c r="B740" s="3" t="s">
        <v>82</v>
      </c>
      <c r="C740" s="3" t="s">
        <v>6624</v>
      </c>
      <c r="D740" s="8" t="str">
        <f t="shared" si="1"/>
        <v>Abrir anúncio ↗</v>
      </c>
      <c r="E740" s="9" t="s">
        <v>6626</v>
      </c>
      <c r="F740" s="3" t="s">
        <v>29</v>
      </c>
      <c r="G740" s="9" t="s">
        <v>3709</v>
      </c>
      <c r="H740" s="9" t="s">
        <v>4092</v>
      </c>
      <c r="I740" s="3"/>
      <c r="J740" s="3"/>
      <c r="K740" s="9"/>
    </row>
    <row r="741" ht="15.75" customHeight="1">
      <c r="A741" s="10" t="s">
        <v>12</v>
      </c>
      <c r="B741" s="10" t="s">
        <v>82</v>
      </c>
      <c r="C741" s="10" t="s">
        <v>6632</v>
      </c>
      <c r="D741" s="11" t="str">
        <f t="shared" si="1"/>
        <v>Abrir anúncio ↗</v>
      </c>
      <c r="E741" s="12" t="s">
        <v>6634</v>
      </c>
      <c r="F741" s="10" t="s">
        <v>29</v>
      </c>
      <c r="G741" s="12" t="s">
        <v>3709</v>
      </c>
      <c r="H741" s="12" t="s">
        <v>4284</v>
      </c>
      <c r="I741" s="10"/>
      <c r="J741" s="10"/>
      <c r="K741" s="12"/>
    </row>
    <row r="742" ht="15.75" customHeight="1">
      <c r="A742" s="3" t="s">
        <v>12</v>
      </c>
      <c r="B742" s="3" t="s">
        <v>82</v>
      </c>
      <c r="C742" s="3" t="s">
        <v>6638</v>
      </c>
      <c r="D742" s="8" t="str">
        <f t="shared" si="1"/>
        <v>Abrir anúncio ↗</v>
      </c>
      <c r="E742" s="9" t="s">
        <v>6639</v>
      </c>
      <c r="F742" s="3" t="s">
        <v>29</v>
      </c>
      <c r="G742" s="9" t="s">
        <v>3709</v>
      </c>
      <c r="H742" s="9" t="s">
        <v>4058</v>
      </c>
      <c r="I742" s="3"/>
      <c r="J742" s="3"/>
      <c r="K742" s="9"/>
    </row>
    <row r="743" ht="15.75" customHeight="1">
      <c r="A743" s="10" t="s">
        <v>12</v>
      </c>
      <c r="B743" s="10" t="s">
        <v>82</v>
      </c>
      <c r="C743" s="10" t="s">
        <v>6643</v>
      </c>
      <c r="D743" s="11" t="str">
        <f t="shared" si="1"/>
        <v>Abrir anúncio ↗</v>
      </c>
      <c r="E743" s="12" t="s">
        <v>6645</v>
      </c>
      <c r="F743" s="10" t="s">
        <v>29</v>
      </c>
      <c r="G743" s="12" t="s">
        <v>3709</v>
      </c>
      <c r="H743" s="12" t="s">
        <v>5737</v>
      </c>
      <c r="I743" s="10"/>
      <c r="J743" s="10"/>
      <c r="K743" s="12"/>
    </row>
    <row r="744" ht="15.75" customHeight="1">
      <c r="A744" s="3" t="s">
        <v>12</v>
      </c>
      <c r="B744" s="3" t="s">
        <v>82</v>
      </c>
      <c r="C744" s="3" t="s">
        <v>6648</v>
      </c>
      <c r="D744" s="8" t="str">
        <f t="shared" si="1"/>
        <v>Abrir anúncio ↗</v>
      </c>
      <c r="E744" s="9" t="s">
        <v>6651</v>
      </c>
      <c r="F744" s="3" t="s">
        <v>29</v>
      </c>
      <c r="G744" s="9" t="s">
        <v>3709</v>
      </c>
      <c r="H744" s="9" t="s">
        <v>4584</v>
      </c>
      <c r="I744" s="3"/>
      <c r="J744" s="3"/>
      <c r="K744" s="9"/>
    </row>
    <row r="745" ht="15.75" customHeight="1">
      <c r="A745" s="10" t="s">
        <v>12</v>
      </c>
      <c r="B745" s="10" t="s">
        <v>82</v>
      </c>
      <c r="C745" s="10" t="s">
        <v>6655</v>
      </c>
      <c r="D745" s="11" t="str">
        <f t="shared" si="1"/>
        <v>Abrir anúncio ↗</v>
      </c>
      <c r="E745" s="12" t="s">
        <v>6656</v>
      </c>
      <c r="F745" s="10" t="s">
        <v>29</v>
      </c>
      <c r="G745" s="12" t="s">
        <v>3709</v>
      </c>
      <c r="H745" s="12" t="s">
        <v>3999</v>
      </c>
      <c r="I745" s="10"/>
      <c r="J745" s="10"/>
      <c r="K745" s="12"/>
    </row>
    <row r="746" ht="15.75" customHeight="1">
      <c r="A746" s="3" t="s">
        <v>12</v>
      </c>
      <c r="B746" s="3" t="s">
        <v>82</v>
      </c>
      <c r="C746" s="3" t="s">
        <v>6659</v>
      </c>
      <c r="D746" s="8" t="str">
        <f t="shared" si="1"/>
        <v>Abrir anúncio ↗</v>
      </c>
      <c r="E746" s="9" t="s">
        <v>6661</v>
      </c>
      <c r="F746" s="3" t="s">
        <v>29</v>
      </c>
      <c r="G746" s="9" t="s">
        <v>3709</v>
      </c>
      <c r="H746" s="9" t="s">
        <v>6663</v>
      </c>
      <c r="I746" s="3"/>
      <c r="J746" s="3"/>
      <c r="K746" s="9"/>
    </row>
    <row r="747" ht="15.75" customHeight="1">
      <c r="A747" s="10" t="s">
        <v>12</v>
      </c>
      <c r="B747" s="10" t="s">
        <v>82</v>
      </c>
      <c r="C747" s="10" t="s">
        <v>6666</v>
      </c>
      <c r="D747" s="11" t="str">
        <f t="shared" si="1"/>
        <v>Abrir anúncio ↗</v>
      </c>
      <c r="E747" s="12" t="s">
        <v>6667</v>
      </c>
      <c r="F747" s="10" t="s">
        <v>29</v>
      </c>
      <c r="G747" s="12" t="s">
        <v>2390</v>
      </c>
      <c r="H747" s="12" t="s">
        <v>2392</v>
      </c>
      <c r="I747" s="10"/>
      <c r="J747" s="10"/>
      <c r="K747" s="12"/>
    </row>
    <row r="748" ht="15.75" customHeight="1">
      <c r="A748" s="3" t="s">
        <v>12</v>
      </c>
      <c r="B748" s="3" t="s">
        <v>82</v>
      </c>
      <c r="C748" s="3" t="s">
        <v>6670</v>
      </c>
      <c r="D748" s="8" t="str">
        <f t="shared" si="1"/>
        <v>Abrir anúncio ↗</v>
      </c>
      <c r="E748" s="9" t="s">
        <v>6673</v>
      </c>
      <c r="F748" s="3" t="s">
        <v>29</v>
      </c>
      <c r="G748" s="9" t="s">
        <v>2390</v>
      </c>
      <c r="H748" s="9" t="s">
        <v>2392</v>
      </c>
      <c r="I748" s="3"/>
      <c r="J748" s="3"/>
      <c r="K748" s="9"/>
    </row>
    <row r="749" ht="15.75" customHeight="1">
      <c r="A749" s="10" t="s">
        <v>12</v>
      </c>
      <c r="B749" s="10" t="s">
        <v>82</v>
      </c>
      <c r="C749" s="10" t="s">
        <v>6677</v>
      </c>
      <c r="D749" s="11" t="str">
        <f t="shared" si="1"/>
        <v>Abrir anúncio ↗</v>
      </c>
      <c r="E749" s="12" t="s">
        <v>6679</v>
      </c>
      <c r="F749" s="10" t="s">
        <v>29</v>
      </c>
      <c r="G749" s="12" t="s">
        <v>3709</v>
      </c>
      <c r="H749" s="12" t="s">
        <v>4443</v>
      </c>
      <c r="I749" s="10"/>
      <c r="J749" s="10"/>
      <c r="K749" s="12"/>
    </row>
    <row r="750" ht="15.75" customHeight="1">
      <c r="A750" s="3" t="s">
        <v>12</v>
      </c>
      <c r="B750" s="3" t="s">
        <v>82</v>
      </c>
      <c r="C750" s="3" t="s">
        <v>6683</v>
      </c>
      <c r="D750" s="8" t="str">
        <f t="shared" si="1"/>
        <v>Abrir anúncio ↗</v>
      </c>
      <c r="E750" s="9" t="s">
        <v>6684</v>
      </c>
      <c r="F750" s="3" t="s">
        <v>29</v>
      </c>
      <c r="G750" s="9" t="s">
        <v>3709</v>
      </c>
      <c r="H750" s="9" t="s">
        <v>4058</v>
      </c>
      <c r="I750" s="3"/>
      <c r="J750" s="3"/>
      <c r="K750" s="9"/>
    </row>
    <row r="751" ht="15.75" customHeight="1">
      <c r="A751" s="10" t="s">
        <v>12</v>
      </c>
      <c r="B751" s="10" t="s">
        <v>82</v>
      </c>
      <c r="C751" s="10" t="s">
        <v>6687</v>
      </c>
      <c r="D751" s="11" t="str">
        <f t="shared" si="1"/>
        <v>Abrir anúncio ↗</v>
      </c>
      <c r="E751" s="12" t="s">
        <v>6689</v>
      </c>
      <c r="F751" s="10" t="s">
        <v>29</v>
      </c>
      <c r="G751" s="12" t="s">
        <v>3892</v>
      </c>
      <c r="H751" s="12" t="s">
        <v>6691</v>
      </c>
      <c r="I751" s="10"/>
      <c r="J751" s="10"/>
      <c r="K751" s="12"/>
    </row>
    <row r="752" ht="15.75" customHeight="1">
      <c r="A752" s="3" t="s">
        <v>12</v>
      </c>
      <c r="B752" s="3" t="s">
        <v>82</v>
      </c>
      <c r="C752" s="3" t="s">
        <v>6692</v>
      </c>
      <c r="D752" s="8" t="str">
        <f t="shared" si="1"/>
        <v>Abrir anúncio ↗</v>
      </c>
      <c r="E752" s="9" t="s">
        <v>6695</v>
      </c>
      <c r="F752" s="3" t="s">
        <v>29</v>
      </c>
      <c r="G752" s="9" t="s">
        <v>5946</v>
      </c>
      <c r="H752" s="9" t="s">
        <v>5948</v>
      </c>
      <c r="I752" s="3"/>
      <c r="J752" s="3"/>
      <c r="K752" s="9"/>
    </row>
    <row r="753" ht="15.75" customHeight="1">
      <c r="A753" s="10" t="s">
        <v>12</v>
      </c>
      <c r="B753" s="10" t="s">
        <v>82</v>
      </c>
      <c r="C753" s="10" t="s">
        <v>6698</v>
      </c>
      <c r="D753" s="11" t="str">
        <f t="shared" si="1"/>
        <v>Abrir anúncio ↗</v>
      </c>
      <c r="E753" s="12" t="s">
        <v>6701</v>
      </c>
      <c r="F753" s="10" t="s">
        <v>86</v>
      </c>
      <c r="G753" s="12" t="s">
        <v>4786</v>
      </c>
      <c r="H753" s="12" t="s">
        <v>6046</v>
      </c>
      <c r="I753" s="10"/>
      <c r="J753" s="10"/>
      <c r="K753" s="12"/>
    </row>
    <row r="754" ht="15.75" customHeight="1">
      <c r="A754" s="3" t="s">
        <v>12</v>
      </c>
      <c r="B754" s="3" t="s">
        <v>82</v>
      </c>
      <c r="C754" s="3" t="s">
        <v>6704</v>
      </c>
      <c r="D754" s="8" t="str">
        <f t="shared" si="1"/>
        <v>Abrir anúncio ↗</v>
      </c>
      <c r="E754" s="9" t="s">
        <v>6705</v>
      </c>
      <c r="F754" s="3" t="s">
        <v>86</v>
      </c>
      <c r="G754" s="9" t="s">
        <v>4786</v>
      </c>
      <c r="H754" s="9" t="s">
        <v>6334</v>
      </c>
      <c r="I754" s="3"/>
      <c r="J754" s="3"/>
      <c r="K754" s="9"/>
    </row>
    <row r="755" ht="15.75" customHeight="1">
      <c r="A755" s="10" t="s">
        <v>12</v>
      </c>
      <c r="B755" s="10" t="s">
        <v>82</v>
      </c>
      <c r="C755" s="10" t="s">
        <v>6712</v>
      </c>
      <c r="D755" s="11" t="str">
        <f t="shared" si="1"/>
        <v>Abrir anúncio ↗</v>
      </c>
      <c r="E755" s="12" t="s">
        <v>6713</v>
      </c>
      <c r="F755" s="10" t="s">
        <v>29</v>
      </c>
      <c r="G755" s="12" t="s">
        <v>5339</v>
      </c>
      <c r="H755" s="12" t="s">
        <v>6715</v>
      </c>
      <c r="I755" s="10"/>
      <c r="J755" s="10"/>
      <c r="K755" s="12"/>
    </row>
    <row r="756" ht="15.75" customHeight="1">
      <c r="A756" s="3" t="s">
        <v>12</v>
      </c>
      <c r="B756" s="3" t="s">
        <v>82</v>
      </c>
      <c r="C756" s="3" t="s">
        <v>6717</v>
      </c>
      <c r="D756" s="8" t="str">
        <f t="shared" si="1"/>
        <v>Abrir anúncio ↗</v>
      </c>
      <c r="E756" s="9" t="s">
        <v>6719</v>
      </c>
      <c r="F756" s="3" t="s">
        <v>29</v>
      </c>
      <c r="G756" s="9" t="s">
        <v>5946</v>
      </c>
      <c r="H756" s="9" t="s">
        <v>5948</v>
      </c>
      <c r="I756" s="3"/>
      <c r="J756" s="3"/>
      <c r="K756" s="9"/>
    </row>
    <row r="757" ht="15.75" customHeight="1">
      <c r="A757" s="10" t="s">
        <v>12</v>
      </c>
      <c r="B757" s="10" t="s">
        <v>82</v>
      </c>
      <c r="C757" s="10" t="s">
        <v>6721</v>
      </c>
      <c r="D757" s="11" t="str">
        <f t="shared" si="1"/>
        <v>Abrir anúncio ↗</v>
      </c>
      <c r="E757" s="12" t="s">
        <v>6722</v>
      </c>
      <c r="F757" s="10" t="s">
        <v>29</v>
      </c>
      <c r="G757" s="12" t="s">
        <v>3709</v>
      </c>
      <c r="H757" s="12" t="s">
        <v>4097</v>
      </c>
      <c r="I757" s="10"/>
      <c r="J757" s="10"/>
      <c r="K757" s="12"/>
    </row>
    <row r="758" ht="15.75" customHeight="1">
      <c r="A758" s="3" t="s">
        <v>12</v>
      </c>
      <c r="B758" s="3" t="s">
        <v>82</v>
      </c>
      <c r="C758" s="3" t="s">
        <v>6724</v>
      </c>
      <c r="D758" s="8" t="str">
        <f t="shared" si="1"/>
        <v>Abrir anúncio ↗</v>
      </c>
      <c r="E758" s="9" t="s">
        <v>6725</v>
      </c>
      <c r="F758" s="3" t="s">
        <v>29</v>
      </c>
      <c r="G758" s="9" t="s">
        <v>2390</v>
      </c>
      <c r="H758" s="9" t="s">
        <v>2392</v>
      </c>
      <c r="I758" s="3"/>
      <c r="J758" s="3"/>
      <c r="K758" s="9"/>
    </row>
    <row r="759" ht="15.75" customHeight="1">
      <c r="A759" s="10" t="s">
        <v>12</v>
      </c>
      <c r="B759" s="10" t="s">
        <v>82</v>
      </c>
      <c r="C759" s="10" t="s">
        <v>6727</v>
      </c>
      <c r="D759" s="11" t="str">
        <f t="shared" si="1"/>
        <v>Abrir anúncio ↗</v>
      </c>
      <c r="E759" s="12" t="s">
        <v>6729</v>
      </c>
      <c r="F759" s="10" t="s">
        <v>29</v>
      </c>
      <c r="G759" s="12" t="s">
        <v>3709</v>
      </c>
      <c r="H759" s="12" t="s">
        <v>6731</v>
      </c>
      <c r="I759" s="10"/>
      <c r="J759" s="10"/>
      <c r="K759" s="12"/>
    </row>
    <row r="760" ht="15.75" customHeight="1">
      <c r="A760" s="3" t="s">
        <v>12</v>
      </c>
      <c r="B760" s="3" t="s">
        <v>82</v>
      </c>
      <c r="C760" s="3" t="s">
        <v>6732</v>
      </c>
      <c r="D760" s="8" t="str">
        <f t="shared" si="1"/>
        <v>Abrir anúncio ↗</v>
      </c>
      <c r="E760" s="9" t="s">
        <v>6734</v>
      </c>
      <c r="F760" s="3" t="s">
        <v>29</v>
      </c>
      <c r="G760" s="9" t="s">
        <v>2390</v>
      </c>
      <c r="H760" s="9" t="s">
        <v>2392</v>
      </c>
      <c r="I760" s="3"/>
      <c r="J760" s="3"/>
      <c r="K760" s="9"/>
    </row>
    <row r="761" ht="15.75" customHeight="1">
      <c r="A761" s="10" t="s">
        <v>12</v>
      </c>
      <c r="B761" s="10" t="s">
        <v>82</v>
      </c>
      <c r="C761" s="10" t="s">
        <v>6736</v>
      </c>
      <c r="D761" s="11" t="str">
        <f t="shared" si="1"/>
        <v>Abrir anúncio ↗</v>
      </c>
      <c r="E761" s="12" t="s">
        <v>6738</v>
      </c>
      <c r="F761" s="10" t="s">
        <v>29</v>
      </c>
      <c r="G761" s="12" t="s">
        <v>2390</v>
      </c>
      <c r="H761" s="12" t="s">
        <v>2392</v>
      </c>
      <c r="I761" s="10"/>
      <c r="J761" s="10"/>
      <c r="K761" s="12"/>
    </row>
    <row r="762" ht="15.75" customHeight="1">
      <c r="A762" s="3" t="s">
        <v>12</v>
      </c>
      <c r="B762" s="3" t="s">
        <v>82</v>
      </c>
      <c r="C762" s="3" t="s">
        <v>6743</v>
      </c>
      <c r="D762" s="8" t="str">
        <f t="shared" si="1"/>
        <v>Abrir anúncio ↗</v>
      </c>
      <c r="E762" s="9" t="s">
        <v>6744</v>
      </c>
      <c r="F762" s="3" t="s">
        <v>29</v>
      </c>
      <c r="G762" s="9" t="s">
        <v>3709</v>
      </c>
      <c r="H762" s="9" t="s">
        <v>6746</v>
      </c>
      <c r="I762" s="3"/>
      <c r="J762" s="3"/>
      <c r="K762" s="9"/>
    </row>
    <row r="763" ht="15.75" customHeight="1">
      <c r="A763" s="10" t="s">
        <v>12</v>
      </c>
      <c r="B763" s="10" t="s">
        <v>82</v>
      </c>
      <c r="C763" s="10" t="s">
        <v>6748</v>
      </c>
      <c r="D763" s="11" t="str">
        <f t="shared" si="1"/>
        <v>Abrir anúncio ↗</v>
      </c>
      <c r="E763" s="12" t="s">
        <v>6749</v>
      </c>
      <c r="F763" s="10" t="s">
        <v>86</v>
      </c>
      <c r="G763" s="12" t="s">
        <v>4786</v>
      </c>
      <c r="H763" s="12" t="s">
        <v>6751</v>
      </c>
      <c r="I763" s="10"/>
      <c r="J763" s="10"/>
      <c r="K763" s="12"/>
    </row>
    <row r="764" ht="15.75" customHeight="1">
      <c r="A764" s="3" t="s">
        <v>12</v>
      </c>
      <c r="B764" s="3" t="s">
        <v>82</v>
      </c>
      <c r="C764" s="3" t="s">
        <v>6755</v>
      </c>
      <c r="D764" s="8" t="str">
        <f t="shared" si="1"/>
        <v>Abrir anúncio ↗</v>
      </c>
      <c r="E764" s="9" t="s">
        <v>6756</v>
      </c>
      <c r="F764" s="3" t="s">
        <v>29</v>
      </c>
      <c r="G764" s="9" t="s">
        <v>2153</v>
      </c>
      <c r="H764" s="9" t="s">
        <v>6757</v>
      </c>
      <c r="I764" s="3"/>
      <c r="J764" s="3"/>
      <c r="K764" s="9"/>
    </row>
    <row r="765" ht="15.75" customHeight="1">
      <c r="A765" s="10" t="s">
        <v>12</v>
      </c>
      <c r="B765" s="10" t="s">
        <v>82</v>
      </c>
      <c r="C765" s="10" t="s">
        <v>6760</v>
      </c>
      <c r="D765" s="11" t="str">
        <f t="shared" si="1"/>
        <v>Abrir anúncio ↗</v>
      </c>
      <c r="E765" s="12" t="s">
        <v>6762</v>
      </c>
      <c r="F765" s="10" t="s">
        <v>29</v>
      </c>
      <c r="G765" s="12" t="s">
        <v>3709</v>
      </c>
      <c r="H765" s="12" t="s">
        <v>3712</v>
      </c>
      <c r="I765" s="10"/>
      <c r="J765" s="10"/>
      <c r="K765" s="12"/>
    </row>
    <row r="766" ht="15.75" customHeight="1">
      <c r="A766" s="3" t="s">
        <v>12</v>
      </c>
      <c r="B766" s="3" t="s">
        <v>82</v>
      </c>
      <c r="C766" s="3" t="s">
        <v>6765</v>
      </c>
      <c r="D766" s="8" t="str">
        <f t="shared" si="1"/>
        <v>Abrir anúncio ↗</v>
      </c>
      <c r="E766" s="9" t="s">
        <v>6767</v>
      </c>
      <c r="F766" s="3" t="s">
        <v>29</v>
      </c>
      <c r="G766" s="9" t="s">
        <v>3709</v>
      </c>
      <c r="H766" s="9" t="s">
        <v>4092</v>
      </c>
      <c r="I766" s="3"/>
      <c r="J766" s="3"/>
      <c r="K766" s="9"/>
    </row>
    <row r="767" ht="15.75" customHeight="1">
      <c r="A767" s="10" t="s">
        <v>12</v>
      </c>
      <c r="B767" s="10" t="s">
        <v>82</v>
      </c>
      <c r="C767" s="10" t="s">
        <v>6769</v>
      </c>
      <c r="D767" s="11" t="str">
        <f t="shared" si="1"/>
        <v>Abrir anúncio ↗</v>
      </c>
      <c r="E767" s="12" t="s">
        <v>6770</v>
      </c>
      <c r="F767" s="10" t="s">
        <v>29</v>
      </c>
      <c r="G767" s="12" t="s">
        <v>3709</v>
      </c>
      <c r="H767" s="12" t="s">
        <v>6746</v>
      </c>
      <c r="I767" s="10"/>
      <c r="J767" s="10"/>
      <c r="K767" s="12"/>
    </row>
    <row r="768" ht="15.75" customHeight="1">
      <c r="A768" s="3" t="s">
        <v>12</v>
      </c>
      <c r="B768" s="3" t="s">
        <v>82</v>
      </c>
      <c r="C768" s="3" t="s">
        <v>6772</v>
      </c>
      <c r="D768" s="8" t="str">
        <f t="shared" si="1"/>
        <v>Abrir anúncio ↗</v>
      </c>
      <c r="E768" s="9" t="s">
        <v>6773</v>
      </c>
      <c r="F768" s="3" t="s">
        <v>29</v>
      </c>
      <c r="G768" s="9" t="s">
        <v>3892</v>
      </c>
      <c r="H768" s="9" t="s">
        <v>6774</v>
      </c>
      <c r="I768" s="3"/>
      <c r="J768" s="3"/>
      <c r="K768" s="9"/>
    </row>
    <row r="769" ht="15.75" customHeight="1">
      <c r="A769" s="10" t="s">
        <v>12</v>
      </c>
      <c r="B769" s="10" t="s">
        <v>82</v>
      </c>
      <c r="C769" s="10" t="s">
        <v>6776</v>
      </c>
      <c r="D769" s="11" t="str">
        <f t="shared" si="1"/>
        <v>Abrir anúncio ↗</v>
      </c>
      <c r="E769" s="12" t="s">
        <v>6777</v>
      </c>
      <c r="F769" s="10" t="s">
        <v>29</v>
      </c>
      <c r="G769" s="12" t="s">
        <v>3709</v>
      </c>
      <c r="H769" s="12" t="s">
        <v>6779</v>
      </c>
      <c r="I769" s="10"/>
      <c r="J769" s="10"/>
      <c r="K769" s="12"/>
    </row>
    <row r="770" ht="15.75" customHeight="1">
      <c r="A770" s="3" t="s">
        <v>12</v>
      </c>
      <c r="B770" s="3" t="s">
        <v>82</v>
      </c>
      <c r="C770" s="3" t="s">
        <v>6780</v>
      </c>
      <c r="D770" s="8" t="str">
        <f t="shared" si="1"/>
        <v>Abrir anúncio ↗</v>
      </c>
      <c r="E770" s="9" t="s">
        <v>6781</v>
      </c>
      <c r="F770" s="3" t="s">
        <v>29</v>
      </c>
      <c r="G770" s="9" t="s">
        <v>3709</v>
      </c>
      <c r="H770" s="9" t="s">
        <v>6783</v>
      </c>
      <c r="I770" s="3"/>
      <c r="J770" s="3"/>
      <c r="K770" s="9"/>
    </row>
    <row r="771" ht="15.75" customHeight="1">
      <c r="A771" s="10" t="s">
        <v>12</v>
      </c>
      <c r="B771" s="10" t="s">
        <v>82</v>
      </c>
      <c r="C771" s="10" t="s">
        <v>6784</v>
      </c>
      <c r="D771" s="11" t="str">
        <f t="shared" si="1"/>
        <v>Abrir anúncio ↗</v>
      </c>
      <c r="E771" s="12" t="s">
        <v>6786</v>
      </c>
      <c r="F771" s="10" t="s">
        <v>86</v>
      </c>
      <c r="G771" s="12" t="s">
        <v>6787</v>
      </c>
      <c r="H771" s="12" t="s">
        <v>6788</v>
      </c>
      <c r="I771" s="10"/>
      <c r="J771" s="10"/>
      <c r="K771" s="12"/>
    </row>
    <row r="772" ht="15.75" customHeight="1">
      <c r="A772" s="3" t="s">
        <v>12</v>
      </c>
      <c r="B772" s="3" t="s">
        <v>82</v>
      </c>
      <c r="C772" s="3" t="s">
        <v>6789</v>
      </c>
      <c r="D772" s="8" t="str">
        <f t="shared" si="1"/>
        <v>Abrir anúncio ↗</v>
      </c>
      <c r="E772" s="9" t="s">
        <v>6790</v>
      </c>
      <c r="F772" s="3" t="s">
        <v>29</v>
      </c>
      <c r="G772" s="9" t="s">
        <v>3709</v>
      </c>
      <c r="H772" s="9" t="s">
        <v>5973</v>
      </c>
      <c r="I772" s="3"/>
      <c r="J772" s="3"/>
      <c r="K772" s="9"/>
    </row>
    <row r="773" ht="15.75" customHeight="1">
      <c r="A773" s="10" t="s">
        <v>12</v>
      </c>
      <c r="B773" s="10" t="s">
        <v>82</v>
      </c>
      <c r="C773" s="10" t="s">
        <v>6792</v>
      </c>
      <c r="D773" s="11" t="str">
        <f t="shared" si="1"/>
        <v>Abrir anúncio ↗</v>
      </c>
      <c r="E773" s="12" t="s">
        <v>6793</v>
      </c>
      <c r="F773" s="10" t="s">
        <v>29</v>
      </c>
      <c r="G773" s="12" t="s">
        <v>3709</v>
      </c>
      <c r="H773" s="12" t="s">
        <v>4141</v>
      </c>
      <c r="I773" s="10"/>
      <c r="J773" s="10"/>
      <c r="K773" s="12"/>
    </row>
    <row r="774" ht="15.75" customHeight="1">
      <c r="A774" s="3" t="s">
        <v>12</v>
      </c>
      <c r="B774" s="3" t="s">
        <v>82</v>
      </c>
      <c r="C774" s="3" t="s">
        <v>6795</v>
      </c>
      <c r="D774" s="8" t="str">
        <f t="shared" si="1"/>
        <v>Abrir anúncio ↗</v>
      </c>
      <c r="E774" s="9" t="s">
        <v>6796</v>
      </c>
      <c r="F774" s="3" t="s">
        <v>29</v>
      </c>
      <c r="G774" s="9" t="s">
        <v>2390</v>
      </c>
      <c r="H774" s="9" t="s">
        <v>2392</v>
      </c>
      <c r="I774" s="3"/>
      <c r="J774" s="3"/>
      <c r="K774" s="9"/>
    </row>
    <row r="775" ht="15.75" customHeight="1">
      <c r="A775" s="10" t="s">
        <v>12</v>
      </c>
      <c r="B775" s="10" t="s">
        <v>82</v>
      </c>
      <c r="C775" s="10" t="s">
        <v>6798</v>
      </c>
      <c r="D775" s="11" t="str">
        <f t="shared" si="1"/>
        <v>Abrir anúncio ↗</v>
      </c>
      <c r="E775" s="12" t="s">
        <v>6799</v>
      </c>
      <c r="F775" s="10" t="s">
        <v>29</v>
      </c>
      <c r="G775" s="12" t="s">
        <v>2390</v>
      </c>
      <c r="H775" s="12" t="s">
        <v>2392</v>
      </c>
      <c r="I775" s="10"/>
      <c r="J775" s="10"/>
      <c r="K775" s="12"/>
    </row>
    <row r="776" ht="15.75" customHeight="1">
      <c r="A776" s="3" t="s">
        <v>12</v>
      </c>
      <c r="B776" s="3" t="s">
        <v>82</v>
      </c>
      <c r="C776" s="3" t="s">
        <v>6800</v>
      </c>
      <c r="D776" s="8" t="str">
        <f t="shared" si="1"/>
        <v>Abrir anúncio ↗</v>
      </c>
      <c r="E776" s="9" t="s">
        <v>6801</v>
      </c>
      <c r="F776" s="3" t="s">
        <v>29</v>
      </c>
      <c r="G776" s="9" t="s">
        <v>3709</v>
      </c>
      <c r="H776" s="9" t="s">
        <v>3999</v>
      </c>
      <c r="I776" s="3"/>
      <c r="J776" s="3"/>
      <c r="K776" s="9"/>
    </row>
    <row r="777" ht="15.75" customHeight="1">
      <c r="A777" s="10" t="s">
        <v>12</v>
      </c>
      <c r="B777" s="10" t="s">
        <v>82</v>
      </c>
      <c r="C777" s="10" t="s">
        <v>6803</v>
      </c>
      <c r="D777" s="11" t="str">
        <f t="shared" si="1"/>
        <v>Abrir anúncio ↗</v>
      </c>
      <c r="E777" s="12" t="s">
        <v>6804</v>
      </c>
      <c r="F777" s="10" t="s">
        <v>29</v>
      </c>
      <c r="G777" s="12" t="s">
        <v>2390</v>
      </c>
      <c r="H777" s="12" t="s">
        <v>2392</v>
      </c>
      <c r="I777" s="10"/>
      <c r="J777" s="10"/>
      <c r="K777" s="12"/>
    </row>
    <row r="778" ht="15.75" customHeight="1">
      <c r="A778" s="3" t="s">
        <v>12</v>
      </c>
      <c r="B778" s="3" t="s">
        <v>82</v>
      </c>
      <c r="C778" s="3" t="s">
        <v>6808</v>
      </c>
      <c r="D778" s="8" t="str">
        <f t="shared" si="1"/>
        <v>Abrir anúncio ↗</v>
      </c>
      <c r="E778" s="9" t="s">
        <v>6810</v>
      </c>
      <c r="F778" s="3" t="s">
        <v>29</v>
      </c>
      <c r="G778" s="9" t="s">
        <v>2390</v>
      </c>
      <c r="H778" s="9" t="s">
        <v>2392</v>
      </c>
      <c r="I778" s="3"/>
      <c r="J778" s="3"/>
      <c r="K778" s="9"/>
    </row>
    <row r="779" ht="15.75" customHeight="1">
      <c r="A779" s="10" t="s">
        <v>12</v>
      </c>
      <c r="B779" s="10" t="s">
        <v>82</v>
      </c>
      <c r="C779" s="10" t="s">
        <v>6814</v>
      </c>
      <c r="D779" s="11" t="str">
        <f t="shared" si="1"/>
        <v>Abrir anúncio ↗</v>
      </c>
      <c r="E779" s="12" t="s">
        <v>6815</v>
      </c>
      <c r="F779" s="10" t="s">
        <v>29</v>
      </c>
      <c r="G779" s="12" t="s">
        <v>3709</v>
      </c>
      <c r="H779" s="12" t="s">
        <v>4097</v>
      </c>
      <c r="I779" s="10"/>
      <c r="J779" s="10"/>
      <c r="K779" s="12"/>
    </row>
    <row r="780" ht="15.75" customHeight="1">
      <c r="A780" s="3" t="s">
        <v>12</v>
      </c>
      <c r="B780" s="3" t="s">
        <v>82</v>
      </c>
      <c r="C780" s="3" t="s">
        <v>6818</v>
      </c>
      <c r="D780" s="8" t="str">
        <f t="shared" si="1"/>
        <v>Abrir anúncio ↗</v>
      </c>
      <c r="E780" s="9" t="s">
        <v>6819</v>
      </c>
      <c r="F780" s="3" t="s">
        <v>29</v>
      </c>
      <c r="G780" s="9" t="s">
        <v>2390</v>
      </c>
      <c r="H780" s="9" t="s">
        <v>2392</v>
      </c>
      <c r="I780" s="3"/>
      <c r="J780" s="3"/>
      <c r="K780" s="9"/>
    </row>
    <row r="781" ht="15.75" customHeight="1">
      <c r="A781" s="10" t="s">
        <v>12</v>
      </c>
      <c r="B781" s="10" t="s">
        <v>82</v>
      </c>
      <c r="C781" s="10" t="s">
        <v>6824</v>
      </c>
      <c r="D781" s="11" t="str">
        <f t="shared" si="1"/>
        <v>Abrir anúncio ↗</v>
      </c>
      <c r="E781" s="12" t="s">
        <v>268</v>
      </c>
      <c r="F781" s="10" t="s">
        <v>29</v>
      </c>
      <c r="G781" s="12" t="s">
        <v>2390</v>
      </c>
      <c r="H781" s="12" t="s">
        <v>2392</v>
      </c>
      <c r="I781" s="10"/>
      <c r="J781" s="10"/>
      <c r="K781" s="12"/>
    </row>
    <row r="782" ht="15.75" customHeight="1">
      <c r="A782" s="3" t="s">
        <v>12</v>
      </c>
      <c r="B782" s="3" t="s">
        <v>82</v>
      </c>
      <c r="C782" s="3" t="s">
        <v>6827</v>
      </c>
      <c r="D782" s="8" t="str">
        <f t="shared" si="1"/>
        <v>Abrir anúncio ↗</v>
      </c>
      <c r="E782" s="9" t="s">
        <v>6828</v>
      </c>
      <c r="F782" s="3" t="s">
        <v>29</v>
      </c>
      <c r="G782" s="9" t="s">
        <v>2153</v>
      </c>
      <c r="H782" s="9" t="s">
        <v>2201</v>
      </c>
      <c r="I782" s="3"/>
      <c r="J782" s="3"/>
      <c r="K782" s="9"/>
    </row>
    <row r="783" ht="15.75" customHeight="1">
      <c r="A783" s="10" t="s">
        <v>12</v>
      </c>
      <c r="B783" s="10" t="s">
        <v>82</v>
      </c>
      <c r="C783" s="10" t="s">
        <v>6833</v>
      </c>
      <c r="D783" s="11" t="str">
        <f t="shared" si="1"/>
        <v>Abrir anúncio ↗</v>
      </c>
      <c r="E783" s="12" t="s">
        <v>6834</v>
      </c>
      <c r="F783" s="10" t="s">
        <v>29</v>
      </c>
      <c r="G783" s="12" t="s">
        <v>2153</v>
      </c>
      <c r="H783" s="12" t="s">
        <v>2201</v>
      </c>
      <c r="I783" s="10"/>
      <c r="J783" s="10"/>
      <c r="K783" s="12"/>
    </row>
    <row r="784" ht="15.75" customHeight="1">
      <c r="A784" s="3" t="s">
        <v>12</v>
      </c>
      <c r="B784" s="3" t="s">
        <v>82</v>
      </c>
      <c r="C784" s="3" t="s">
        <v>6836</v>
      </c>
      <c r="D784" s="8" t="str">
        <f t="shared" si="1"/>
        <v>Abrir anúncio ↗</v>
      </c>
      <c r="E784" s="9" t="s">
        <v>6838</v>
      </c>
      <c r="F784" s="3" t="s">
        <v>29</v>
      </c>
      <c r="G784" s="9" t="s">
        <v>3709</v>
      </c>
      <c r="H784" s="9" t="s">
        <v>6731</v>
      </c>
      <c r="I784" s="3"/>
      <c r="J784" s="3"/>
      <c r="K784" s="9"/>
    </row>
    <row r="785" ht="15.75" customHeight="1">
      <c r="A785" s="10" t="s">
        <v>12</v>
      </c>
      <c r="B785" s="10" t="s">
        <v>82</v>
      </c>
      <c r="C785" s="10" t="s">
        <v>6839</v>
      </c>
      <c r="D785" s="11" t="str">
        <f t="shared" si="1"/>
        <v>Abrir anúncio ↗</v>
      </c>
      <c r="E785" s="12" t="s">
        <v>6841</v>
      </c>
      <c r="F785" s="10" t="s">
        <v>29</v>
      </c>
      <c r="G785" s="12" t="s">
        <v>2390</v>
      </c>
      <c r="H785" s="12" t="s">
        <v>2392</v>
      </c>
      <c r="I785" s="10"/>
      <c r="J785" s="10"/>
      <c r="K785" s="12"/>
    </row>
    <row r="786" ht="15.75" customHeight="1">
      <c r="A786" s="3" t="s">
        <v>12</v>
      </c>
      <c r="B786" s="3" t="s">
        <v>82</v>
      </c>
      <c r="C786" s="3" t="s">
        <v>6845</v>
      </c>
      <c r="D786" s="8" t="str">
        <f t="shared" si="1"/>
        <v>Abrir anúncio ↗</v>
      </c>
      <c r="E786" s="9" t="s">
        <v>6846</v>
      </c>
      <c r="F786" s="3" t="s">
        <v>29</v>
      </c>
      <c r="G786" s="9" t="s">
        <v>2390</v>
      </c>
      <c r="H786" s="9" t="s">
        <v>2392</v>
      </c>
      <c r="I786" s="3"/>
      <c r="J786" s="3"/>
      <c r="K786" s="9"/>
    </row>
    <row r="787" ht="15.75" customHeight="1">
      <c r="A787" s="10" t="s">
        <v>12</v>
      </c>
      <c r="B787" s="10" t="s">
        <v>82</v>
      </c>
      <c r="C787" s="10" t="s">
        <v>6851</v>
      </c>
      <c r="D787" s="11" t="str">
        <f t="shared" si="1"/>
        <v>Abrir anúncio ↗</v>
      </c>
      <c r="E787" s="12" t="s">
        <v>6852</v>
      </c>
      <c r="F787" s="10" t="s">
        <v>29</v>
      </c>
      <c r="G787" s="12" t="s">
        <v>2390</v>
      </c>
      <c r="H787" s="12" t="s">
        <v>2392</v>
      </c>
      <c r="I787" s="10"/>
      <c r="J787" s="10"/>
      <c r="K787" s="12"/>
    </row>
    <row r="788" ht="15.75" customHeight="1">
      <c r="A788" s="3" t="s">
        <v>12</v>
      </c>
      <c r="B788" s="3" t="s">
        <v>82</v>
      </c>
      <c r="C788" s="3" t="s">
        <v>6855</v>
      </c>
      <c r="D788" s="8" t="str">
        <f t="shared" si="1"/>
        <v>Abrir anúncio ↗</v>
      </c>
      <c r="E788" s="9" t="s">
        <v>6856</v>
      </c>
      <c r="F788" s="3" t="s">
        <v>29</v>
      </c>
      <c r="G788" s="9" t="s">
        <v>2390</v>
      </c>
      <c r="H788" s="9" t="s">
        <v>2392</v>
      </c>
      <c r="I788" s="3"/>
      <c r="J788" s="3"/>
      <c r="K788" s="9"/>
    </row>
    <row r="789" ht="15.75" customHeight="1">
      <c r="A789" s="10" t="s">
        <v>12</v>
      </c>
      <c r="B789" s="10" t="s">
        <v>82</v>
      </c>
      <c r="C789" s="10" t="s">
        <v>6858</v>
      </c>
      <c r="D789" s="11" t="str">
        <f t="shared" si="1"/>
        <v>Abrir anúncio ↗</v>
      </c>
      <c r="E789" s="12" t="s">
        <v>6860</v>
      </c>
      <c r="F789" s="10" t="s">
        <v>29</v>
      </c>
      <c r="G789" s="12" t="s">
        <v>3709</v>
      </c>
      <c r="H789" s="12" t="s">
        <v>6233</v>
      </c>
      <c r="I789" s="10"/>
      <c r="J789" s="10"/>
      <c r="K789" s="12"/>
    </row>
    <row r="790" ht="15.75" customHeight="1">
      <c r="A790" s="3" t="s">
        <v>12</v>
      </c>
      <c r="B790" s="3" t="s">
        <v>82</v>
      </c>
      <c r="C790" s="3" t="s">
        <v>6863</v>
      </c>
      <c r="D790" s="8" t="str">
        <f t="shared" si="1"/>
        <v>Abrir anúncio ↗</v>
      </c>
      <c r="E790" s="9" t="s">
        <v>6865</v>
      </c>
      <c r="F790" s="3" t="s">
        <v>29</v>
      </c>
      <c r="G790" s="9" t="s">
        <v>2390</v>
      </c>
      <c r="H790" s="9" t="s">
        <v>2392</v>
      </c>
      <c r="I790" s="3"/>
      <c r="J790" s="3"/>
      <c r="K790" s="9"/>
    </row>
    <row r="791" ht="15.75" customHeight="1">
      <c r="A791" s="10" t="s">
        <v>12</v>
      </c>
      <c r="B791" s="10" t="s">
        <v>82</v>
      </c>
      <c r="C791" s="10" t="s">
        <v>6869</v>
      </c>
      <c r="D791" s="11" t="str">
        <f t="shared" si="1"/>
        <v>Abrir anúncio ↗</v>
      </c>
      <c r="E791" s="12" t="s">
        <v>6871</v>
      </c>
      <c r="F791" s="10" t="s">
        <v>86</v>
      </c>
      <c r="G791" s="12" t="s">
        <v>4538</v>
      </c>
      <c r="H791" s="12" t="s">
        <v>6872</v>
      </c>
      <c r="I791" s="10"/>
      <c r="J791" s="10"/>
      <c r="K791" s="12"/>
    </row>
    <row r="792" ht="15.75" customHeight="1">
      <c r="A792" s="3" t="s">
        <v>12</v>
      </c>
      <c r="B792" s="3" t="s">
        <v>82</v>
      </c>
      <c r="C792" s="3" t="s">
        <v>6875</v>
      </c>
      <c r="D792" s="8" t="str">
        <f t="shared" si="1"/>
        <v>Abrir anúncio ↗</v>
      </c>
      <c r="E792" s="9" t="s">
        <v>6877</v>
      </c>
      <c r="F792" s="3" t="s">
        <v>29</v>
      </c>
      <c r="G792" s="9" t="s">
        <v>2390</v>
      </c>
      <c r="H792" s="9" t="s">
        <v>2392</v>
      </c>
      <c r="I792" s="3"/>
      <c r="J792" s="3"/>
      <c r="K792" s="9"/>
    </row>
    <row r="793" ht="15.75" customHeight="1">
      <c r="A793" s="10" t="s">
        <v>12</v>
      </c>
      <c r="B793" s="10" t="s">
        <v>82</v>
      </c>
      <c r="C793" s="10" t="s">
        <v>6879</v>
      </c>
      <c r="D793" s="11" t="str">
        <f t="shared" si="1"/>
        <v>Abrir anúncio ↗</v>
      </c>
      <c r="E793" s="12" t="s">
        <v>6881</v>
      </c>
      <c r="F793" s="10" t="s">
        <v>29</v>
      </c>
      <c r="G793" s="12" t="s">
        <v>3709</v>
      </c>
      <c r="H793" s="12" t="s">
        <v>4141</v>
      </c>
      <c r="I793" s="10"/>
      <c r="J793" s="10"/>
      <c r="K793" s="12"/>
    </row>
    <row r="794" ht="15.75" customHeight="1">
      <c r="A794" s="3" t="s">
        <v>12</v>
      </c>
      <c r="B794" s="3" t="s">
        <v>82</v>
      </c>
      <c r="C794" s="3" t="s">
        <v>6884</v>
      </c>
      <c r="D794" s="8" t="str">
        <f t="shared" si="1"/>
        <v>Abrir anúncio ↗</v>
      </c>
      <c r="E794" s="9" t="s">
        <v>6885</v>
      </c>
      <c r="F794" s="3" t="s">
        <v>29</v>
      </c>
      <c r="G794" s="9" t="s">
        <v>3709</v>
      </c>
      <c r="H794" s="9" t="s">
        <v>4129</v>
      </c>
      <c r="I794" s="3"/>
      <c r="J794" s="3"/>
      <c r="K794" s="9"/>
    </row>
    <row r="795" ht="15.75" customHeight="1">
      <c r="A795" s="10" t="s">
        <v>12</v>
      </c>
      <c r="B795" s="10" t="s">
        <v>82</v>
      </c>
      <c r="C795" s="10" t="s">
        <v>6889</v>
      </c>
      <c r="D795" s="11" t="str">
        <f t="shared" si="1"/>
        <v>Abrir anúncio ↗</v>
      </c>
      <c r="E795" s="12" t="s">
        <v>6890</v>
      </c>
      <c r="F795" s="10" t="s">
        <v>29</v>
      </c>
      <c r="G795" s="12" t="s">
        <v>3709</v>
      </c>
      <c r="H795" s="12" t="s">
        <v>3725</v>
      </c>
      <c r="I795" s="10"/>
      <c r="J795" s="10"/>
      <c r="K795" s="12"/>
    </row>
    <row r="796" ht="15.75" customHeight="1">
      <c r="A796" s="3" t="s">
        <v>12</v>
      </c>
      <c r="B796" s="3" t="s">
        <v>82</v>
      </c>
      <c r="C796" s="3" t="s">
        <v>6893</v>
      </c>
      <c r="D796" s="8" t="str">
        <f t="shared" si="1"/>
        <v>Abrir anúncio ↗</v>
      </c>
      <c r="E796" s="9" t="s">
        <v>6895</v>
      </c>
      <c r="F796" s="3" t="s">
        <v>29</v>
      </c>
      <c r="G796" s="9" t="s">
        <v>2390</v>
      </c>
      <c r="H796" s="9" t="s">
        <v>2392</v>
      </c>
      <c r="I796" s="3"/>
      <c r="J796" s="3"/>
      <c r="K796" s="9"/>
    </row>
    <row r="797" ht="15.75" customHeight="1">
      <c r="A797" s="10" t="s">
        <v>12</v>
      </c>
      <c r="B797" s="10" t="s">
        <v>82</v>
      </c>
      <c r="C797" s="10" t="s">
        <v>6900</v>
      </c>
      <c r="D797" s="11" t="str">
        <f t="shared" si="1"/>
        <v>Abrir anúncio ↗</v>
      </c>
      <c r="E797" s="12" t="s">
        <v>6902</v>
      </c>
      <c r="F797" s="10" t="s">
        <v>29</v>
      </c>
      <c r="G797" s="12" t="s">
        <v>2390</v>
      </c>
      <c r="H797" s="12" t="s">
        <v>2392</v>
      </c>
      <c r="I797" s="10"/>
      <c r="J797" s="10"/>
      <c r="K797" s="12"/>
    </row>
    <row r="798" ht="15.75" customHeight="1">
      <c r="A798" s="3" t="s">
        <v>12</v>
      </c>
      <c r="B798" s="3" t="s">
        <v>82</v>
      </c>
      <c r="C798" s="3" t="s">
        <v>6906</v>
      </c>
      <c r="D798" s="8" t="str">
        <f t="shared" si="1"/>
        <v>Abrir anúncio ↗</v>
      </c>
      <c r="E798" s="9" t="s">
        <v>6907</v>
      </c>
      <c r="F798" s="3" t="s">
        <v>29</v>
      </c>
      <c r="G798" s="9" t="s">
        <v>2390</v>
      </c>
      <c r="H798" s="9" t="s">
        <v>2392</v>
      </c>
      <c r="I798" s="3"/>
      <c r="J798" s="3"/>
      <c r="K798" s="9"/>
    </row>
    <row r="799" ht="15.75" customHeight="1">
      <c r="A799" s="10" t="s">
        <v>12</v>
      </c>
      <c r="B799" s="10" t="s">
        <v>82</v>
      </c>
      <c r="C799" s="10" t="s">
        <v>6909</v>
      </c>
      <c r="D799" s="11" t="str">
        <f t="shared" si="1"/>
        <v>Abrir anúncio ↗</v>
      </c>
      <c r="E799" s="12" t="s">
        <v>6911</v>
      </c>
      <c r="F799" s="10" t="s">
        <v>29</v>
      </c>
      <c r="G799" s="12" t="s">
        <v>2390</v>
      </c>
      <c r="H799" s="12" t="s">
        <v>2392</v>
      </c>
      <c r="I799" s="10"/>
      <c r="J799" s="10"/>
      <c r="K799" s="12"/>
    </row>
    <row r="800" ht="15.75" customHeight="1">
      <c r="A800" s="3" t="s">
        <v>12</v>
      </c>
      <c r="B800" s="3" t="s">
        <v>82</v>
      </c>
      <c r="C800" s="3" t="s">
        <v>6915</v>
      </c>
      <c r="D800" s="8" t="str">
        <f t="shared" si="1"/>
        <v>Abrir anúncio ↗</v>
      </c>
      <c r="E800" s="9" t="s">
        <v>6917</v>
      </c>
      <c r="F800" s="3" t="s">
        <v>29</v>
      </c>
      <c r="G800" s="9" t="s">
        <v>3709</v>
      </c>
      <c r="H800" s="9" t="s">
        <v>4058</v>
      </c>
      <c r="I800" s="3"/>
      <c r="J800" s="3"/>
      <c r="K800" s="9"/>
    </row>
    <row r="801" ht="15.75" customHeight="1">
      <c r="A801" s="10" t="s">
        <v>12</v>
      </c>
      <c r="B801" s="10" t="s">
        <v>82</v>
      </c>
      <c r="C801" s="10" t="s">
        <v>6920</v>
      </c>
      <c r="D801" s="11" t="str">
        <f t="shared" si="1"/>
        <v>Abrir anúncio ↗</v>
      </c>
      <c r="E801" s="12" t="s">
        <v>6921</v>
      </c>
      <c r="F801" s="10" t="s">
        <v>29</v>
      </c>
      <c r="G801" s="12" t="s">
        <v>3422</v>
      </c>
      <c r="H801" s="12" t="s">
        <v>4209</v>
      </c>
      <c r="I801" s="10"/>
      <c r="J801" s="10"/>
      <c r="K801" s="12"/>
    </row>
    <row r="802" ht="15.75" customHeight="1">
      <c r="A802" s="3" t="s">
        <v>12</v>
      </c>
      <c r="B802" s="3" t="s">
        <v>82</v>
      </c>
      <c r="C802" s="3" t="s">
        <v>6927</v>
      </c>
      <c r="D802" s="8" t="str">
        <f t="shared" si="1"/>
        <v>Abrir anúncio ↗</v>
      </c>
      <c r="E802" s="9" t="s">
        <v>6930</v>
      </c>
      <c r="F802" s="3" t="s">
        <v>29</v>
      </c>
      <c r="G802" s="9" t="s">
        <v>4786</v>
      </c>
      <c r="H802" s="9" t="s">
        <v>6595</v>
      </c>
      <c r="I802" s="3"/>
      <c r="J802" s="3"/>
      <c r="K802" s="9"/>
    </row>
    <row r="803" ht="15.75" customHeight="1">
      <c r="A803" s="10" t="s">
        <v>12</v>
      </c>
      <c r="B803" s="10" t="s">
        <v>82</v>
      </c>
      <c r="C803" s="10" t="s">
        <v>6933</v>
      </c>
      <c r="D803" s="11" t="str">
        <f t="shared" si="1"/>
        <v>Abrir anúncio ↗</v>
      </c>
      <c r="E803" s="12" t="s">
        <v>6935</v>
      </c>
      <c r="F803" s="10" t="s">
        <v>29</v>
      </c>
      <c r="G803" s="12" t="s">
        <v>3422</v>
      </c>
      <c r="H803" s="12" t="s">
        <v>6936</v>
      </c>
      <c r="I803" s="10"/>
      <c r="J803" s="10"/>
      <c r="K803" s="12"/>
    </row>
    <row r="804" ht="15.75" customHeight="1">
      <c r="A804" s="3" t="s">
        <v>12</v>
      </c>
      <c r="B804" s="3" t="s">
        <v>82</v>
      </c>
      <c r="C804" s="3" t="s">
        <v>6937</v>
      </c>
      <c r="D804" s="8" t="str">
        <f t="shared" si="1"/>
        <v>Abrir anúncio ↗</v>
      </c>
      <c r="E804" s="9" t="s">
        <v>6939</v>
      </c>
      <c r="F804" s="3" t="s">
        <v>86</v>
      </c>
      <c r="G804" s="9" t="s">
        <v>4786</v>
      </c>
      <c r="H804" s="9" t="s">
        <v>6940</v>
      </c>
      <c r="I804" s="3"/>
      <c r="J804" s="3"/>
      <c r="K804" s="9"/>
    </row>
    <row r="805" ht="15.75" customHeight="1">
      <c r="A805" s="10" t="s">
        <v>12</v>
      </c>
      <c r="B805" s="10" t="s">
        <v>82</v>
      </c>
      <c r="C805" s="10" t="s">
        <v>6943</v>
      </c>
      <c r="D805" s="11" t="str">
        <f t="shared" si="1"/>
        <v>Abrir anúncio ↗</v>
      </c>
      <c r="E805" s="12" t="s">
        <v>6945</v>
      </c>
      <c r="F805" s="10" t="s">
        <v>29</v>
      </c>
      <c r="G805" s="12" t="s">
        <v>3422</v>
      </c>
      <c r="H805" s="12" t="s">
        <v>6947</v>
      </c>
      <c r="I805" s="10"/>
      <c r="J805" s="10"/>
      <c r="K805" s="12"/>
    </row>
    <row r="806" ht="15.75" customHeight="1">
      <c r="A806" s="3" t="s">
        <v>12</v>
      </c>
      <c r="B806" s="3" t="s">
        <v>82</v>
      </c>
      <c r="C806" s="3" t="s">
        <v>6951</v>
      </c>
      <c r="D806" s="8" t="str">
        <f t="shared" si="1"/>
        <v>Abrir anúncio ↗</v>
      </c>
      <c r="E806" s="9" t="s">
        <v>6953</v>
      </c>
      <c r="F806" s="3" t="s">
        <v>29</v>
      </c>
      <c r="G806" s="9" t="s">
        <v>3422</v>
      </c>
      <c r="H806" s="9" t="s">
        <v>6954</v>
      </c>
      <c r="I806" s="3"/>
      <c r="J806" s="3"/>
      <c r="K806" s="9"/>
    </row>
    <row r="807" ht="15.75" customHeight="1">
      <c r="A807" s="10" t="s">
        <v>12</v>
      </c>
      <c r="B807" s="10" t="s">
        <v>82</v>
      </c>
      <c r="C807" s="10" t="s">
        <v>6958</v>
      </c>
      <c r="D807" s="11" t="str">
        <f t="shared" si="1"/>
        <v>Abrir anúncio ↗</v>
      </c>
      <c r="E807" s="12" t="s">
        <v>6959</v>
      </c>
      <c r="F807" s="10" t="s">
        <v>29</v>
      </c>
      <c r="G807" s="12" t="s">
        <v>3685</v>
      </c>
      <c r="H807" s="12" t="s">
        <v>6961</v>
      </c>
      <c r="I807" s="10"/>
      <c r="J807" s="10"/>
      <c r="K807" s="12"/>
    </row>
    <row r="808" ht="15.75" customHeight="1">
      <c r="A808" s="3" t="s">
        <v>12</v>
      </c>
      <c r="B808" s="3" t="s">
        <v>82</v>
      </c>
      <c r="C808" s="3" t="s">
        <v>6963</v>
      </c>
      <c r="D808" s="8" t="str">
        <f t="shared" si="1"/>
        <v>Abrir anúncio ↗</v>
      </c>
      <c r="E808" s="9" t="s">
        <v>6964</v>
      </c>
      <c r="F808" s="3" t="s">
        <v>29</v>
      </c>
      <c r="G808" s="9" t="s">
        <v>3422</v>
      </c>
      <c r="H808" s="9" t="s">
        <v>6936</v>
      </c>
      <c r="I808" s="3"/>
      <c r="J808" s="3"/>
      <c r="K808" s="9"/>
    </row>
    <row r="809" ht="15.75" customHeight="1">
      <c r="A809" s="10" t="s">
        <v>12</v>
      </c>
      <c r="B809" s="10" t="s">
        <v>82</v>
      </c>
      <c r="C809" s="10" t="s">
        <v>6967</v>
      </c>
      <c r="D809" s="11" t="str">
        <f t="shared" si="1"/>
        <v>Abrir anúncio ↗</v>
      </c>
      <c r="E809" s="12" t="s">
        <v>6968</v>
      </c>
      <c r="F809" s="10" t="s">
        <v>29</v>
      </c>
      <c r="G809" s="12" t="s">
        <v>3685</v>
      </c>
      <c r="H809" s="12" t="s">
        <v>4241</v>
      </c>
      <c r="I809" s="10"/>
      <c r="J809" s="10"/>
      <c r="K809" s="12"/>
    </row>
    <row r="810" ht="15.75" customHeight="1">
      <c r="A810" s="3" t="s">
        <v>12</v>
      </c>
      <c r="B810" s="3" t="s">
        <v>82</v>
      </c>
      <c r="C810" s="3" t="s">
        <v>6971</v>
      </c>
      <c r="D810" s="8" t="str">
        <f t="shared" si="1"/>
        <v>Abrir anúncio ↗</v>
      </c>
      <c r="E810" s="9" t="s">
        <v>6973</v>
      </c>
      <c r="F810" s="3" t="s">
        <v>29</v>
      </c>
      <c r="G810" s="9" t="s">
        <v>3422</v>
      </c>
      <c r="H810" s="9" t="s">
        <v>6947</v>
      </c>
      <c r="I810" s="3"/>
      <c r="J810" s="3"/>
      <c r="K810" s="9"/>
    </row>
    <row r="811" ht="15.75" customHeight="1">
      <c r="A811" s="10" t="s">
        <v>12</v>
      </c>
      <c r="B811" s="10" t="s">
        <v>82</v>
      </c>
      <c r="C811" s="10" t="s">
        <v>6977</v>
      </c>
      <c r="D811" s="11" t="str">
        <f t="shared" si="1"/>
        <v>Abrir anúncio ↗</v>
      </c>
      <c r="E811" s="12" t="s">
        <v>6979</v>
      </c>
      <c r="F811" s="10" t="s">
        <v>29</v>
      </c>
      <c r="G811" s="12" t="s">
        <v>3422</v>
      </c>
      <c r="H811" s="12" t="s">
        <v>6981</v>
      </c>
      <c r="I811" s="10"/>
      <c r="J811" s="10"/>
      <c r="K811" s="12"/>
    </row>
    <row r="812" ht="15.75" customHeight="1">
      <c r="A812" s="3" t="s">
        <v>12</v>
      </c>
      <c r="B812" s="3" t="s">
        <v>82</v>
      </c>
      <c r="C812" s="3" t="s">
        <v>6984</v>
      </c>
      <c r="D812" s="8" t="str">
        <f t="shared" si="1"/>
        <v>Abrir anúncio ↗</v>
      </c>
      <c r="E812" s="9" t="s">
        <v>6985</v>
      </c>
      <c r="F812" s="3" t="s">
        <v>29</v>
      </c>
      <c r="G812" s="9" t="s">
        <v>3685</v>
      </c>
      <c r="H812" s="9" t="s">
        <v>4253</v>
      </c>
      <c r="I812" s="3"/>
      <c r="J812" s="3"/>
      <c r="K812" s="9"/>
    </row>
    <row r="813" ht="15.75" customHeight="1">
      <c r="A813" s="10" t="s">
        <v>12</v>
      </c>
      <c r="B813" s="10" t="s">
        <v>82</v>
      </c>
      <c r="C813" s="10" t="s">
        <v>6988</v>
      </c>
      <c r="D813" s="11" t="str">
        <f t="shared" si="1"/>
        <v>Abrir anúncio ↗</v>
      </c>
      <c r="E813" s="12" t="s">
        <v>6989</v>
      </c>
      <c r="F813" s="10" t="s">
        <v>86</v>
      </c>
      <c r="G813" s="12" t="s">
        <v>4786</v>
      </c>
      <c r="H813" s="12" t="s">
        <v>6990</v>
      </c>
      <c r="I813" s="10"/>
      <c r="J813" s="10"/>
      <c r="K813" s="12"/>
    </row>
    <row r="814" ht="15.75" customHeight="1">
      <c r="A814" s="3" t="s">
        <v>12</v>
      </c>
      <c r="B814" s="3" t="s">
        <v>82</v>
      </c>
      <c r="C814" s="3" t="s">
        <v>6993</v>
      </c>
      <c r="D814" s="8" t="str">
        <f t="shared" si="1"/>
        <v>Abrir anúncio ↗</v>
      </c>
      <c r="E814" s="9" t="s">
        <v>6994</v>
      </c>
      <c r="F814" s="3" t="s">
        <v>86</v>
      </c>
      <c r="G814" s="9" t="s">
        <v>5528</v>
      </c>
      <c r="H814" s="9" t="s">
        <v>6996</v>
      </c>
      <c r="I814" s="3"/>
      <c r="J814" s="3"/>
      <c r="K814" s="9"/>
    </row>
    <row r="815" ht="15.75" customHeight="1">
      <c r="A815" s="10" t="s">
        <v>12</v>
      </c>
      <c r="B815" s="10" t="s">
        <v>82</v>
      </c>
      <c r="C815" s="10" t="s">
        <v>7001</v>
      </c>
      <c r="D815" s="11" t="str">
        <f t="shared" si="1"/>
        <v>Abrir anúncio ↗</v>
      </c>
      <c r="E815" s="12" t="s">
        <v>7002</v>
      </c>
      <c r="F815" s="10" t="s">
        <v>29</v>
      </c>
      <c r="G815" s="12" t="s">
        <v>3709</v>
      </c>
      <c r="H815" s="12" t="s">
        <v>3999</v>
      </c>
      <c r="I815" s="10"/>
      <c r="J815" s="10"/>
      <c r="K815" s="12"/>
    </row>
    <row r="816" ht="15.75" customHeight="1">
      <c r="A816" s="3" t="s">
        <v>12</v>
      </c>
      <c r="B816" s="3" t="s">
        <v>82</v>
      </c>
      <c r="C816" s="3" t="s">
        <v>7005</v>
      </c>
      <c r="D816" s="8" t="str">
        <f t="shared" si="1"/>
        <v>Abrir anúncio ↗</v>
      </c>
      <c r="E816" s="9" t="s">
        <v>7007</v>
      </c>
      <c r="F816" s="3" t="s">
        <v>29</v>
      </c>
      <c r="G816" s="9" t="s">
        <v>3709</v>
      </c>
      <c r="H816" s="9" t="s">
        <v>4075</v>
      </c>
      <c r="I816" s="3"/>
      <c r="J816" s="3"/>
      <c r="K816" s="9"/>
    </row>
    <row r="817" ht="15.75" customHeight="1">
      <c r="A817" s="10" t="s">
        <v>12</v>
      </c>
      <c r="B817" s="10" t="s">
        <v>82</v>
      </c>
      <c r="C817" s="10" t="s">
        <v>7012</v>
      </c>
      <c r="D817" s="11" t="str">
        <f t="shared" si="1"/>
        <v>Abrir anúncio ↗</v>
      </c>
      <c r="E817" s="12" t="s">
        <v>7014</v>
      </c>
      <c r="F817" s="10" t="s">
        <v>29</v>
      </c>
      <c r="G817" s="12" t="s">
        <v>5946</v>
      </c>
      <c r="H817" s="12" t="s">
        <v>5948</v>
      </c>
      <c r="I817" s="10"/>
      <c r="J817" s="10"/>
      <c r="K817" s="12"/>
    </row>
    <row r="818" ht="15.75" customHeight="1">
      <c r="A818" s="3" t="s">
        <v>12</v>
      </c>
      <c r="B818" s="3" t="s">
        <v>82</v>
      </c>
      <c r="C818" s="3" t="s">
        <v>7016</v>
      </c>
      <c r="D818" s="8" t="str">
        <f t="shared" si="1"/>
        <v>Abrir anúncio ↗</v>
      </c>
      <c r="E818" s="9" t="s">
        <v>7018</v>
      </c>
      <c r="F818" s="3" t="s">
        <v>29</v>
      </c>
      <c r="G818" s="9" t="s">
        <v>2390</v>
      </c>
      <c r="H818" s="9" t="s">
        <v>2392</v>
      </c>
      <c r="I818" s="3"/>
      <c r="J818" s="3"/>
      <c r="K818" s="9"/>
    </row>
    <row r="819" ht="15.75" customHeight="1">
      <c r="A819" s="10" t="s">
        <v>12</v>
      </c>
      <c r="B819" s="10" t="s">
        <v>82</v>
      </c>
      <c r="C819" s="10" t="s">
        <v>7022</v>
      </c>
      <c r="D819" s="11" t="str">
        <f t="shared" si="1"/>
        <v>Abrir anúncio ↗</v>
      </c>
      <c r="E819" s="12" t="s">
        <v>7024</v>
      </c>
      <c r="F819" s="10" t="s">
        <v>29</v>
      </c>
      <c r="G819" s="12" t="s">
        <v>3709</v>
      </c>
      <c r="H819" s="12" t="s">
        <v>3725</v>
      </c>
      <c r="I819" s="10"/>
      <c r="J819" s="10"/>
      <c r="K819" s="12"/>
    </row>
    <row r="820" ht="15.75" customHeight="1">
      <c r="A820" s="3" t="s">
        <v>12</v>
      </c>
      <c r="B820" s="3" t="s">
        <v>82</v>
      </c>
      <c r="C820" s="3" t="s">
        <v>7028</v>
      </c>
      <c r="D820" s="8" t="str">
        <f t="shared" si="1"/>
        <v>Abrir anúncio ↗</v>
      </c>
      <c r="E820" s="9" t="s">
        <v>7029</v>
      </c>
      <c r="F820" s="3" t="s">
        <v>29</v>
      </c>
      <c r="G820" s="9" t="s">
        <v>3709</v>
      </c>
      <c r="H820" s="9" t="s">
        <v>3904</v>
      </c>
      <c r="I820" s="3"/>
      <c r="J820" s="3"/>
      <c r="K820" s="9"/>
    </row>
    <row r="821" ht="15.75" customHeight="1">
      <c r="A821" s="10" t="s">
        <v>12</v>
      </c>
      <c r="B821" s="10" t="s">
        <v>82</v>
      </c>
      <c r="C821" s="10" t="s">
        <v>7033</v>
      </c>
      <c r="D821" s="11" t="str">
        <f t="shared" si="1"/>
        <v>Abrir anúncio ↗</v>
      </c>
      <c r="E821" s="12" t="s">
        <v>7034</v>
      </c>
      <c r="F821" s="10" t="s">
        <v>29</v>
      </c>
      <c r="G821" s="12" t="s">
        <v>3709</v>
      </c>
      <c r="H821" s="12" t="s">
        <v>4075</v>
      </c>
      <c r="I821" s="10"/>
      <c r="J821" s="10"/>
      <c r="K821" s="12"/>
    </row>
    <row r="822" ht="15.75" customHeight="1">
      <c r="A822" s="3" t="s">
        <v>12</v>
      </c>
      <c r="B822" s="3" t="s">
        <v>82</v>
      </c>
      <c r="C822" s="3" t="s">
        <v>7037</v>
      </c>
      <c r="D822" s="8" t="str">
        <f t="shared" si="1"/>
        <v>Abrir anúncio ↗</v>
      </c>
      <c r="E822" s="9" t="s">
        <v>7038</v>
      </c>
      <c r="F822" s="3" t="s">
        <v>29</v>
      </c>
      <c r="G822" s="9" t="s">
        <v>2390</v>
      </c>
      <c r="H822" s="9" t="s">
        <v>2392</v>
      </c>
      <c r="I822" s="3"/>
      <c r="J822" s="3"/>
      <c r="K822" s="9"/>
    </row>
    <row r="823" ht="15.75" customHeight="1">
      <c r="A823" s="10" t="s">
        <v>12</v>
      </c>
      <c r="B823" s="10" t="s">
        <v>82</v>
      </c>
      <c r="C823" s="10" t="s">
        <v>7020</v>
      </c>
      <c r="D823" s="11" t="str">
        <f t="shared" si="1"/>
        <v>Abrir anúncio ↗</v>
      </c>
      <c r="E823" s="12" t="s">
        <v>7019</v>
      </c>
      <c r="F823" s="10" t="s">
        <v>29</v>
      </c>
      <c r="G823" s="12" t="s">
        <v>2390</v>
      </c>
      <c r="H823" s="12" t="s">
        <v>2392</v>
      </c>
      <c r="I823" s="10"/>
      <c r="J823" s="10"/>
      <c r="K823" s="12"/>
    </row>
    <row r="824" ht="15.75" customHeight="1">
      <c r="A824" s="3" t="s">
        <v>12</v>
      </c>
      <c r="B824" s="3" t="s">
        <v>82</v>
      </c>
      <c r="C824" s="3" t="s">
        <v>7045</v>
      </c>
      <c r="D824" s="8" t="str">
        <f t="shared" si="1"/>
        <v>Abrir anúncio ↗</v>
      </c>
      <c r="E824" s="9" t="s">
        <v>7046</v>
      </c>
      <c r="F824" s="3" t="s">
        <v>29</v>
      </c>
      <c r="G824" s="9" t="s">
        <v>3709</v>
      </c>
      <c r="H824" s="9" t="s">
        <v>4058</v>
      </c>
      <c r="I824" s="3"/>
      <c r="J824" s="3"/>
      <c r="K824" s="9"/>
    </row>
    <row r="825" ht="15.75" customHeight="1">
      <c r="A825" s="10" t="s">
        <v>12</v>
      </c>
      <c r="B825" s="10" t="s">
        <v>82</v>
      </c>
      <c r="C825" s="10" t="s">
        <v>7049</v>
      </c>
      <c r="D825" s="11" t="str">
        <f t="shared" si="1"/>
        <v>Abrir anúncio ↗</v>
      </c>
      <c r="E825" s="12" t="s">
        <v>7050</v>
      </c>
      <c r="F825" s="10" t="s">
        <v>29</v>
      </c>
      <c r="G825" s="12" t="s">
        <v>3709</v>
      </c>
      <c r="H825" s="12" t="s">
        <v>4443</v>
      </c>
      <c r="I825" s="10"/>
      <c r="J825" s="10"/>
      <c r="K825" s="12"/>
    </row>
    <row r="826" ht="15.75" customHeight="1">
      <c r="A826" s="3" t="s">
        <v>12</v>
      </c>
      <c r="B826" s="3" t="s">
        <v>82</v>
      </c>
      <c r="C826" s="3" t="s">
        <v>7053</v>
      </c>
      <c r="D826" s="8" t="str">
        <f t="shared" si="1"/>
        <v>Abrir anúncio ↗</v>
      </c>
      <c r="E826" s="9" t="s">
        <v>7054</v>
      </c>
      <c r="F826" s="3" t="s">
        <v>29</v>
      </c>
      <c r="G826" s="9" t="s">
        <v>99</v>
      </c>
      <c r="H826" s="9" t="s">
        <v>143</v>
      </c>
      <c r="I826" s="3"/>
      <c r="J826" s="3"/>
      <c r="K826" s="9"/>
    </row>
    <row r="827" ht="15.75" customHeight="1">
      <c r="A827" s="10" t="s">
        <v>12</v>
      </c>
      <c r="B827" s="10" t="s">
        <v>82</v>
      </c>
      <c r="C827" s="10" t="s">
        <v>7058</v>
      </c>
      <c r="D827" s="11" t="str">
        <f t="shared" si="1"/>
        <v>Abrir anúncio ↗</v>
      </c>
      <c r="E827" s="12" t="s">
        <v>7060</v>
      </c>
      <c r="F827" s="10" t="s">
        <v>29</v>
      </c>
      <c r="G827" s="12" t="s">
        <v>3709</v>
      </c>
      <c r="H827" s="12" t="s">
        <v>4129</v>
      </c>
      <c r="I827" s="10"/>
      <c r="J827" s="10"/>
      <c r="K827" s="12"/>
    </row>
    <row r="828" ht="15.75" customHeight="1">
      <c r="A828" s="3" t="s">
        <v>12</v>
      </c>
      <c r="B828" s="3" t="s">
        <v>82</v>
      </c>
      <c r="C828" s="3" t="s">
        <v>7063</v>
      </c>
      <c r="D828" s="8" t="str">
        <f t="shared" si="1"/>
        <v>Abrir anúncio ↗</v>
      </c>
      <c r="E828" s="9" t="s">
        <v>7065</v>
      </c>
      <c r="F828" s="3" t="s">
        <v>29</v>
      </c>
      <c r="G828" s="9" t="s">
        <v>2390</v>
      </c>
      <c r="H828" s="9" t="s">
        <v>2392</v>
      </c>
      <c r="I828" s="3"/>
      <c r="J828" s="3"/>
      <c r="K828" s="9"/>
    </row>
    <row r="829" ht="15.75" customHeight="1">
      <c r="A829" s="10" t="s">
        <v>12</v>
      </c>
      <c r="B829" s="10" t="s">
        <v>82</v>
      </c>
      <c r="C829" s="10" t="s">
        <v>7067</v>
      </c>
      <c r="D829" s="11" t="str">
        <f t="shared" si="1"/>
        <v>Abrir anúncio ↗</v>
      </c>
      <c r="E829" s="12" t="s">
        <v>7069</v>
      </c>
      <c r="F829" s="10" t="s">
        <v>29</v>
      </c>
      <c r="G829" s="12" t="s">
        <v>3709</v>
      </c>
      <c r="H829" s="12" t="s">
        <v>4146</v>
      </c>
      <c r="I829" s="10"/>
      <c r="J829" s="10"/>
      <c r="K829" s="12"/>
    </row>
    <row r="830" ht="15.75" customHeight="1">
      <c r="A830" s="3" t="s">
        <v>12</v>
      </c>
      <c r="B830" s="3" t="s">
        <v>82</v>
      </c>
      <c r="C830" s="3" t="s">
        <v>7071</v>
      </c>
      <c r="D830" s="8" t="str">
        <f t="shared" si="1"/>
        <v>Abrir anúncio ↗</v>
      </c>
      <c r="E830" s="9" t="s">
        <v>7073</v>
      </c>
      <c r="F830" s="3" t="s">
        <v>29</v>
      </c>
      <c r="G830" s="9" t="s">
        <v>2390</v>
      </c>
      <c r="H830" s="9" t="s">
        <v>2392</v>
      </c>
      <c r="I830" s="3"/>
      <c r="J830" s="3"/>
      <c r="K830" s="9"/>
    </row>
    <row r="831" ht="15.75" customHeight="1">
      <c r="A831" s="10" t="s">
        <v>12</v>
      </c>
      <c r="B831" s="10" t="s">
        <v>82</v>
      </c>
      <c r="C831" s="10" t="s">
        <v>7076</v>
      </c>
      <c r="D831" s="11" t="str">
        <f t="shared" si="1"/>
        <v>Abrir anúncio ↗</v>
      </c>
      <c r="E831" s="12" t="s">
        <v>7077</v>
      </c>
      <c r="F831" s="10" t="s">
        <v>29</v>
      </c>
      <c r="G831" s="12" t="s">
        <v>2390</v>
      </c>
      <c r="H831" s="12" t="s">
        <v>2392</v>
      </c>
      <c r="I831" s="10"/>
      <c r="J831" s="10"/>
      <c r="K831" s="12"/>
    </row>
    <row r="832" ht="15.75" customHeight="1">
      <c r="A832" s="3" t="s">
        <v>12</v>
      </c>
      <c r="B832" s="3" t="s">
        <v>82</v>
      </c>
      <c r="C832" s="3" t="s">
        <v>7080</v>
      </c>
      <c r="D832" s="8" t="str">
        <f t="shared" si="1"/>
        <v>Abrir anúncio ↗</v>
      </c>
      <c r="E832" s="9" t="s">
        <v>7082</v>
      </c>
      <c r="F832" s="3" t="s">
        <v>29</v>
      </c>
      <c r="G832" s="9" t="s">
        <v>3709</v>
      </c>
      <c r="H832" s="9" t="s">
        <v>3999</v>
      </c>
      <c r="I832" s="3"/>
      <c r="J832" s="3"/>
      <c r="K832" s="9"/>
    </row>
    <row r="833" ht="15.75" customHeight="1">
      <c r="A833" s="10" t="s">
        <v>12</v>
      </c>
      <c r="B833" s="10" t="s">
        <v>82</v>
      </c>
      <c r="C833" s="10" t="s">
        <v>7086</v>
      </c>
      <c r="D833" s="11" t="str">
        <f t="shared" si="1"/>
        <v>Abrir anúncio ↗</v>
      </c>
      <c r="E833" s="12" t="s">
        <v>7087</v>
      </c>
      <c r="F833" s="10" t="s">
        <v>29</v>
      </c>
      <c r="G833" s="12" t="s">
        <v>3709</v>
      </c>
      <c r="H833" s="12" t="s">
        <v>4141</v>
      </c>
      <c r="I833" s="10"/>
      <c r="J833" s="10"/>
      <c r="K833" s="12"/>
    </row>
    <row r="834" ht="15.75" customHeight="1">
      <c r="A834" s="3" t="s">
        <v>12</v>
      </c>
      <c r="B834" s="3" t="s">
        <v>82</v>
      </c>
      <c r="C834" s="3" t="s">
        <v>7089</v>
      </c>
      <c r="D834" s="8" t="str">
        <f t="shared" si="1"/>
        <v>Abrir anúncio ↗</v>
      </c>
      <c r="E834" s="9" t="s">
        <v>7090</v>
      </c>
      <c r="F834" s="3" t="s">
        <v>29</v>
      </c>
      <c r="G834" s="9" t="s">
        <v>3709</v>
      </c>
      <c r="H834" s="9" t="s">
        <v>3712</v>
      </c>
      <c r="I834" s="3"/>
      <c r="J834" s="3"/>
      <c r="K834" s="9"/>
    </row>
    <row r="835" ht="15.75" customHeight="1">
      <c r="A835" s="10" t="s">
        <v>12</v>
      </c>
      <c r="B835" s="10" t="s">
        <v>82</v>
      </c>
      <c r="C835" s="10" t="s">
        <v>7093</v>
      </c>
      <c r="D835" s="11" t="str">
        <f t="shared" si="1"/>
        <v>Abrir anúncio ↗</v>
      </c>
      <c r="E835" s="12" t="s">
        <v>7094</v>
      </c>
      <c r="F835" s="10" t="s">
        <v>29</v>
      </c>
      <c r="G835" s="12" t="s">
        <v>3709</v>
      </c>
      <c r="H835" s="12" t="s">
        <v>3904</v>
      </c>
      <c r="I835" s="10"/>
      <c r="J835" s="10"/>
      <c r="K835" s="12"/>
    </row>
    <row r="836" ht="15.75" customHeight="1">
      <c r="A836" s="3" t="s">
        <v>12</v>
      </c>
      <c r="B836" s="3" t="s">
        <v>82</v>
      </c>
      <c r="C836" s="3" t="s">
        <v>7096</v>
      </c>
      <c r="D836" s="8" t="str">
        <f t="shared" si="1"/>
        <v>Abrir anúncio ↗</v>
      </c>
      <c r="E836" s="9" t="s">
        <v>7097</v>
      </c>
      <c r="F836" s="3" t="s">
        <v>29</v>
      </c>
      <c r="G836" s="9" t="s">
        <v>3709</v>
      </c>
      <c r="H836" s="9" t="s">
        <v>3725</v>
      </c>
      <c r="I836" s="3"/>
      <c r="J836" s="3"/>
      <c r="K836" s="9"/>
    </row>
    <row r="837" ht="15.75" customHeight="1">
      <c r="A837" s="10" t="s">
        <v>12</v>
      </c>
      <c r="B837" s="10" t="s">
        <v>82</v>
      </c>
      <c r="C837" s="10" t="s">
        <v>7100</v>
      </c>
      <c r="D837" s="11" t="str">
        <f t="shared" si="1"/>
        <v>Abrir anúncio ↗</v>
      </c>
      <c r="E837" s="12" t="s">
        <v>7102</v>
      </c>
      <c r="F837" s="10" t="s">
        <v>29</v>
      </c>
      <c r="G837" s="12" t="s">
        <v>2390</v>
      </c>
      <c r="H837" s="12" t="s">
        <v>2392</v>
      </c>
      <c r="I837" s="10"/>
      <c r="J837" s="10"/>
      <c r="K837" s="12"/>
    </row>
    <row r="838" ht="15.75" customHeight="1">
      <c r="A838" s="3" t="s">
        <v>12</v>
      </c>
      <c r="B838" s="3" t="s">
        <v>82</v>
      </c>
      <c r="C838" s="3" t="s">
        <v>7104</v>
      </c>
      <c r="D838" s="8" t="str">
        <f t="shared" si="1"/>
        <v>Abrir anúncio ↗</v>
      </c>
      <c r="E838" s="9" t="s">
        <v>7108</v>
      </c>
      <c r="F838" s="3" t="s">
        <v>29</v>
      </c>
      <c r="G838" s="9" t="s">
        <v>2390</v>
      </c>
      <c r="H838" s="9" t="s">
        <v>2392</v>
      </c>
      <c r="I838" s="3"/>
      <c r="J838" s="3"/>
      <c r="K838" s="9"/>
    </row>
    <row r="839" ht="15.75" customHeight="1">
      <c r="A839" s="10" t="s">
        <v>12</v>
      </c>
      <c r="B839" s="10" t="s">
        <v>82</v>
      </c>
      <c r="C839" s="10" t="s">
        <v>7111</v>
      </c>
      <c r="D839" s="11" t="str">
        <f t="shared" si="1"/>
        <v>Abrir anúncio ↗</v>
      </c>
      <c r="E839" s="12" t="s">
        <v>7113</v>
      </c>
      <c r="F839" s="10" t="s">
        <v>29</v>
      </c>
      <c r="G839" s="12" t="s">
        <v>3709</v>
      </c>
      <c r="H839" s="12" t="s">
        <v>4284</v>
      </c>
      <c r="I839" s="10"/>
      <c r="J839" s="10"/>
      <c r="K839" s="12"/>
    </row>
    <row r="840" ht="15.75" customHeight="1">
      <c r="A840" s="3" t="s">
        <v>12</v>
      </c>
      <c r="B840" s="3" t="s">
        <v>82</v>
      </c>
      <c r="C840" s="3" t="s">
        <v>7115</v>
      </c>
      <c r="D840" s="8" t="str">
        <f t="shared" si="1"/>
        <v>Abrir anúncio ↗</v>
      </c>
      <c r="E840" s="9" t="s">
        <v>7117</v>
      </c>
      <c r="F840" s="3" t="s">
        <v>29</v>
      </c>
      <c r="G840" s="9" t="s">
        <v>2390</v>
      </c>
      <c r="H840" s="9" t="s">
        <v>2392</v>
      </c>
      <c r="I840" s="3"/>
      <c r="J840" s="3"/>
      <c r="K840" s="9"/>
    </row>
    <row r="841" ht="15.75" customHeight="1">
      <c r="A841" s="10" t="s">
        <v>12</v>
      </c>
      <c r="B841" s="10" t="s">
        <v>82</v>
      </c>
      <c r="C841" s="10" t="s">
        <v>7119</v>
      </c>
      <c r="D841" s="11" t="str">
        <f t="shared" si="1"/>
        <v>Abrir anúncio ↗</v>
      </c>
      <c r="E841" s="12" t="s">
        <v>7121</v>
      </c>
      <c r="F841" s="10" t="s">
        <v>29</v>
      </c>
      <c r="G841" s="12" t="s">
        <v>3709</v>
      </c>
      <c r="H841" s="12" t="s">
        <v>4141</v>
      </c>
      <c r="I841" s="10"/>
      <c r="J841" s="10"/>
      <c r="K841" s="12"/>
    </row>
    <row r="842" ht="15.75" customHeight="1">
      <c r="A842" s="3" t="s">
        <v>12</v>
      </c>
      <c r="B842" s="3" t="s">
        <v>82</v>
      </c>
      <c r="C842" s="3" t="s">
        <v>7123</v>
      </c>
      <c r="D842" s="8" t="str">
        <f t="shared" si="1"/>
        <v>Abrir anúncio ↗</v>
      </c>
      <c r="E842" s="9" t="s">
        <v>7125</v>
      </c>
      <c r="F842" s="3" t="s">
        <v>29</v>
      </c>
      <c r="G842" s="9" t="s">
        <v>3709</v>
      </c>
      <c r="H842" s="9" t="s">
        <v>3712</v>
      </c>
      <c r="I842" s="3"/>
      <c r="J842" s="3"/>
      <c r="K842" s="9"/>
    </row>
    <row r="843" ht="15.75" customHeight="1">
      <c r="A843" s="10" t="s">
        <v>12</v>
      </c>
      <c r="B843" s="10" t="s">
        <v>82</v>
      </c>
      <c r="C843" s="10" t="s">
        <v>7131</v>
      </c>
      <c r="D843" s="11" t="str">
        <f t="shared" si="1"/>
        <v>Abrir anúncio ↗</v>
      </c>
      <c r="E843" s="12" t="s">
        <v>7133</v>
      </c>
      <c r="F843" s="10" t="s">
        <v>29</v>
      </c>
      <c r="G843" s="12" t="s">
        <v>3709</v>
      </c>
      <c r="H843" s="12" t="s">
        <v>4141</v>
      </c>
      <c r="I843" s="10"/>
      <c r="J843" s="10"/>
      <c r="K843" s="12"/>
    </row>
    <row r="844" ht="15.75" customHeight="1">
      <c r="A844" s="3" t="s">
        <v>12</v>
      </c>
      <c r="B844" s="3" t="s">
        <v>82</v>
      </c>
      <c r="C844" s="3" t="s">
        <v>7137</v>
      </c>
      <c r="D844" s="8" t="str">
        <f t="shared" si="1"/>
        <v>Abrir anúncio ↗</v>
      </c>
      <c r="E844" s="9" t="s">
        <v>7140</v>
      </c>
      <c r="F844" s="3" t="s">
        <v>29</v>
      </c>
      <c r="G844" s="9" t="s">
        <v>3709</v>
      </c>
      <c r="H844" s="9" t="s">
        <v>4245</v>
      </c>
      <c r="I844" s="3"/>
      <c r="J844" s="3"/>
      <c r="K844" s="9"/>
    </row>
    <row r="845" ht="15.75" customHeight="1">
      <c r="A845" s="10" t="s">
        <v>12</v>
      </c>
      <c r="B845" s="10" t="s">
        <v>82</v>
      </c>
      <c r="C845" s="10" t="s">
        <v>7143</v>
      </c>
      <c r="D845" s="11" t="str">
        <f t="shared" si="1"/>
        <v>Abrir anúncio ↗</v>
      </c>
      <c r="E845" s="12" t="s">
        <v>7144</v>
      </c>
      <c r="F845" s="10" t="s">
        <v>29</v>
      </c>
      <c r="G845" s="12" t="s">
        <v>3709</v>
      </c>
      <c r="H845" s="12" t="s">
        <v>3725</v>
      </c>
      <c r="I845" s="10"/>
      <c r="J845" s="10"/>
      <c r="K845" s="12"/>
    </row>
    <row r="846" ht="15.75" customHeight="1">
      <c r="A846" s="3" t="s">
        <v>12</v>
      </c>
      <c r="B846" s="3" t="s">
        <v>82</v>
      </c>
      <c r="C846" s="3" t="s">
        <v>7148</v>
      </c>
      <c r="D846" s="8" t="str">
        <f t="shared" si="1"/>
        <v>Abrir anúncio ↗</v>
      </c>
      <c r="E846" s="9" t="s">
        <v>7151</v>
      </c>
      <c r="F846" s="3" t="s">
        <v>29</v>
      </c>
      <c r="G846" s="9" t="s">
        <v>3709</v>
      </c>
      <c r="H846" s="9" t="s">
        <v>4141</v>
      </c>
      <c r="I846" s="3"/>
      <c r="J846" s="3"/>
      <c r="K846" s="9"/>
    </row>
    <row r="847" ht="15.75" customHeight="1">
      <c r="A847" s="10" t="s">
        <v>12</v>
      </c>
      <c r="B847" s="10" t="s">
        <v>82</v>
      </c>
      <c r="C847" s="10" t="s">
        <v>7153</v>
      </c>
      <c r="D847" s="11" t="str">
        <f t="shared" si="1"/>
        <v>Abrir anúncio ↗</v>
      </c>
      <c r="E847" s="12" t="s">
        <v>7155</v>
      </c>
      <c r="F847" s="10" t="s">
        <v>29</v>
      </c>
      <c r="G847" s="12" t="s">
        <v>3709</v>
      </c>
      <c r="H847" s="12" t="s">
        <v>4146</v>
      </c>
      <c r="I847" s="10"/>
      <c r="J847" s="10"/>
      <c r="K847" s="12"/>
    </row>
    <row r="848" ht="15.75" customHeight="1">
      <c r="A848" s="3" t="s">
        <v>12</v>
      </c>
      <c r="B848" s="3" t="s">
        <v>82</v>
      </c>
      <c r="C848" s="3" t="s">
        <v>7160</v>
      </c>
      <c r="D848" s="8" t="str">
        <f t="shared" si="1"/>
        <v>Abrir anúncio ↗</v>
      </c>
      <c r="E848" s="9" t="s">
        <v>7162</v>
      </c>
      <c r="F848" s="3" t="s">
        <v>29</v>
      </c>
      <c r="G848" s="9" t="s">
        <v>3422</v>
      </c>
      <c r="H848" s="9" t="s">
        <v>7163</v>
      </c>
      <c r="I848" s="3"/>
      <c r="J848" s="3"/>
      <c r="K848" s="9"/>
    </row>
    <row r="849" ht="15.75" customHeight="1">
      <c r="A849" s="10" t="s">
        <v>12</v>
      </c>
      <c r="B849" s="10" t="s">
        <v>82</v>
      </c>
      <c r="C849" s="10" t="s">
        <v>7168</v>
      </c>
      <c r="D849" s="11" t="str">
        <f t="shared" si="1"/>
        <v>Abrir anúncio ↗</v>
      </c>
      <c r="E849" s="12" t="s">
        <v>7169</v>
      </c>
      <c r="F849" s="10" t="s">
        <v>29</v>
      </c>
      <c r="G849" s="12" t="s">
        <v>3709</v>
      </c>
      <c r="H849" s="12" t="s">
        <v>4004</v>
      </c>
      <c r="I849" s="10"/>
      <c r="J849" s="10"/>
      <c r="K849" s="12"/>
    </row>
    <row r="850" ht="15.75" customHeight="1">
      <c r="A850" s="3" t="s">
        <v>12</v>
      </c>
      <c r="B850" s="3" t="s">
        <v>82</v>
      </c>
      <c r="C850" s="3" t="s">
        <v>7171</v>
      </c>
      <c r="D850" s="8" t="str">
        <f t="shared" si="1"/>
        <v>Abrir anúncio ↗</v>
      </c>
      <c r="E850" s="9" t="s">
        <v>7173</v>
      </c>
      <c r="F850" s="3" t="s">
        <v>29</v>
      </c>
      <c r="G850" s="9" t="s">
        <v>2390</v>
      </c>
      <c r="H850" s="9" t="s">
        <v>2392</v>
      </c>
      <c r="I850" s="3"/>
      <c r="J850" s="3"/>
      <c r="K850" s="9"/>
    </row>
    <row r="851" ht="15.75" customHeight="1">
      <c r="A851" s="10" t="s">
        <v>12</v>
      </c>
      <c r="B851" s="10" t="s">
        <v>82</v>
      </c>
      <c r="C851" s="10" t="s">
        <v>7176</v>
      </c>
      <c r="D851" s="11" t="str">
        <f t="shared" si="1"/>
        <v>Abrir anúncio ↗</v>
      </c>
      <c r="E851" s="12" t="s">
        <v>7178</v>
      </c>
      <c r="F851" s="10" t="s">
        <v>29</v>
      </c>
      <c r="G851" s="12" t="s">
        <v>6220</v>
      </c>
      <c r="H851" s="12" t="s">
        <v>7179</v>
      </c>
      <c r="I851" s="10"/>
      <c r="J851" s="10"/>
      <c r="K851" s="12"/>
    </row>
    <row r="852" ht="15.75" customHeight="1">
      <c r="A852" s="3" t="s">
        <v>12</v>
      </c>
      <c r="B852" s="3" t="s">
        <v>82</v>
      </c>
      <c r="C852" s="3" t="s">
        <v>7181</v>
      </c>
      <c r="D852" s="8" t="str">
        <f t="shared" si="1"/>
        <v>Abrir anúncio ↗</v>
      </c>
      <c r="E852" s="9" t="s">
        <v>7183</v>
      </c>
      <c r="F852" s="3" t="s">
        <v>29</v>
      </c>
      <c r="G852" s="9" t="s">
        <v>2390</v>
      </c>
      <c r="H852" s="9" t="s">
        <v>2392</v>
      </c>
      <c r="I852" s="3"/>
      <c r="J852" s="3"/>
      <c r="K852" s="9"/>
    </row>
    <row r="853" ht="15.75" customHeight="1">
      <c r="A853" s="10" t="s">
        <v>12</v>
      </c>
      <c r="B853" s="10" t="s">
        <v>82</v>
      </c>
      <c r="C853" s="10" t="s">
        <v>7188</v>
      </c>
      <c r="D853" s="11" t="str">
        <f t="shared" si="1"/>
        <v>Abrir anúncio ↗</v>
      </c>
      <c r="E853" s="12" t="s">
        <v>7189</v>
      </c>
      <c r="F853" s="10" t="s">
        <v>29</v>
      </c>
      <c r="G853" s="12" t="s">
        <v>2390</v>
      </c>
      <c r="H853" s="12" t="s">
        <v>2392</v>
      </c>
      <c r="I853" s="10"/>
      <c r="J853" s="10"/>
      <c r="K853" s="12"/>
    </row>
    <row r="854" ht="15.75" customHeight="1">
      <c r="A854" s="3" t="s">
        <v>12</v>
      </c>
      <c r="B854" s="3" t="s">
        <v>82</v>
      </c>
      <c r="C854" s="3" t="s">
        <v>7192</v>
      </c>
      <c r="D854" s="8" t="str">
        <f t="shared" si="1"/>
        <v>Abrir anúncio ↗</v>
      </c>
      <c r="E854" s="9" t="s">
        <v>7193</v>
      </c>
      <c r="F854" s="3" t="s">
        <v>29</v>
      </c>
      <c r="G854" s="9" t="s">
        <v>6220</v>
      </c>
      <c r="H854" s="9" t="s">
        <v>7197</v>
      </c>
      <c r="I854" s="3"/>
      <c r="J854" s="3"/>
      <c r="K854" s="9"/>
    </row>
    <row r="855" ht="15.75" customHeight="1">
      <c r="A855" s="10" t="s">
        <v>12</v>
      </c>
      <c r="B855" s="10" t="s">
        <v>82</v>
      </c>
      <c r="C855" s="10" t="s">
        <v>7198</v>
      </c>
      <c r="D855" s="11" t="str">
        <f t="shared" si="1"/>
        <v>Abrir anúncio ↗</v>
      </c>
      <c r="E855" s="12" t="s">
        <v>7200</v>
      </c>
      <c r="F855" s="10" t="s">
        <v>29</v>
      </c>
      <c r="G855" s="12" t="s">
        <v>3709</v>
      </c>
      <c r="H855" s="12" t="s">
        <v>4058</v>
      </c>
      <c r="I855" s="10"/>
      <c r="J855" s="10"/>
      <c r="K855" s="12"/>
    </row>
    <row r="856" ht="15.75" customHeight="1">
      <c r="A856" s="3" t="s">
        <v>12</v>
      </c>
      <c r="B856" s="3" t="s">
        <v>82</v>
      </c>
      <c r="C856" s="3" t="s">
        <v>7204</v>
      </c>
      <c r="D856" s="8" t="str">
        <f t="shared" si="1"/>
        <v>Abrir anúncio ↗</v>
      </c>
      <c r="E856" s="9" t="s">
        <v>7205</v>
      </c>
      <c r="F856" s="3" t="s">
        <v>29</v>
      </c>
      <c r="G856" s="9" t="s">
        <v>3709</v>
      </c>
      <c r="H856" s="9" t="s">
        <v>4284</v>
      </c>
      <c r="I856" s="3"/>
      <c r="J856" s="3"/>
      <c r="K856" s="9"/>
    </row>
    <row r="857" ht="15.75" customHeight="1">
      <c r="A857" s="10" t="s">
        <v>12</v>
      </c>
      <c r="B857" s="10" t="s">
        <v>82</v>
      </c>
      <c r="C857" s="10" t="s">
        <v>7208</v>
      </c>
      <c r="D857" s="11" t="str">
        <f t="shared" si="1"/>
        <v>Abrir anúncio ↗</v>
      </c>
      <c r="E857" s="12" t="s">
        <v>7211</v>
      </c>
      <c r="F857" s="10" t="s">
        <v>29</v>
      </c>
      <c r="G857" s="12" t="s">
        <v>6220</v>
      </c>
      <c r="H857" s="12" t="s">
        <v>7212</v>
      </c>
      <c r="I857" s="10"/>
      <c r="J857" s="10"/>
      <c r="K857" s="12"/>
    </row>
    <row r="858" ht="15.75" customHeight="1">
      <c r="A858" s="3" t="s">
        <v>12</v>
      </c>
      <c r="B858" s="3" t="s">
        <v>82</v>
      </c>
      <c r="C858" s="3" t="s">
        <v>7215</v>
      </c>
      <c r="D858" s="8" t="str">
        <f t="shared" si="1"/>
        <v>Abrir anúncio ↗</v>
      </c>
      <c r="E858" s="9" t="s">
        <v>7216</v>
      </c>
      <c r="F858" s="3" t="s">
        <v>29</v>
      </c>
      <c r="G858" s="9" t="s">
        <v>3685</v>
      </c>
      <c r="H858" s="9" t="s">
        <v>4167</v>
      </c>
      <c r="I858" s="3"/>
      <c r="J858" s="3"/>
      <c r="K858" s="9"/>
    </row>
    <row r="859" ht="15.75" customHeight="1">
      <c r="A859" s="10" t="s">
        <v>12</v>
      </c>
      <c r="B859" s="10" t="s">
        <v>82</v>
      </c>
      <c r="C859" s="10" t="s">
        <v>7221</v>
      </c>
      <c r="D859" s="11" t="str">
        <f t="shared" si="1"/>
        <v>Abrir anúncio ↗</v>
      </c>
      <c r="E859" s="12" t="s">
        <v>7222</v>
      </c>
      <c r="F859" s="10" t="s">
        <v>29</v>
      </c>
      <c r="G859" s="12" t="s">
        <v>3685</v>
      </c>
      <c r="H859" s="12" t="s">
        <v>4167</v>
      </c>
      <c r="I859" s="10"/>
      <c r="J859" s="10"/>
      <c r="K859" s="12"/>
    </row>
    <row r="860" ht="15.75" customHeight="1">
      <c r="A860" s="3" t="s">
        <v>12</v>
      </c>
      <c r="B860" s="3" t="s">
        <v>82</v>
      </c>
      <c r="C860" s="3" t="s">
        <v>7225</v>
      </c>
      <c r="D860" s="8" t="str">
        <f t="shared" si="1"/>
        <v>Abrir anúncio ↗</v>
      </c>
      <c r="E860" s="9" t="s">
        <v>7226</v>
      </c>
      <c r="F860" s="3" t="s">
        <v>29</v>
      </c>
      <c r="G860" s="9" t="s">
        <v>7228</v>
      </c>
      <c r="H860" s="9" t="s">
        <v>7230</v>
      </c>
      <c r="I860" s="3"/>
      <c r="J860" s="3"/>
      <c r="K860" s="9"/>
    </row>
    <row r="861" ht="15.75" customHeight="1">
      <c r="A861" s="10" t="s">
        <v>12</v>
      </c>
      <c r="B861" s="10" t="s">
        <v>82</v>
      </c>
      <c r="C861" s="10" t="s">
        <v>7232</v>
      </c>
      <c r="D861" s="11" t="str">
        <f t="shared" si="1"/>
        <v>Abrir anúncio ↗</v>
      </c>
      <c r="E861" s="12" t="s">
        <v>7235</v>
      </c>
      <c r="F861" s="10" t="s">
        <v>29</v>
      </c>
      <c r="G861" s="12" t="s">
        <v>3685</v>
      </c>
      <c r="H861" s="12" t="s">
        <v>4207</v>
      </c>
      <c r="I861" s="10"/>
      <c r="J861" s="10"/>
      <c r="K861" s="12"/>
    </row>
    <row r="862" ht="15.75" customHeight="1">
      <c r="A862" s="3" t="s">
        <v>12</v>
      </c>
      <c r="B862" s="3" t="s">
        <v>82</v>
      </c>
      <c r="C862" s="3" t="s">
        <v>7238</v>
      </c>
      <c r="D862" s="8" t="str">
        <f t="shared" si="1"/>
        <v>Abrir anúncio ↗</v>
      </c>
      <c r="E862" s="9" t="s">
        <v>7239</v>
      </c>
      <c r="F862" s="3" t="s">
        <v>29</v>
      </c>
      <c r="G862" s="9" t="s">
        <v>5339</v>
      </c>
      <c r="H862" s="9" t="s">
        <v>5680</v>
      </c>
      <c r="I862" s="3"/>
      <c r="J862" s="3"/>
      <c r="K862" s="9"/>
    </row>
    <row r="863" ht="15.75" customHeight="1">
      <c r="A863" s="10" t="s">
        <v>12</v>
      </c>
      <c r="B863" s="10" t="s">
        <v>82</v>
      </c>
      <c r="C863" s="10" t="s">
        <v>7240</v>
      </c>
      <c r="D863" s="11" t="str">
        <f t="shared" si="1"/>
        <v>Abrir anúncio ↗</v>
      </c>
      <c r="E863" s="12" t="s">
        <v>7241</v>
      </c>
      <c r="F863" s="10" t="s">
        <v>29</v>
      </c>
      <c r="G863" s="12" t="s">
        <v>3685</v>
      </c>
      <c r="H863" s="12" t="s">
        <v>3687</v>
      </c>
      <c r="I863" s="10"/>
      <c r="J863" s="10"/>
      <c r="K863" s="12"/>
    </row>
    <row r="864" ht="15.75" customHeight="1">
      <c r="A864" s="3" t="s">
        <v>12</v>
      </c>
      <c r="B864" s="3" t="s">
        <v>82</v>
      </c>
      <c r="C864" s="3" t="s">
        <v>7242</v>
      </c>
      <c r="D864" s="8" t="str">
        <f t="shared" si="1"/>
        <v>Abrir anúncio ↗</v>
      </c>
      <c r="E864" s="9" t="s">
        <v>7244</v>
      </c>
      <c r="F864" s="3" t="s">
        <v>29</v>
      </c>
      <c r="G864" s="9" t="s">
        <v>3709</v>
      </c>
      <c r="H864" s="9" t="s">
        <v>4075</v>
      </c>
      <c r="I864" s="3"/>
      <c r="J864" s="3"/>
      <c r="K864" s="9"/>
    </row>
    <row r="865" ht="15.75" customHeight="1">
      <c r="A865" s="10" t="s">
        <v>12</v>
      </c>
      <c r="B865" s="10" t="s">
        <v>82</v>
      </c>
      <c r="C865" s="10" t="s">
        <v>7247</v>
      </c>
      <c r="D865" s="11" t="str">
        <f t="shared" si="1"/>
        <v>Abrir anúncio ↗</v>
      </c>
      <c r="E865" s="12" t="s">
        <v>7249</v>
      </c>
      <c r="F865" s="10" t="s">
        <v>29</v>
      </c>
      <c r="G865" s="12" t="s">
        <v>3709</v>
      </c>
      <c r="H865" s="12" t="s">
        <v>4284</v>
      </c>
      <c r="I865" s="10"/>
      <c r="J865" s="10"/>
      <c r="K865" s="12"/>
    </row>
    <row r="866" ht="15.75" customHeight="1">
      <c r="A866" s="3" t="s">
        <v>12</v>
      </c>
      <c r="B866" s="3" t="s">
        <v>82</v>
      </c>
      <c r="C866" s="3" t="s">
        <v>7251</v>
      </c>
      <c r="D866" s="8" t="str">
        <f t="shared" si="1"/>
        <v>Abrir anúncio ↗</v>
      </c>
      <c r="E866" s="9" t="s">
        <v>7252</v>
      </c>
      <c r="F866" s="3" t="s">
        <v>29</v>
      </c>
      <c r="G866" s="9" t="s">
        <v>3709</v>
      </c>
      <c r="H866" s="9" t="s">
        <v>5956</v>
      </c>
      <c r="I866" s="3"/>
      <c r="J866" s="3"/>
      <c r="K866" s="9"/>
    </row>
    <row r="867" ht="15.75" customHeight="1">
      <c r="A867" s="10" t="s">
        <v>12</v>
      </c>
      <c r="B867" s="10" t="s">
        <v>82</v>
      </c>
      <c r="C867" s="10" t="s">
        <v>7256</v>
      </c>
      <c r="D867" s="11" t="str">
        <f t="shared" si="1"/>
        <v>Abrir anúncio ↗</v>
      </c>
      <c r="E867" s="12" t="s">
        <v>7258</v>
      </c>
      <c r="F867" s="10" t="s">
        <v>29</v>
      </c>
      <c r="G867" s="12" t="s">
        <v>2390</v>
      </c>
      <c r="H867" s="12" t="s">
        <v>2392</v>
      </c>
      <c r="I867" s="10"/>
      <c r="J867" s="10"/>
      <c r="K867" s="12"/>
    </row>
    <row r="868" ht="15.75" customHeight="1">
      <c r="A868" s="3" t="s">
        <v>12</v>
      </c>
      <c r="B868" s="3" t="s">
        <v>82</v>
      </c>
      <c r="C868" s="3" t="s">
        <v>7261</v>
      </c>
      <c r="D868" s="8" t="str">
        <f t="shared" si="1"/>
        <v>Abrir anúncio ↗</v>
      </c>
      <c r="E868" s="9" t="s">
        <v>7263</v>
      </c>
      <c r="F868" s="3" t="s">
        <v>29</v>
      </c>
      <c r="G868" s="9" t="s">
        <v>2390</v>
      </c>
      <c r="H868" s="9" t="s">
        <v>2392</v>
      </c>
      <c r="I868" s="3"/>
      <c r="J868" s="3"/>
      <c r="K868" s="9"/>
    </row>
    <row r="869" ht="15.75" customHeight="1">
      <c r="A869" s="10" t="s">
        <v>12</v>
      </c>
      <c r="B869" s="10" t="s">
        <v>82</v>
      </c>
      <c r="C869" s="10" t="s">
        <v>7266</v>
      </c>
      <c r="D869" s="11" t="str">
        <f t="shared" si="1"/>
        <v>Abrir anúncio ↗</v>
      </c>
      <c r="E869" s="12" t="s">
        <v>7267</v>
      </c>
      <c r="F869" s="10" t="s">
        <v>29</v>
      </c>
      <c r="G869" s="12" t="s">
        <v>3422</v>
      </c>
      <c r="H869" s="12" t="s">
        <v>6981</v>
      </c>
      <c r="I869" s="10"/>
      <c r="J869" s="10"/>
      <c r="K869" s="12"/>
    </row>
    <row r="870" ht="15.75" customHeight="1">
      <c r="A870" s="3" t="s">
        <v>12</v>
      </c>
      <c r="B870" s="3" t="s">
        <v>82</v>
      </c>
      <c r="C870" s="3" t="s">
        <v>7269</v>
      </c>
      <c r="D870" s="8" t="str">
        <f t="shared" si="1"/>
        <v>Abrir anúncio ↗</v>
      </c>
      <c r="E870" s="9" t="s">
        <v>7270</v>
      </c>
      <c r="F870" s="3" t="s">
        <v>29</v>
      </c>
      <c r="G870" s="9" t="s">
        <v>3685</v>
      </c>
      <c r="H870" s="9" t="s">
        <v>3871</v>
      </c>
      <c r="I870" s="3"/>
      <c r="J870" s="3"/>
      <c r="K870" s="9"/>
    </row>
    <row r="871" ht="15.75" customHeight="1">
      <c r="A871" s="10" t="s">
        <v>12</v>
      </c>
      <c r="B871" s="10" t="s">
        <v>82</v>
      </c>
      <c r="C871" s="10" t="s">
        <v>7273</v>
      </c>
      <c r="D871" s="11" t="str">
        <f t="shared" si="1"/>
        <v>Abrir anúncio ↗</v>
      </c>
      <c r="E871" s="12" t="s">
        <v>7274</v>
      </c>
      <c r="F871" s="10" t="s">
        <v>29</v>
      </c>
      <c r="G871" s="12" t="s">
        <v>3685</v>
      </c>
      <c r="H871" s="12" t="s">
        <v>3757</v>
      </c>
      <c r="I871" s="10"/>
      <c r="J871" s="10"/>
      <c r="K871" s="12"/>
    </row>
    <row r="872" ht="15.75" customHeight="1">
      <c r="A872" s="3" t="s">
        <v>12</v>
      </c>
      <c r="B872" s="3" t="s">
        <v>82</v>
      </c>
      <c r="C872" s="3" t="s">
        <v>7277</v>
      </c>
      <c r="D872" s="8" t="str">
        <f t="shared" si="1"/>
        <v>Abrir anúncio ↗</v>
      </c>
      <c r="E872" s="9" t="s">
        <v>7278</v>
      </c>
      <c r="F872" s="3" t="s">
        <v>29</v>
      </c>
      <c r="G872" s="9" t="s">
        <v>3709</v>
      </c>
      <c r="H872" s="9" t="s">
        <v>7279</v>
      </c>
      <c r="I872" s="3"/>
      <c r="J872" s="3"/>
      <c r="K872" s="9"/>
    </row>
    <row r="873" ht="15.75" customHeight="1">
      <c r="A873" s="10" t="s">
        <v>12</v>
      </c>
      <c r="B873" s="10" t="s">
        <v>82</v>
      </c>
      <c r="C873" s="10" t="s">
        <v>7282</v>
      </c>
      <c r="D873" s="11" t="str">
        <f t="shared" si="1"/>
        <v>Abrir anúncio ↗</v>
      </c>
      <c r="E873" s="12" t="s">
        <v>7285</v>
      </c>
      <c r="F873" s="10" t="s">
        <v>29</v>
      </c>
      <c r="G873" s="12" t="s">
        <v>2390</v>
      </c>
      <c r="H873" s="12" t="s">
        <v>2392</v>
      </c>
      <c r="I873" s="10"/>
      <c r="J873" s="10"/>
      <c r="K873" s="12"/>
    </row>
    <row r="874" ht="15.75" customHeight="1">
      <c r="A874" s="3" t="s">
        <v>12</v>
      </c>
      <c r="B874" s="3" t="s">
        <v>82</v>
      </c>
      <c r="C874" s="3" t="s">
        <v>7289</v>
      </c>
      <c r="D874" s="8" t="str">
        <f t="shared" si="1"/>
        <v>Abrir anúncio ↗</v>
      </c>
      <c r="E874" s="9" t="s">
        <v>78</v>
      </c>
      <c r="F874" s="3" t="s">
        <v>29</v>
      </c>
      <c r="G874" s="9" t="s">
        <v>2390</v>
      </c>
      <c r="H874" s="9" t="s">
        <v>2392</v>
      </c>
      <c r="I874" s="3"/>
      <c r="J874" s="3"/>
      <c r="K874" s="9"/>
    </row>
    <row r="875" ht="15.75" customHeight="1">
      <c r="A875" s="10" t="s">
        <v>12</v>
      </c>
      <c r="B875" s="10" t="s">
        <v>82</v>
      </c>
      <c r="C875" s="10" t="s">
        <v>7293</v>
      </c>
      <c r="D875" s="11" t="str">
        <f t="shared" si="1"/>
        <v>Abrir anúncio ↗</v>
      </c>
      <c r="E875" s="12" t="s">
        <v>7294</v>
      </c>
      <c r="F875" s="10" t="s">
        <v>29</v>
      </c>
      <c r="G875" s="12" t="s">
        <v>2390</v>
      </c>
      <c r="H875" s="12" t="s">
        <v>2392</v>
      </c>
      <c r="I875" s="10"/>
      <c r="J875" s="10"/>
      <c r="K875" s="12"/>
    </row>
    <row r="876" ht="15.75" customHeight="1">
      <c r="A876" s="3" t="s">
        <v>12</v>
      </c>
      <c r="B876" s="3" t="s">
        <v>82</v>
      </c>
      <c r="C876" s="3" t="s">
        <v>6703</v>
      </c>
      <c r="D876" s="8" t="str">
        <f t="shared" si="1"/>
        <v>Abrir anúncio ↗</v>
      </c>
      <c r="E876" s="9" t="s">
        <v>6702</v>
      </c>
      <c r="F876" s="3" t="s">
        <v>29</v>
      </c>
      <c r="G876" s="9" t="s">
        <v>99</v>
      </c>
      <c r="H876" s="9" t="s">
        <v>3384</v>
      </c>
      <c r="I876" s="3"/>
      <c r="J876" s="3"/>
      <c r="K876" s="9"/>
    </row>
    <row r="877" ht="15.75" customHeight="1">
      <c r="A877" s="10" t="s">
        <v>12</v>
      </c>
      <c r="B877" s="10" t="s">
        <v>82</v>
      </c>
      <c r="C877" s="10" t="s">
        <v>7302</v>
      </c>
      <c r="D877" s="11" t="str">
        <f t="shared" si="1"/>
        <v>Abrir anúncio ↗</v>
      </c>
      <c r="E877" s="12" t="s">
        <v>7303</v>
      </c>
      <c r="F877" s="10" t="s">
        <v>29</v>
      </c>
      <c r="G877" s="12" t="s">
        <v>3685</v>
      </c>
      <c r="H877" s="12" t="s">
        <v>4167</v>
      </c>
      <c r="I877" s="10"/>
      <c r="J877" s="10"/>
      <c r="K877" s="12"/>
    </row>
    <row r="878" ht="15.75" customHeight="1">
      <c r="A878" s="3" t="s">
        <v>12</v>
      </c>
      <c r="B878" s="3" t="s">
        <v>82</v>
      </c>
      <c r="C878" s="3" t="s">
        <v>7307</v>
      </c>
      <c r="D878" s="8" t="str">
        <f t="shared" si="1"/>
        <v>Abrir anúncio ↗</v>
      </c>
      <c r="E878" s="9" t="s">
        <v>7308</v>
      </c>
      <c r="F878" s="3" t="s">
        <v>29</v>
      </c>
      <c r="G878" s="9" t="s">
        <v>3685</v>
      </c>
      <c r="H878" s="9" t="s">
        <v>4315</v>
      </c>
      <c r="I878" s="3"/>
      <c r="J878" s="3"/>
      <c r="K878" s="9"/>
    </row>
    <row r="879" ht="15.75" customHeight="1">
      <c r="A879" s="10" t="s">
        <v>12</v>
      </c>
      <c r="B879" s="10" t="s">
        <v>82</v>
      </c>
      <c r="C879" s="10" t="s">
        <v>7312</v>
      </c>
      <c r="D879" s="11" t="str">
        <f t="shared" si="1"/>
        <v>Abrir anúncio ↗</v>
      </c>
      <c r="E879" s="12" t="s">
        <v>7314</v>
      </c>
      <c r="F879" s="10" t="s">
        <v>29</v>
      </c>
      <c r="G879" s="12" t="s">
        <v>5946</v>
      </c>
      <c r="H879" s="12" t="s">
        <v>5948</v>
      </c>
      <c r="I879" s="10"/>
      <c r="J879" s="10"/>
      <c r="K879" s="12"/>
    </row>
    <row r="880" ht="15.75" customHeight="1">
      <c r="A880" s="3" t="s">
        <v>12</v>
      </c>
      <c r="B880" s="3" t="s">
        <v>82</v>
      </c>
      <c r="C880" s="3" t="s">
        <v>7316</v>
      </c>
      <c r="D880" s="8" t="str">
        <f t="shared" si="1"/>
        <v>Abrir anúncio ↗</v>
      </c>
      <c r="E880" s="9" t="s">
        <v>7318</v>
      </c>
      <c r="F880" s="3" t="s">
        <v>29</v>
      </c>
      <c r="G880" s="9" t="s">
        <v>3709</v>
      </c>
      <c r="H880" s="9" t="s">
        <v>3725</v>
      </c>
      <c r="I880" s="3"/>
      <c r="J880" s="3"/>
      <c r="K880" s="9"/>
    </row>
    <row r="881" ht="15.75" customHeight="1">
      <c r="A881" s="10" t="s">
        <v>12</v>
      </c>
      <c r="B881" s="10" t="s">
        <v>82</v>
      </c>
      <c r="C881" s="10" t="s">
        <v>7322</v>
      </c>
      <c r="D881" s="11" t="str">
        <f t="shared" si="1"/>
        <v>Abrir anúncio ↗</v>
      </c>
      <c r="E881" s="12" t="s">
        <v>7325</v>
      </c>
      <c r="F881" s="10" t="s">
        <v>29</v>
      </c>
      <c r="G881" s="12" t="s">
        <v>6220</v>
      </c>
      <c r="H881" s="12" t="s">
        <v>7327</v>
      </c>
      <c r="I881" s="10"/>
      <c r="J881" s="10"/>
      <c r="K881" s="12"/>
    </row>
    <row r="882" ht="15.75" customHeight="1">
      <c r="A882" s="3" t="s">
        <v>12</v>
      </c>
      <c r="B882" s="3" t="s">
        <v>82</v>
      </c>
      <c r="C882" s="3" t="s">
        <v>7329</v>
      </c>
      <c r="D882" s="8" t="str">
        <f t="shared" si="1"/>
        <v>Abrir anúncio ↗</v>
      </c>
      <c r="E882" s="9" t="s">
        <v>7331</v>
      </c>
      <c r="F882" s="3" t="s">
        <v>29</v>
      </c>
      <c r="G882" s="9" t="s">
        <v>5547</v>
      </c>
      <c r="H882" s="9" t="s">
        <v>7332</v>
      </c>
      <c r="I882" s="3"/>
      <c r="J882" s="3"/>
      <c r="K882" s="9"/>
    </row>
    <row r="883" ht="15.75" customHeight="1">
      <c r="A883" s="10" t="s">
        <v>12</v>
      </c>
      <c r="B883" s="10" t="s">
        <v>82</v>
      </c>
      <c r="C883" s="10" t="s">
        <v>7334</v>
      </c>
      <c r="D883" s="11" t="str">
        <f t="shared" si="1"/>
        <v>Abrir anúncio ↗</v>
      </c>
      <c r="E883" s="12" t="s">
        <v>7336</v>
      </c>
      <c r="F883" s="10" t="s">
        <v>29</v>
      </c>
      <c r="G883" s="12" t="s">
        <v>3709</v>
      </c>
      <c r="H883" s="12" t="s">
        <v>4058</v>
      </c>
      <c r="I883" s="10"/>
      <c r="J883" s="10"/>
      <c r="K883" s="12"/>
    </row>
    <row r="884" ht="15.75" customHeight="1">
      <c r="A884" s="3" t="s">
        <v>12</v>
      </c>
      <c r="B884" s="3" t="s">
        <v>82</v>
      </c>
      <c r="C884" s="3" t="s">
        <v>7339</v>
      </c>
      <c r="D884" s="8" t="str">
        <f t="shared" si="1"/>
        <v>Abrir anúncio ↗</v>
      </c>
      <c r="E884" s="9" t="s">
        <v>7340</v>
      </c>
      <c r="F884" s="3" t="s">
        <v>29</v>
      </c>
      <c r="G884" s="9" t="s">
        <v>3962</v>
      </c>
      <c r="H884" s="9" t="s">
        <v>7344</v>
      </c>
      <c r="I884" s="3"/>
      <c r="J884" s="3"/>
      <c r="K884" s="9"/>
    </row>
    <row r="885" ht="15.75" customHeight="1">
      <c r="A885" s="10" t="s">
        <v>12</v>
      </c>
      <c r="B885" s="10" t="s">
        <v>82</v>
      </c>
      <c r="C885" s="10" t="s">
        <v>7347</v>
      </c>
      <c r="D885" s="11" t="str">
        <f t="shared" si="1"/>
        <v>Abrir anúncio ↗</v>
      </c>
      <c r="E885" s="12" t="s">
        <v>7348</v>
      </c>
      <c r="F885" s="10" t="s">
        <v>29</v>
      </c>
      <c r="G885" s="12" t="s">
        <v>3685</v>
      </c>
      <c r="H885" s="12" t="s">
        <v>3986</v>
      </c>
      <c r="I885" s="10"/>
      <c r="J885" s="10"/>
      <c r="K885" s="12"/>
    </row>
    <row r="886" ht="15.75" customHeight="1">
      <c r="A886" s="3" t="s">
        <v>12</v>
      </c>
      <c r="B886" s="3" t="s">
        <v>82</v>
      </c>
      <c r="C886" s="3" t="s">
        <v>7350</v>
      </c>
      <c r="D886" s="8" t="str">
        <f t="shared" si="1"/>
        <v>Abrir anúncio ↗</v>
      </c>
      <c r="E886" s="9" t="s">
        <v>7352</v>
      </c>
      <c r="F886" s="3" t="s">
        <v>29</v>
      </c>
      <c r="G886" s="9" t="s">
        <v>3685</v>
      </c>
      <c r="H886" s="9" t="s">
        <v>3853</v>
      </c>
      <c r="I886" s="3"/>
      <c r="J886" s="3"/>
      <c r="K886" s="9"/>
    </row>
    <row r="887" ht="15.75" customHeight="1">
      <c r="A887" s="10" t="s">
        <v>12</v>
      </c>
      <c r="B887" s="10" t="s">
        <v>82</v>
      </c>
      <c r="C887" s="10" t="s">
        <v>7354</v>
      </c>
      <c r="D887" s="11" t="str">
        <f t="shared" si="1"/>
        <v>Abrir anúncio ↗</v>
      </c>
      <c r="E887" s="12" t="s">
        <v>7356</v>
      </c>
      <c r="F887" s="10" t="s">
        <v>29</v>
      </c>
      <c r="G887" s="12" t="s">
        <v>7358</v>
      </c>
      <c r="H887" s="12" t="s">
        <v>7359</v>
      </c>
      <c r="I887" s="10"/>
      <c r="J887" s="10"/>
      <c r="K887" s="12"/>
    </row>
    <row r="888" ht="15.75" customHeight="1">
      <c r="A888" s="3" t="s">
        <v>12</v>
      </c>
      <c r="B888" s="3" t="s">
        <v>82</v>
      </c>
      <c r="C888" s="3" t="s">
        <v>7361</v>
      </c>
      <c r="D888" s="8" t="str">
        <f t="shared" si="1"/>
        <v>Abrir anúncio ↗</v>
      </c>
      <c r="E888" s="9" t="s">
        <v>4519</v>
      </c>
      <c r="F888" s="3" t="s">
        <v>29</v>
      </c>
      <c r="G888" s="9" t="s">
        <v>3685</v>
      </c>
      <c r="H888" s="9" t="s">
        <v>4315</v>
      </c>
      <c r="I888" s="3"/>
      <c r="J888" s="3"/>
      <c r="K888" s="9"/>
    </row>
    <row r="889" ht="15.75" customHeight="1">
      <c r="A889" s="10" t="s">
        <v>12</v>
      </c>
      <c r="B889" s="10" t="s">
        <v>82</v>
      </c>
      <c r="C889" s="10" t="s">
        <v>7364</v>
      </c>
      <c r="D889" s="11" t="str">
        <f t="shared" si="1"/>
        <v>Abrir anúncio ↗</v>
      </c>
      <c r="E889" s="12" t="s">
        <v>7365</v>
      </c>
      <c r="F889" s="10" t="s">
        <v>29</v>
      </c>
      <c r="G889" s="12" t="s">
        <v>4262</v>
      </c>
      <c r="H889" s="12" t="s">
        <v>7368</v>
      </c>
      <c r="I889" s="10"/>
      <c r="J889" s="10"/>
      <c r="K889" s="12"/>
    </row>
    <row r="890" ht="15.75" customHeight="1">
      <c r="A890" s="3" t="s">
        <v>12</v>
      </c>
      <c r="B890" s="3" t="s">
        <v>82</v>
      </c>
      <c r="C890" s="3" t="s">
        <v>7371</v>
      </c>
      <c r="D890" s="8" t="str">
        <f t="shared" si="1"/>
        <v>Abrir anúncio ↗</v>
      </c>
      <c r="E890" s="9" t="s">
        <v>7373</v>
      </c>
      <c r="F890" s="3" t="s">
        <v>29</v>
      </c>
      <c r="G890" s="9" t="s">
        <v>3685</v>
      </c>
      <c r="H890" s="9" t="s">
        <v>3757</v>
      </c>
      <c r="I890" s="3"/>
      <c r="J890" s="3"/>
      <c r="K890" s="9"/>
    </row>
    <row r="891" ht="15.75" customHeight="1">
      <c r="A891" s="10" t="s">
        <v>12</v>
      </c>
      <c r="B891" s="10" t="s">
        <v>82</v>
      </c>
      <c r="C891" s="10" t="s">
        <v>7379</v>
      </c>
      <c r="D891" s="11" t="str">
        <f t="shared" si="1"/>
        <v>Abrir anúncio ↗</v>
      </c>
      <c r="E891" s="12" t="s">
        <v>7380</v>
      </c>
      <c r="F891" s="10" t="s">
        <v>29</v>
      </c>
      <c r="G891" s="12" t="s">
        <v>2390</v>
      </c>
      <c r="H891" s="12" t="s">
        <v>2392</v>
      </c>
      <c r="I891" s="10"/>
      <c r="J891" s="10"/>
      <c r="K891" s="12"/>
    </row>
    <row r="892" ht="15.75" customHeight="1">
      <c r="A892" s="3" t="s">
        <v>12</v>
      </c>
      <c r="B892" s="3" t="s">
        <v>82</v>
      </c>
      <c r="C892" s="3" t="s">
        <v>7383</v>
      </c>
      <c r="D892" s="8" t="str">
        <f t="shared" si="1"/>
        <v>Abrir anúncio ↗</v>
      </c>
      <c r="E892" s="9" t="s">
        <v>7385</v>
      </c>
      <c r="F892" s="3" t="s">
        <v>29</v>
      </c>
      <c r="G892" s="9" t="s">
        <v>4538</v>
      </c>
      <c r="H892" s="9" t="s">
        <v>6292</v>
      </c>
      <c r="I892" s="3"/>
      <c r="J892" s="3"/>
      <c r="K892" s="9"/>
    </row>
    <row r="893" ht="15.75" customHeight="1">
      <c r="A893" s="10" t="s">
        <v>12</v>
      </c>
      <c r="B893" s="10" t="s">
        <v>82</v>
      </c>
      <c r="C893" s="10" t="s">
        <v>7388</v>
      </c>
      <c r="D893" s="11" t="str">
        <f t="shared" si="1"/>
        <v>Abrir anúncio ↗</v>
      </c>
      <c r="E893" s="12" t="s">
        <v>7389</v>
      </c>
      <c r="F893" s="10" t="s">
        <v>29</v>
      </c>
      <c r="G893" s="12" t="s">
        <v>3709</v>
      </c>
      <c r="H893" s="12" t="s">
        <v>4092</v>
      </c>
      <c r="I893" s="10"/>
      <c r="J893" s="10"/>
      <c r="K893" s="12"/>
    </row>
    <row r="894" ht="15.75" customHeight="1">
      <c r="A894" s="3" t="s">
        <v>12</v>
      </c>
      <c r="B894" s="3" t="s">
        <v>82</v>
      </c>
      <c r="C894" s="3" t="s">
        <v>7392</v>
      </c>
      <c r="D894" s="8" t="str">
        <f t="shared" si="1"/>
        <v>Abrir anúncio ↗</v>
      </c>
      <c r="E894" s="9" t="s">
        <v>7393</v>
      </c>
      <c r="F894" s="3" t="s">
        <v>29</v>
      </c>
      <c r="G894" s="9" t="s">
        <v>7394</v>
      </c>
      <c r="H894" s="9" t="s">
        <v>7395</v>
      </c>
      <c r="I894" s="3"/>
      <c r="J894" s="3"/>
      <c r="K894" s="9"/>
    </row>
    <row r="895" ht="15.75" customHeight="1">
      <c r="A895" s="10" t="s">
        <v>12</v>
      </c>
      <c r="B895" s="10" t="s">
        <v>82</v>
      </c>
      <c r="C895" s="10" t="s">
        <v>7397</v>
      </c>
      <c r="D895" s="11" t="str">
        <f t="shared" si="1"/>
        <v>Abrir anúncio ↗</v>
      </c>
      <c r="E895" s="12" t="s">
        <v>7400</v>
      </c>
      <c r="F895" s="10" t="s">
        <v>29</v>
      </c>
      <c r="G895" s="12" t="s">
        <v>3685</v>
      </c>
      <c r="H895" s="12" t="s">
        <v>4189</v>
      </c>
      <c r="I895" s="10"/>
      <c r="J895" s="10"/>
      <c r="K895" s="12"/>
    </row>
    <row r="896" ht="15.75" customHeight="1">
      <c r="A896" s="3" t="s">
        <v>12</v>
      </c>
      <c r="B896" s="3" t="s">
        <v>82</v>
      </c>
      <c r="C896" s="3" t="s">
        <v>7402</v>
      </c>
      <c r="D896" s="8" t="str">
        <f t="shared" si="1"/>
        <v>Abrir anúncio ↗</v>
      </c>
      <c r="E896" s="9" t="s">
        <v>7404</v>
      </c>
      <c r="F896" s="3" t="s">
        <v>29</v>
      </c>
      <c r="G896" s="9" t="s">
        <v>3685</v>
      </c>
      <c r="H896" s="9" t="s">
        <v>3687</v>
      </c>
      <c r="I896" s="3"/>
      <c r="J896" s="3"/>
      <c r="K896" s="9"/>
    </row>
    <row r="897" ht="15.75" customHeight="1">
      <c r="A897" s="10" t="s">
        <v>12</v>
      </c>
      <c r="B897" s="10" t="s">
        <v>82</v>
      </c>
      <c r="C897" s="10" t="s">
        <v>7406</v>
      </c>
      <c r="D897" s="11" t="str">
        <f t="shared" si="1"/>
        <v>Abrir anúncio ↗</v>
      </c>
      <c r="E897" s="12" t="s">
        <v>7407</v>
      </c>
      <c r="F897" s="10" t="s">
        <v>29</v>
      </c>
      <c r="G897" s="12" t="s">
        <v>5339</v>
      </c>
      <c r="H897" s="12" t="s">
        <v>7408</v>
      </c>
      <c r="I897" s="10"/>
      <c r="J897" s="10"/>
      <c r="K897" s="12"/>
    </row>
    <row r="898" ht="15.75" customHeight="1">
      <c r="A898" s="3" t="s">
        <v>12</v>
      </c>
      <c r="B898" s="3" t="s">
        <v>82</v>
      </c>
      <c r="C898" s="3" t="s">
        <v>7410</v>
      </c>
      <c r="D898" s="8" t="str">
        <f t="shared" si="1"/>
        <v>Abrir anúncio ↗</v>
      </c>
      <c r="E898" s="9" t="s">
        <v>7412</v>
      </c>
      <c r="F898" s="3" t="s">
        <v>29</v>
      </c>
      <c r="G898" s="9" t="s">
        <v>3685</v>
      </c>
      <c r="H898" s="9" t="s">
        <v>4189</v>
      </c>
      <c r="I898" s="3"/>
      <c r="J898" s="3"/>
      <c r="K898" s="9"/>
    </row>
    <row r="899" ht="15.75" customHeight="1">
      <c r="A899" s="10" t="s">
        <v>12</v>
      </c>
      <c r="B899" s="10" t="s">
        <v>82</v>
      </c>
      <c r="C899" s="10" t="s">
        <v>7415</v>
      </c>
      <c r="D899" s="11" t="str">
        <f t="shared" si="1"/>
        <v>Abrir anúncio ↗</v>
      </c>
      <c r="E899" s="12" t="s">
        <v>7416</v>
      </c>
      <c r="F899" s="10" t="s">
        <v>29</v>
      </c>
      <c r="G899" s="12" t="s">
        <v>5339</v>
      </c>
      <c r="H899" s="12" t="s">
        <v>7418</v>
      </c>
      <c r="I899" s="10"/>
      <c r="J899" s="10"/>
      <c r="K899" s="12"/>
    </row>
    <row r="900" ht="15.75" customHeight="1">
      <c r="A900" s="3" t="s">
        <v>12</v>
      </c>
      <c r="B900" s="3" t="s">
        <v>82</v>
      </c>
      <c r="C900" s="3" t="s">
        <v>7419</v>
      </c>
      <c r="D900" s="8" t="str">
        <f t="shared" si="1"/>
        <v>Abrir anúncio ↗</v>
      </c>
      <c r="E900" s="9" t="s">
        <v>7421</v>
      </c>
      <c r="F900" s="3" t="s">
        <v>29</v>
      </c>
      <c r="G900" s="9" t="s">
        <v>3685</v>
      </c>
      <c r="H900" s="9" t="s">
        <v>3853</v>
      </c>
      <c r="I900" s="3"/>
      <c r="J900" s="3"/>
      <c r="K900" s="9"/>
    </row>
    <row r="901" ht="15.75" customHeight="1">
      <c r="A901" s="10" t="s">
        <v>12</v>
      </c>
      <c r="B901" s="10" t="s">
        <v>82</v>
      </c>
      <c r="C901" s="10" t="s">
        <v>7426</v>
      </c>
      <c r="D901" s="11" t="str">
        <f t="shared" si="1"/>
        <v>Abrir anúncio ↗</v>
      </c>
      <c r="E901" s="12" t="s">
        <v>7429</v>
      </c>
      <c r="F901" s="10" t="s">
        <v>29</v>
      </c>
      <c r="G901" s="12" t="s">
        <v>3685</v>
      </c>
      <c r="H901" s="12" t="s">
        <v>3986</v>
      </c>
      <c r="I901" s="10"/>
      <c r="J901" s="10"/>
      <c r="K901" s="12"/>
    </row>
    <row r="902" ht="15.75" customHeight="1">
      <c r="A902" s="3" t="s">
        <v>12</v>
      </c>
      <c r="B902" s="3" t="s">
        <v>82</v>
      </c>
      <c r="C902" s="3" t="s">
        <v>7433</v>
      </c>
      <c r="D902" s="8" t="str">
        <f t="shared" si="1"/>
        <v>Abrir anúncio ↗</v>
      </c>
      <c r="E902" s="9" t="s">
        <v>7435</v>
      </c>
      <c r="F902" s="3" t="s">
        <v>29</v>
      </c>
      <c r="G902" s="9" t="s">
        <v>3685</v>
      </c>
      <c r="H902" s="9" t="s">
        <v>3757</v>
      </c>
      <c r="I902" s="3"/>
      <c r="J902" s="3"/>
      <c r="K902" s="9"/>
    </row>
    <row r="903" ht="15.75" customHeight="1">
      <c r="A903" s="10" t="s">
        <v>12</v>
      </c>
      <c r="B903" s="10" t="s">
        <v>82</v>
      </c>
      <c r="C903" s="10" t="s">
        <v>7439</v>
      </c>
      <c r="D903" s="11" t="str">
        <f t="shared" si="1"/>
        <v>Abrir anúncio ↗</v>
      </c>
      <c r="E903" s="12" t="s">
        <v>7440</v>
      </c>
      <c r="F903" s="10" t="s">
        <v>29</v>
      </c>
      <c r="G903" s="12" t="s">
        <v>3685</v>
      </c>
      <c r="H903" s="12" t="s">
        <v>3687</v>
      </c>
      <c r="I903" s="10"/>
      <c r="J903" s="10"/>
      <c r="K903" s="12"/>
    </row>
    <row r="904" ht="15.75" customHeight="1">
      <c r="A904" s="3" t="s">
        <v>12</v>
      </c>
      <c r="B904" s="3" t="s">
        <v>82</v>
      </c>
      <c r="C904" s="3" t="s">
        <v>7443</v>
      </c>
      <c r="D904" s="8" t="str">
        <f t="shared" si="1"/>
        <v>Abrir anúncio ↗</v>
      </c>
      <c r="E904" s="9" t="s">
        <v>7444</v>
      </c>
      <c r="F904" s="3" t="s">
        <v>29</v>
      </c>
      <c r="G904" s="9" t="s">
        <v>3422</v>
      </c>
      <c r="H904" s="9" t="s">
        <v>6170</v>
      </c>
      <c r="I904" s="3"/>
      <c r="J904" s="3"/>
      <c r="K904" s="9"/>
    </row>
    <row r="905" ht="15.75" customHeight="1">
      <c r="A905" s="10" t="s">
        <v>12</v>
      </c>
      <c r="B905" s="10" t="s">
        <v>82</v>
      </c>
      <c r="C905" s="10" t="s">
        <v>7447</v>
      </c>
      <c r="D905" s="11" t="str">
        <f t="shared" si="1"/>
        <v>Abrir anúncio ↗</v>
      </c>
      <c r="E905" s="12" t="s">
        <v>7448</v>
      </c>
      <c r="F905" s="10" t="s">
        <v>29</v>
      </c>
      <c r="G905" s="12" t="s">
        <v>3685</v>
      </c>
      <c r="H905" s="12" t="s">
        <v>4315</v>
      </c>
      <c r="I905" s="10"/>
      <c r="J905" s="10"/>
      <c r="K905" s="12"/>
    </row>
    <row r="906" ht="15.75" customHeight="1">
      <c r="A906" s="3" t="s">
        <v>12</v>
      </c>
      <c r="B906" s="3" t="s">
        <v>82</v>
      </c>
      <c r="C906" s="3" t="s">
        <v>7451</v>
      </c>
      <c r="D906" s="8" t="str">
        <f t="shared" si="1"/>
        <v>Abrir anúncio ↗</v>
      </c>
      <c r="E906" s="9" t="s">
        <v>7453</v>
      </c>
      <c r="F906" s="3" t="s">
        <v>29</v>
      </c>
      <c r="G906" s="9" t="s">
        <v>3685</v>
      </c>
      <c r="H906" s="9" t="s">
        <v>3986</v>
      </c>
      <c r="I906" s="3"/>
      <c r="J906" s="3"/>
      <c r="K906" s="9"/>
    </row>
    <row r="907" ht="15.75" customHeight="1">
      <c r="A907" s="10" t="s">
        <v>12</v>
      </c>
      <c r="B907" s="10" t="s">
        <v>82</v>
      </c>
      <c r="C907" s="10" t="s">
        <v>7455</v>
      </c>
      <c r="D907" s="11" t="str">
        <f t="shared" si="1"/>
        <v>Abrir anúncio ↗</v>
      </c>
      <c r="E907" s="12" t="s">
        <v>7458</v>
      </c>
      <c r="F907" s="10" t="s">
        <v>29</v>
      </c>
      <c r="G907" s="12" t="s">
        <v>3422</v>
      </c>
      <c r="H907" s="12" t="s">
        <v>7459</v>
      </c>
      <c r="I907" s="10"/>
      <c r="J907" s="10"/>
      <c r="K907" s="12"/>
    </row>
    <row r="908" ht="15.75" customHeight="1">
      <c r="A908" s="3" t="s">
        <v>12</v>
      </c>
      <c r="B908" s="3" t="s">
        <v>82</v>
      </c>
      <c r="C908" s="3" t="s">
        <v>7461</v>
      </c>
      <c r="D908" s="8" t="str">
        <f t="shared" si="1"/>
        <v>Abrir anúncio ↗</v>
      </c>
      <c r="E908" s="9" t="s">
        <v>7462</v>
      </c>
      <c r="F908" s="3" t="s">
        <v>29</v>
      </c>
      <c r="G908" s="9" t="s">
        <v>4262</v>
      </c>
      <c r="H908" s="9" t="s">
        <v>7464</v>
      </c>
      <c r="I908" s="3"/>
      <c r="J908" s="3"/>
      <c r="K908" s="9"/>
    </row>
    <row r="909" ht="15.75" customHeight="1">
      <c r="A909" s="10" t="s">
        <v>12</v>
      </c>
      <c r="B909" s="10" t="s">
        <v>82</v>
      </c>
      <c r="C909" s="10" t="s">
        <v>7466</v>
      </c>
      <c r="D909" s="11" t="str">
        <f t="shared" si="1"/>
        <v>Abrir anúncio ↗</v>
      </c>
      <c r="E909" s="12" t="s">
        <v>7467</v>
      </c>
      <c r="F909" s="10" t="s">
        <v>29</v>
      </c>
      <c r="G909" s="12" t="s">
        <v>3422</v>
      </c>
      <c r="H909" s="12" t="s">
        <v>6178</v>
      </c>
      <c r="I909" s="10"/>
      <c r="J909" s="10"/>
      <c r="K909" s="12"/>
    </row>
    <row r="910" ht="15.75" customHeight="1">
      <c r="A910" s="3" t="s">
        <v>12</v>
      </c>
      <c r="B910" s="3" t="s">
        <v>82</v>
      </c>
      <c r="C910" s="3" t="s">
        <v>7471</v>
      </c>
      <c r="D910" s="8" t="str">
        <f t="shared" si="1"/>
        <v>Abrir anúncio ↗</v>
      </c>
      <c r="E910" s="9" t="s">
        <v>7473</v>
      </c>
      <c r="F910" s="3" t="s">
        <v>29</v>
      </c>
      <c r="G910" s="9" t="s">
        <v>3962</v>
      </c>
      <c r="H910" s="9" t="s">
        <v>7474</v>
      </c>
      <c r="I910" s="3"/>
      <c r="J910" s="3"/>
      <c r="K910" s="9"/>
    </row>
    <row r="911" ht="15.75" customHeight="1">
      <c r="A911" s="10" t="s">
        <v>12</v>
      </c>
      <c r="B911" s="10" t="s">
        <v>82</v>
      </c>
      <c r="C911" s="10" t="s">
        <v>7477</v>
      </c>
      <c r="D911" s="11" t="str">
        <f t="shared" si="1"/>
        <v>Abrir anúncio ↗</v>
      </c>
      <c r="E911" s="12" t="s">
        <v>7478</v>
      </c>
      <c r="F911" s="10" t="s">
        <v>29</v>
      </c>
      <c r="G911" s="12" t="s">
        <v>3685</v>
      </c>
      <c r="H911" s="12" t="s">
        <v>3871</v>
      </c>
      <c r="I911" s="10"/>
      <c r="J911" s="10"/>
      <c r="K911" s="12"/>
    </row>
    <row r="912" ht="15.75" customHeight="1">
      <c r="A912" s="3" t="s">
        <v>12</v>
      </c>
      <c r="B912" s="3" t="s">
        <v>82</v>
      </c>
      <c r="C912" s="3" t="s">
        <v>7481</v>
      </c>
      <c r="D912" s="8" t="str">
        <f t="shared" si="1"/>
        <v>Abrir anúncio ↗</v>
      </c>
      <c r="E912" s="9" t="s">
        <v>7484</v>
      </c>
      <c r="F912" s="3" t="s">
        <v>86</v>
      </c>
      <c r="G912" s="9" t="s">
        <v>3709</v>
      </c>
      <c r="H912" s="9" t="s">
        <v>4332</v>
      </c>
      <c r="I912" s="3"/>
      <c r="J912" s="3"/>
      <c r="K912" s="9"/>
    </row>
    <row r="913" ht="15.75" customHeight="1">
      <c r="A913" s="10" t="s">
        <v>12</v>
      </c>
      <c r="B913" s="10" t="s">
        <v>82</v>
      </c>
      <c r="C913" s="10" t="s">
        <v>7487</v>
      </c>
      <c r="D913" s="11" t="str">
        <f t="shared" si="1"/>
        <v>Abrir anúncio ↗</v>
      </c>
      <c r="E913" s="12" t="s">
        <v>7488</v>
      </c>
      <c r="F913" s="10" t="s">
        <v>29</v>
      </c>
      <c r="G913" s="12" t="s">
        <v>3709</v>
      </c>
      <c r="H913" s="12" t="s">
        <v>3712</v>
      </c>
      <c r="I913" s="10"/>
      <c r="J913" s="10"/>
      <c r="K913" s="12"/>
    </row>
    <row r="914" ht="15.75" customHeight="1">
      <c r="A914" s="3" t="s">
        <v>12</v>
      </c>
      <c r="B914" s="3" t="s">
        <v>82</v>
      </c>
      <c r="C914" s="3" t="s">
        <v>7489</v>
      </c>
      <c r="D914" s="8" t="str">
        <f t="shared" si="1"/>
        <v>Abrir anúncio ↗</v>
      </c>
      <c r="E914" s="9" t="s">
        <v>7490</v>
      </c>
      <c r="F914" s="3" t="s">
        <v>29</v>
      </c>
      <c r="G914" s="9" t="s">
        <v>3685</v>
      </c>
      <c r="H914" s="9" t="s">
        <v>3809</v>
      </c>
      <c r="I914" s="3"/>
      <c r="J914" s="3"/>
      <c r="K914" s="9"/>
    </row>
    <row r="915" ht="15.75" customHeight="1">
      <c r="A915" s="10" t="s">
        <v>12</v>
      </c>
      <c r="B915" s="10" t="s">
        <v>82</v>
      </c>
      <c r="C915" s="10" t="s">
        <v>7493</v>
      </c>
      <c r="D915" s="11" t="str">
        <f t="shared" si="1"/>
        <v>Abrir anúncio ↗</v>
      </c>
      <c r="E915" s="12" t="s">
        <v>7496</v>
      </c>
      <c r="F915" s="10" t="s">
        <v>29</v>
      </c>
      <c r="G915" s="12" t="s">
        <v>3709</v>
      </c>
      <c r="H915" s="12" t="s">
        <v>4245</v>
      </c>
      <c r="I915" s="10"/>
      <c r="J915" s="10"/>
      <c r="K915" s="12"/>
    </row>
    <row r="916" ht="15.75" customHeight="1">
      <c r="A916" s="3" t="s">
        <v>12</v>
      </c>
      <c r="B916" s="3" t="s">
        <v>82</v>
      </c>
      <c r="C916" s="3" t="s">
        <v>7499</v>
      </c>
      <c r="D916" s="8" t="str">
        <f t="shared" si="1"/>
        <v>Abrir anúncio ↗</v>
      </c>
      <c r="E916" s="9" t="s">
        <v>7500</v>
      </c>
      <c r="F916" s="3" t="s">
        <v>29</v>
      </c>
      <c r="G916" s="9" t="s">
        <v>3685</v>
      </c>
      <c r="H916" s="9" t="s">
        <v>3687</v>
      </c>
      <c r="I916" s="3"/>
      <c r="J916" s="3"/>
      <c r="K916" s="9"/>
    </row>
    <row r="917" ht="15.75" customHeight="1">
      <c r="A917" s="10" t="s">
        <v>12</v>
      </c>
      <c r="B917" s="10" t="s">
        <v>82</v>
      </c>
      <c r="C917" s="10" t="s">
        <v>7503</v>
      </c>
      <c r="D917" s="11" t="str">
        <f t="shared" si="1"/>
        <v>Abrir anúncio ↗</v>
      </c>
      <c r="E917" s="12" t="s">
        <v>7504</v>
      </c>
      <c r="F917" s="10" t="s">
        <v>29</v>
      </c>
      <c r="G917" s="12" t="s">
        <v>3685</v>
      </c>
      <c r="H917" s="12" t="s">
        <v>4189</v>
      </c>
      <c r="I917" s="10"/>
      <c r="J917" s="10"/>
      <c r="K917" s="12"/>
    </row>
    <row r="918" ht="15.75" customHeight="1">
      <c r="A918" s="3" t="s">
        <v>12</v>
      </c>
      <c r="B918" s="3" t="s">
        <v>82</v>
      </c>
      <c r="C918" s="3" t="s">
        <v>7505</v>
      </c>
      <c r="D918" s="8" t="str">
        <f t="shared" si="1"/>
        <v>Abrir anúncio ↗</v>
      </c>
      <c r="E918" s="9" t="s">
        <v>7506</v>
      </c>
      <c r="F918" s="3" t="s">
        <v>29</v>
      </c>
      <c r="G918" s="9" t="s">
        <v>3685</v>
      </c>
      <c r="H918" s="9" t="s">
        <v>4315</v>
      </c>
      <c r="I918" s="3"/>
      <c r="J918" s="3"/>
      <c r="K918" s="9"/>
    </row>
    <row r="919" ht="15.75" customHeight="1">
      <c r="A919" s="10" t="s">
        <v>12</v>
      </c>
      <c r="B919" s="10" t="s">
        <v>82</v>
      </c>
      <c r="C919" s="10" t="s">
        <v>7510</v>
      </c>
      <c r="D919" s="11" t="str">
        <f t="shared" si="1"/>
        <v>Abrir anúncio ↗</v>
      </c>
      <c r="E919" s="12" t="s">
        <v>7511</v>
      </c>
      <c r="F919" s="10" t="s">
        <v>29</v>
      </c>
      <c r="G919" s="12" t="s">
        <v>3685</v>
      </c>
      <c r="H919" s="12" t="s">
        <v>3757</v>
      </c>
      <c r="I919" s="10"/>
      <c r="J919" s="10"/>
      <c r="K919" s="12"/>
    </row>
    <row r="920" ht="15.75" customHeight="1">
      <c r="A920" s="3" t="s">
        <v>12</v>
      </c>
      <c r="B920" s="3" t="s">
        <v>82</v>
      </c>
      <c r="C920" s="3" t="s">
        <v>7514</v>
      </c>
      <c r="D920" s="8" t="str">
        <f t="shared" si="1"/>
        <v>Abrir anúncio ↗</v>
      </c>
      <c r="E920" s="9" t="s">
        <v>7515</v>
      </c>
      <c r="F920" s="3" t="s">
        <v>29</v>
      </c>
      <c r="G920" s="9" t="s">
        <v>3685</v>
      </c>
      <c r="H920" s="9" t="s">
        <v>3757</v>
      </c>
      <c r="I920" s="3"/>
      <c r="J920" s="3"/>
      <c r="K920" s="9"/>
    </row>
    <row r="921" ht="15.75" customHeight="1">
      <c r="A921" s="10" t="s">
        <v>12</v>
      </c>
      <c r="B921" s="10" t="s">
        <v>82</v>
      </c>
      <c r="C921" s="10" t="s">
        <v>7518</v>
      </c>
      <c r="D921" s="11" t="str">
        <f t="shared" si="1"/>
        <v>Abrir anúncio ↗</v>
      </c>
      <c r="E921" s="12" t="s">
        <v>7519</v>
      </c>
      <c r="F921" s="10" t="s">
        <v>29</v>
      </c>
      <c r="G921" s="12" t="s">
        <v>3709</v>
      </c>
      <c r="H921" s="12" t="s">
        <v>4284</v>
      </c>
      <c r="I921" s="10"/>
      <c r="J921" s="10"/>
      <c r="K921" s="12"/>
    </row>
    <row r="922" ht="15.75" customHeight="1">
      <c r="A922" s="3" t="s">
        <v>12</v>
      </c>
      <c r="B922" s="3" t="s">
        <v>82</v>
      </c>
      <c r="C922" s="3" t="s">
        <v>7522</v>
      </c>
      <c r="D922" s="8" t="str">
        <f t="shared" si="1"/>
        <v>Abrir anúncio ↗</v>
      </c>
      <c r="E922" s="9" t="s">
        <v>7523</v>
      </c>
      <c r="F922" s="3" t="s">
        <v>29</v>
      </c>
      <c r="G922" s="9" t="s">
        <v>4262</v>
      </c>
      <c r="H922" s="9" t="s">
        <v>7527</v>
      </c>
      <c r="I922" s="3"/>
      <c r="J922" s="3"/>
      <c r="K922" s="9"/>
    </row>
    <row r="923" ht="15.75" customHeight="1">
      <c r="A923" s="10" t="s">
        <v>12</v>
      </c>
      <c r="B923" s="10" t="s">
        <v>82</v>
      </c>
      <c r="C923" s="10" t="s">
        <v>7529</v>
      </c>
      <c r="D923" s="11" t="str">
        <f t="shared" si="1"/>
        <v>Abrir anúncio ↗</v>
      </c>
      <c r="E923" s="12" t="s">
        <v>7530</v>
      </c>
      <c r="F923" s="10" t="s">
        <v>29</v>
      </c>
      <c r="G923" s="12" t="s">
        <v>99</v>
      </c>
      <c r="H923" s="12" t="s">
        <v>143</v>
      </c>
      <c r="I923" s="10"/>
      <c r="J923" s="10"/>
      <c r="K923" s="12"/>
    </row>
    <row r="924" ht="15.75" customHeight="1">
      <c r="A924" s="3" t="s">
        <v>12</v>
      </c>
      <c r="B924" s="3" t="s">
        <v>82</v>
      </c>
      <c r="C924" s="3" t="s">
        <v>7534</v>
      </c>
      <c r="D924" s="8" t="str">
        <f t="shared" si="1"/>
        <v>Abrir anúncio ↗</v>
      </c>
      <c r="E924" s="9" t="s">
        <v>7536</v>
      </c>
      <c r="F924" s="3" t="s">
        <v>29</v>
      </c>
      <c r="G924" s="9" t="s">
        <v>99</v>
      </c>
      <c r="H924" s="9" t="s">
        <v>143</v>
      </c>
      <c r="I924" s="3"/>
      <c r="J924" s="3"/>
      <c r="K924" s="9"/>
    </row>
    <row r="925" ht="15.75" customHeight="1">
      <c r="A925" s="10" t="s">
        <v>12</v>
      </c>
      <c r="B925" s="10" t="s">
        <v>82</v>
      </c>
      <c r="C925" s="10" t="s">
        <v>7539</v>
      </c>
      <c r="D925" s="11" t="str">
        <f t="shared" si="1"/>
        <v>Abrir anúncio ↗</v>
      </c>
      <c r="E925" s="12" t="s">
        <v>7540</v>
      </c>
      <c r="F925" s="10" t="s">
        <v>29</v>
      </c>
      <c r="G925" s="12" t="s">
        <v>99</v>
      </c>
      <c r="H925" s="12" t="s">
        <v>143</v>
      </c>
      <c r="I925" s="10"/>
      <c r="J925" s="10"/>
      <c r="K925" s="12"/>
    </row>
    <row r="926" ht="15.75" customHeight="1">
      <c r="A926" s="3" t="s">
        <v>12</v>
      </c>
      <c r="B926" s="3" t="s">
        <v>82</v>
      </c>
      <c r="C926" s="3" t="s">
        <v>7542</v>
      </c>
      <c r="D926" s="8" t="str">
        <f t="shared" si="1"/>
        <v>Abrir anúncio ↗</v>
      </c>
      <c r="E926" s="9" t="s">
        <v>7544</v>
      </c>
      <c r="F926" s="3" t="s">
        <v>29</v>
      </c>
      <c r="G926" s="9" t="s">
        <v>99</v>
      </c>
      <c r="H926" s="9" t="s">
        <v>143</v>
      </c>
      <c r="I926" s="3"/>
      <c r="J926" s="3"/>
      <c r="K926" s="9"/>
    </row>
    <row r="927" ht="15.75" customHeight="1">
      <c r="A927" s="10" t="s">
        <v>12</v>
      </c>
      <c r="B927" s="10" t="s">
        <v>82</v>
      </c>
      <c r="C927" s="10" t="s">
        <v>7548</v>
      </c>
      <c r="D927" s="11" t="str">
        <f t="shared" si="1"/>
        <v>Abrir anúncio ↗</v>
      </c>
      <c r="E927" s="12" t="s">
        <v>7549</v>
      </c>
      <c r="F927" s="10" t="s">
        <v>29</v>
      </c>
      <c r="G927" s="12" t="s">
        <v>99</v>
      </c>
      <c r="H927" s="12" t="s">
        <v>143</v>
      </c>
      <c r="I927" s="10"/>
      <c r="J927" s="10"/>
      <c r="K927" s="12"/>
    </row>
    <row r="928" ht="15.75" customHeight="1">
      <c r="A928" s="3" t="s">
        <v>12</v>
      </c>
      <c r="B928" s="3" t="s">
        <v>82</v>
      </c>
      <c r="C928" s="3" t="s">
        <v>7553</v>
      </c>
      <c r="D928" s="8" t="str">
        <f t="shared" si="1"/>
        <v>Abrir anúncio ↗</v>
      </c>
      <c r="E928" s="9" t="s">
        <v>7556</v>
      </c>
      <c r="F928" s="3" t="s">
        <v>29</v>
      </c>
      <c r="G928" s="9" t="s">
        <v>99</v>
      </c>
      <c r="H928" s="9" t="s">
        <v>143</v>
      </c>
      <c r="I928" s="3"/>
      <c r="J928" s="3"/>
      <c r="K928" s="9"/>
    </row>
    <row r="929" ht="15.75" customHeight="1">
      <c r="A929" s="10" t="s">
        <v>12</v>
      </c>
      <c r="B929" s="10" t="s">
        <v>82</v>
      </c>
      <c r="C929" s="10" t="s">
        <v>7558</v>
      </c>
      <c r="D929" s="11" t="str">
        <f t="shared" si="1"/>
        <v>Abrir anúncio ↗</v>
      </c>
      <c r="E929" s="12" t="s">
        <v>7559</v>
      </c>
      <c r="F929" s="10" t="s">
        <v>29</v>
      </c>
      <c r="G929" s="12" t="s">
        <v>99</v>
      </c>
      <c r="H929" s="12" t="s">
        <v>143</v>
      </c>
      <c r="I929" s="10"/>
      <c r="J929" s="10"/>
      <c r="K929" s="12"/>
    </row>
    <row r="930" ht="15.75" customHeight="1">
      <c r="A930" s="3" t="s">
        <v>12</v>
      </c>
      <c r="B930" s="3" t="s">
        <v>82</v>
      </c>
      <c r="C930" s="3" t="s">
        <v>7561</v>
      </c>
      <c r="D930" s="8" t="str">
        <f t="shared" si="1"/>
        <v>Abrir anúncio ↗</v>
      </c>
      <c r="E930" s="9" t="s">
        <v>7562</v>
      </c>
      <c r="F930" s="3" t="s">
        <v>29</v>
      </c>
      <c r="G930" s="9" t="s">
        <v>99</v>
      </c>
      <c r="H930" s="9" t="s">
        <v>143</v>
      </c>
      <c r="I930" s="3"/>
      <c r="J930" s="3"/>
      <c r="K930" s="9"/>
    </row>
    <row r="931" ht="15.75" customHeight="1">
      <c r="A931" s="10" t="s">
        <v>12</v>
      </c>
      <c r="B931" s="10" t="s">
        <v>82</v>
      </c>
      <c r="C931" s="10" t="s">
        <v>7564</v>
      </c>
      <c r="D931" s="11" t="str">
        <f t="shared" si="1"/>
        <v>Abrir anúncio ↗</v>
      </c>
      <c r="E931" s="12" t="s">
        <v>7565</v>
      </c>
      <c r="F931" s="10" t="s">
        <v>29</v>
      </c>
      <c r="G931" s="12" t="s">
        <v>99</v>
      </c>
      <c r="H931" s="12" t="s">
        <v>143</v>
      </c>
      <c r="I931" s="10"/>
      <c r="J931" s="10"/>
      <c r="K931" s="12"/>
    </row>
    <row r="932" ht="15.75" customHeight="1">
      <c r="A932" s="3" t="s">
        <v>12</v>
      </c>
      <c r="B932" s="3" t="s">
        <v>82</v>
      </c>
      <c r="C932" s="3" t="s">
        <v>7566</v>
      </c>
      <c r="D932" s="8" t="str">
        <f t="shared" si="1"/>
        <v>Abrir anúncio ↗</v>
      </c>
      <c r="E932" s="9" t="s">
        <v>7568</v>
      </c>
      <c r="F932" s="3" t="s">
        <v>29</v>
      </c>
      <c r="G932" s="9" t="s">
        <v>99</v>
      </c>
      <c r="H932" s="9" t="s">
        <v>143</v>
      </c>
      <c r="I932" s="3"/>
      <c r="J932" s="3"/>
      <c r="K932" s="9"/>
    </row>
    <row r="933" ht="15.75" customHeight="1">
      <c r="A933" s="10" t="s">
        <v>12</v>
      </c>
      <c r="B933" s="10" t="s">
        <v>82</v>
      </c>
      <c r="C933" s="10" t="s">
        <v>7569</v>
      </c>
      <c r="D933" s="11" t="str">
        <f t="shared" si="1"/>
        <v>Abrir anúncio ↗</v>
      </c>
      <c r="E933" s="12" t="s">
        <v>7571</v>
      </c>
      <c r="F933" s="10" t="s">
        <v>29</v>
      </c>
      <c r="G933" s="12" t="s">
        <v>99</v>
      </c>
      <c r="H933" s="12" t="s">
        <v>143</v>
      </c>
      <c r="I933" s="10"/>
      <c r="J933" s="10"/>
      <c r="K933" s="12"/>
    </row>
    <row r="934" ht="15.75" customHeight="1">
      <c r="A934" s="3" t="s">
        <v>12</v>
      </c>
      <c r="B934" s="3" t="s">
        <v>82</v>
      </c>
      <c r="C934" s="3" t="s">
        <v>7575</v>
      </c>
      <c r="D934" s="8" t="str">
        <f t="shared" si="1"/>
        <v>Abrir anúncio ↗</v>
      </c>
      <c r="E934" s="9" t="s">
        <v>7576</v>
      </c>
      <c r="F934" s="3" t="s">
        <v>29</v>
      </c>
      <c r="G934" s="9" t="s">
        <v>99</v>
      </c>
      <c r="H934" s="9" t="s">
        <v>143</v>
      </c>
      <c r="I934" s="3"/>
      <c r="J934" s="3"/>
      <c r="K934" s="9"/>
    </row>
    <row r="935" ht="15.75" customHeight="1">
      <c r="A935" s="10" t="s">
        <v>12</v>
      </c>
      <c r="B935" s="10" t="s">
        <v>82</v>
      </c>
      <c r="C935" s="10" t="s">
        <v>7578</v>
      </c>
      <c r="D935" s="11" t="str">
        <f t="shared" si="1"/>
        <v>Abrir anúncio ↗</v>
      </c>
      <c r="E935" s="12" t="s">
        <v>7580</v>
      </c>
      <c r="F935" s="10" t="s">
        <v>29</v>
      </c>
      <c r="G935" s="12" t="s">
        <v>99</v>
      </c>
      <c r="H935" s="12" t="s">
        <v>143</v>
      </c>
      <c r="I935" s="10"/>
      <c r="J935" s="10"/>
      <c r="K935" s="12"/>
    </row>
    <row r="936" ht="15.75" customHeight="1">
      <c r="A936" s="3" t="s">
        <v>12</v>
      </c>
      <c r="B936" s="3" t="s">
        <v>82</v>
      </c>
      <c r="C936" s="3" t="s">
        <v>7582</v>
      </c>
      <c r="D936" s="8" t="str">
        <f t="shared" si="1"/>
        <v>Abrir anúncio ↗</v>
      </c>
      <c r="E936" s="9" t="s">
        <v>7583</v>
      </c>
      <c r="F936" s="3" t="s">
        <v>29</v>
      </c>
      <c r="G936" s="9" t="s">
        <v>99</v>
      </c>
      <c r="H936" s="9" t="s">
        <v>143</v>
      </c>
      <c r="I936" s="3"/>
      <c r="J936" s="3"/>
      <c r="K936" s="9"/>
    </row>
    <row r="937" ht="15.75" customHeight="1">
      <c r="A937" s="10" t="s">
        <v>12</v>
      </c>
      <c r="B937" s="10" t="s">
        <v>82</v>
      </c>
      <c r="C937" s="10" t="s">
        <v>7584</v>
      </c>
      <c r="D937" s="11" t="str">
        <f t="shared" si="1"/>
        <v>Abrir anúncio ↗</v>
      </c>
      <c r="E937" s="12" t="s">
        <v>7585</v>
      </c>
      <c r="F937" s="10" t="s">
        <v>29</v>
      </c>
      <c r="G937" s="12" t="s">
        <v>5946</v>
      </c>
      <c r="H937" s="12" t="s">
        <v>5948</v>
      </c>
      <c r="I937" s="10"/>
      <c r="J937" s="10"/>
      <c r="K937" s="12"/>
    </row>
    <row r="938" ht="15.75" customHeight="1">
      <c r="A938" s="3" t="s">
        <v>12</v>
      </c>
      <c r="B938" s="3" t="s">
        <v>82</v>
      </c>
      <c r="C938" s="3" t="s">
        <v>7589</v>
      </c>
      <c r="D938" s="8" t="str">
        <f t="shared" si="1"/>
        <v>Abrir anúncio ↗</v>
      </c>
      <c r="E938" s="9" t="s">
        <v>98</v>
      </c>
      <c r="F938" s="3" t="s">
        <v>29</v>
      </c>
      <c r="G938" s="9" t="s">
        <v>2390</v>
      </c>
      <c r="H938" s="9" t="s">
        <v>2392</v>
      </c>
      <c r="I938" s="3"/>
      <c r="J938" s="3"/>
      <c r="K938" s="9"/>
    </row>
    <row r="939" ht="15.75" customHeight="1">
      <c r="A939" s="10" t="s">
        <v>12</v>
      </c>
      <c r="B939" s="10" t="s">
        <v>82</v>
      </c>
      <c r="C939" s="10" t="s">
        <v>7593</v>
      </c>
      <c r="D939" s="11" t="str">
        <f t="shared" si="1"/>
        <v>Abrir anúncio ↗</v>
      </c>
      <c r="E939" s="12" t="s">
        <v>7594</v>
      </c>
      <c r="F939" s="10" t="s">
        <v>29</v>
      </c>
      <c r="G939" s="12" t="s">
        <v>3685</v>
      </c>
      <c r="H939" s="12" t="s">
        <v>4315</v>
      </c>
      <c r="I939" s="10"/>
      <c r="J939" s="10"/>
      <c r="K939" s="12"/>
    </row>
    <row r="940" ht="15.75" customHeight="1">
      <c r="A940" s="3" t="s">
        <v>12</v>
      </c>
      <c r="B940" s="3" t="s">
        <v>82</v>
      </c>
      <c r="C940" s="3" t="s">
        <v>7597</v>
      </c>
      <c r="D940" s="8" t="str">
        <f t="shared" si="1"/>
        <v>Abrir anúncio ↗</v>
      </c>
      <c r="E940" s="9" t="s">
        <v>7599</v>
      </c>
      <c r="F940" s="3" t="s">
        <v>29</v>
      </c>
      <c r="G940" s="9" t="s">
        <v>3685</v>
      </c>
      <c r="H940" s="9" t="s">
        <v>3789</v>
      </c>
      <c r="I940" s="3"/>
      <c r="J940" s="3"/>
      <c r="K940" s="9"/>
    </row>
    <row r="941" ht="15.75" customHeight="1">
      <c r="A941" s="10" t="s">
        <v>12</v>
      </c>
      <c r="B941" s="10" t="s">
        <v>82</v>
      </c>
      <c r="C941" s="10" t="s">
        <v>6948</v>
      </c>
      <c r="D941" s="11" t="str">
        <f t="shared" si="1"/>
        <v>Abrir anúncio ↗</v>
      </c>
      <c r="E941" s="12" t="s">
        <v>6946</v>
      </c>
      <c r="F941" s="10" t="s">
        <v>29</v>
      </c>
      <c r="G941" s="12" t="s">
        <v>2390</v>
      </c>
      <c r="H941" s="12" t="s">
        <v>2392</v>
      </c>
      <c r="I941" s="10"/>
      <c r="J941" s="10"/>
      <c r="K941" s="12"/>
    </row>
    <row r="942" ht="15.75" customHeight="1">
      <c r="A942" s="3" t="s">
        <v>12</v>
      </c>
      <c r="B942" s="3" t="s">
        <v>82</v>
      </c>
      <c r="C942" s="3" t="s">
        <v>7157</v>
      </c>
      <c r="D942" s="8" t="str">
        <f t="shared" si="1"/>
        <v>Abrir anúncio ↗</v>
      </c>
      <c r="E942" s="9" t="s">
        <v>7156</v>
      </c>
      <c r="F942" s="3" t="s">
        <v>29</v>
      </c>
      <c r="G942" s="9" t="s">
        <v>5946</v>
      </c>
      <c r="H942" s="9" t="s">
        <v>5948</v>
      </c>
      <c r="I942" s="3"/>
      <c r="J942" s="3"/>
      <c r="K942" s="9"/>
    </row>
    <row r="943" ht="15.75" customHeight="1">
      <c r="A943" s="10" t="s">
        <v>12</v>
      </c>
      <c r="B943" s="10" t="s">
        <v>82</v>
      </c>
      <c r="C943" s="10" t="s">
        <v>7604</v>
      </c>
      <c r="D943" s="11" t="str">
        <f t="shared" si="1"/>
        <v>Abrir anúncio ↗</v>
      </c>
      <c r="E943" s="12" t="s">
        <v>7605</v>
      </c>
      <c r="F943" s="10" t="s">
        <v>29</v>
      </c>
      <c r="G943" s="12" t="s">
        <v>6220</v>
      </c>
      <c r="H943" s="12" t="s">
        <v>7606</v>
      </c>
      <c r="I943" s="10"/>
      <c r="J943" s="10"/>
      <c r="K943" s="12"/>
    </row>
    <row r="944" ht="15.75" customHeight="1">
      <c r="A944" s="3" t="s">
        <v>12</v>
      </c>
      <c r="B944" s="3" t="s">
        <v>82</v>
      </c>
      <c r="C944" s="3" t="s">
        <v>7608</v>
      </c>
      <c r="D944" s="8" t="str">
        <f t="shared" si="1"/>
        <v>Abrir anúncio ↗</v>
      </c>
      <c r="E944" s="9" t="s">
        <v>7609</v>
      </c>
      <c r="F944" s="3" t="s">
        <v>29</v>
      </c>
      <c r="G944" s="9" t="s">
        <v>3422</v>
      </c>
      <c r="H944" s="9" t="s">
        <v>3425</v>
      </c>
      <c r="I944" s="3"/>
      <c r="J944" s="3"/>
      <c r="K944" s="9"/>
    </row>
    <row r="945" ht="15.75" customHeight="1">
      <c r="A945" s="10" t="s">
        <v>12</v>
      </c>
      <c r="B945" s="10" t="s">
        <v>82</v>
      </c>
      <c r="C945" s="10" t="s">
        <v>7611</v>
      </c>
      <c r="D945" s="11" t="str">
        <f t="shared" si="1"/>
        <v>Abrir anúncio ↗</v>
      </c>
      <c r="E945" s="12" t="s">
        <v>2847</v>
      </c>
      <c r="F945" s="10" t="s">
        <v>29</v>
      </c>
      <c r="G945" s="12" t="s">
        <v>2390</v>
      </c>
      <c r="H945" s="12" t="s">
        <v>2392</v>
      </c>
      <c r="I945" s="10"/>
      <c r="J945" s="10"/>
      <c r="K945" s="12"/>
    </row>
    <row r="946" ht="15.75" customHeight="1">
      <c r="A946" s="3" t="s">
        <v>12</v>
      </c>
      <c r="B946" s="3" t="s">
        <v>82</v>
      </c>
      <c r="C946" s="3" t="s">
        <v>7613</v>
      </c>
      <c r="D946" s="8" t="str">
        <f t="shared" si="1"/>
        <v>Abrir anúncio ↗</v>
      </c>
      <c r="E946" s="9" t="s">
        <v>7614</v>
      </c>
      <c r="F946" s="3" t="s">
        <v>29</v>
      </c>
      <c r="G946" s="9" t="s">
        <v>2390</v>
      </c>
      <c r="H946" s="9" t="s">
        <v>2392</v>
      </c>
      <c r="I946" s="3"/>
      <c r="J946" s="3"/>
      <c r="K946" s="9"/>
    </row>
    <row r="947" ht="15.75" customHeight="1">
      <c r="A947" s="10" t="s">
        <v>12</v>
      </c>
      <c r="B947" s="10" t="s">
        <v>82</v>
      </c>
      <c r="C947" s="10" t="s">
        <v>7616</v>
      </c>
      <c r="D947" s="11" t="str">
        <f t="shared" si="1"/>
        <v>Abrir anúncio ↗</v>
      </c>
      <c r="E947" s="12" t="s">
        <v>7617</v>
      </c>
      <c r="F947" s="10" t="s">
        <v>29</v>
      </c>
      <c r="G947" s="12" t="s">
        <v>3685</v>
      </c>
      <c r="H947" s="12" t="s">
        <v>3809</v>
      </c>
      <c r="I947" s="10"/>
      <c r="J947" s="10"/>
      <c r="K947" s="12"/>
    </row>
    <row r="948" ht="15.75" customHeight="1">
      <c r="A948" s="3" t="s">
        <v>12</v>
      </c>
      <c r="B948" s="3" t="s">
        <v>82</v>
      </c>
      <c r="C948" s="3" t="s">
        <v>7619</v>
      </c>
      <c r="D948" s="8" t="str">
        <f t="shared" si="1"/>
        <v>Abrir anúncio ↗</v>
      </c>
      <c r="E948" s="9" t="s">
        <v>7622</v>
      </c>
      <c r="F948" s="3" t="s">
        <v>29</v>
      </c>
      <c r="G948" s="9" t="s">
        <v>3892</v>
      </c>
      <c r="H948" s="9" t="s">
        <v>4978</v>
      </c>
      <c r="I948" s="3"/>
      <c r="J948" s="3"/>
      <c r="K948" s="9"/>
    </row>
    <row r="949" ht="15.75" customHeight="1">
      <c r="A949" s="10" t="s">
        <v>12</v>
      </c>
      <c r="B949" s="10" t="s">
        <v>82</v>
      </c>
      <c r="C949" s="10" t="s">
        <v>7625</v>
      </c>
      <c r="D949" s="11" t="str">
        <f t="shared" si="1"/>
        <v>Abrir anúncio ↗</v>
      </c>
      <c r="E949" s="12" t="s">
        <v>7627</v>
      </c>
      <c r="F949" s="10" t="s">
        <v>29</v>
      </c>
      <c r="G949" s="12" t="s">
        <v>3685</v>
      </c>
      <c r="H949" s="12" t="s">
        <v>3789</v>
      </c>
      <c r="I949" s="10"/>
      <c r="J949" s="10"/>
      <c r="K949" s="12"/>
    </row>
    <row r="950" ht="15.75" customHeight="1">
      <c r="A950" s="3" t="s">
        <v>12</v>
      </c>
      <c r="B950" s="3" t="s">
        <v>82</v>
      </c>
      <c r="C950" s="3" t="s">
        <v>7632</v>
      </c>
      <c r="D950" s="8" t="str">
        <f t="shared" si="1"/>
        <v>Abrir anúncio ↗</v>
      </c>
      <c r="E950" s="9" t="s">
        <v>7633</v>
      </c>
      <c r="F950" s="3" t="s">
        <v>29</v>
      </c>
      <c r="G950" s="9" t="s">
        <v>3422</v>
      </c>
      <c r="H950" s="9" t="s">
        <v>3795</v>
      </c>
      <c r="I950" s="3"/>
      <c r="J950" s="3"/>
      <c r="K950" s="9"/>
    </row>
    <row r="951" ht="15.75" customHeight="1">
      <c r="A951" s="10" t="s">
        <v>12</v>
      </c>
      <c r="B951" s="10" t="s">
        <v>82</v>
      </c>
      <c r="C951" s="10" t="s">
        <v>7637</v>
      </c>
      <c r="D951" s="11" t="str">
        <f t="shared" si="1"/>
        <v>Abrir anúncio ↗</v>
      </c>
      <c r="E951" s="12" t="s">
        <v>7638</v>
      </c>
      <c r="F951" s="10" t="s">
        <v>29</v>
      </c>
      <c r="G951" s="12" t="s">
        <v>5946</v>
      </c>
      <c r="H951" s="12" t="s">
        <v>5948</v>
      </c>
      <c r="I951" s="10"/>
      <c r="J951" s="10"/>
      <c r="K951" s="12"/>
    </row>
    <row r="952" ht="15.75" customHeight="1">
      <c r="A952" s="3" t="s">
        <v>12</v>
      </c>
      <c r="B952" s="3" t="s">
        <v>82</v>
      </c>
      <c r="C952" s="3" t="s">
        <v>7642</v>
      </c>
      <c r="D952" s="8" t="str">
        <f t="shared" si="1"/>
        <v>Abrir anúncio ↗</v>
      </c>
      <c r="E952" s="9" t="s">
        <v>7643</v>
      </c>
      <c r="F952" s="3" t="s">
        <v>29</v>
      </c>
      <c r="G952" s="9" t="s">
        <v>3685</v>
      </c>
      <c r="H952" s="9" t="s">
        <v>3877</v>
      </c>
      <c r="I952" s="3"/>
      <c r="J952" s="3"/>
      <c r="K952" s="9"/>
    </row>
    <row r="953" ht="15.75" customHeight="1">
      <c r="A953" s="10" t="s">
        <v>12</v>
      </c>
      <c r="B953" s="10" t="s">
        <v>82</v>
      </c>
      <c r="C953" s="10" t="s">
        <v>7646</v>
      </c>
      <c r="D953" s="11" t="str">
        <f t="shared" si="1"/>
        <v>Abrir anúncio ↗</v>
      </c>
      <c r="E953" s="12" t="s">
        <v>7647</v>
      </c>
      <c r="F953" s="10" t="s">
        <v>29</v>
      </c>
      <c r="G953" s="12" t="s">
        <v>3685</v>
      </c>
      <c r="H953" s="12" t="s">
        <v>3871</v>
      </c>
      <c r="I953" s="10"/>
      <c r="J953" s="10"/>
      <c r="K953" s="12"/>
    </row>
    <row r="954" ht="15.75" customHeight="1">
      <c r="A954" s="3" t="s">
        <v>12</v>
      </c>
      <c r="B954" s="3" t="s">
        <v>82</v>
      </c>
      <c r="C954" s="3" t="s">
        <v>7650</v>
      </c>
      <c r="D954" s="8" t="str">
        <f t="shared" si="1"/>
        <v>Abrir anúncio ↗</v>
      </c>
      <c r="E954" s="9" t="s">
        <v>7651</v>
      </c>
      <c r="F954" s="3" t="s">
        <v>29</v>
      </c>
      <c r="G954" s="9" t="s">
        <v>3685</v>
      </c>
      <c r="H954" s="9" t="s">
        <v>3809</v>
      </c>
      <c r="I954" s="3"/>
      <c r="J954" s="3"/>
      <c r="K954" s="9"/>
    </row>
    <row r="955" ht="15.75" customHeight="1">
      <c r="A955" s="10" t="s">
        <v>12</v>
      </c>
      <c r="B955" s="10" t="s">
        <v>82</v>
      </c>
      <c r="C955" s="10" t="s">
        <v>7655</v>
      </c>
      <c r="D955" s="11" t="str">
        <f t="shared" si="1"/>
        <v>Abrir anúncio ↗</v>
      </c>
      <c r="E955" s="12" t="s">
        <v>7656</v>
      </c>
      <c r="F955" s="10" t="s">
        <v>29</v>
      </c>
      <c r="G955" s="12" t="s">
        <v>3685</v>
      </c>
      <c r="H955" s="12" t="s">
        <v>4253</v>
      </c>
      <c r="I955" s="10"/>
      <c r="J955" s="10"/>
      <c r="K955" s="12"/>
    </row>
    <row r="956" ht="15.75" customHeight="1">
      <c r="A956" s="3" t="s">
        <v>12</v>
      </c>
      <c r="B956" s="3" t="s">
        <v>82</v>
      </c>
      <c r="C956" s="3" t="s">
        <v>7659</v>
      </c>
      <c r="D956" s="8" t="str">
        <f t="shared" si="1"/>
        <v>Abrir anúncio ↗</v>
      </c>
      <c r="E956" s="9" t="s">
        <v>7660</v>
      </c>
      <c r="F956" s="3" t="s">
        <v>29</v>
      </c>
      <c r="G956" s="9" t="s">
        <v>3685</v>
      </c>
      <c r="H956" s="9" t="s">
        <v>3871</v>
      </c>
      <c r="I956" s="3"/>
      <c r="J956" s="3"/>
      <c r="K956" s="9"/>
    </row>
    <row r="957" ht="15.75" customHeight="1">
      <c r="A957" s="10" t="s">
        <v>12</v>
      </c>
      <c r="B957" s="10" t="s">
        <v>82</v>
      </c>
      <c r="C957" s="10" t="s">
        <v>7663</v>
      </c>
      <c r="D957" s="11" t="str">
        <f t="shared" si="1"/>
        <v>Abrir anúncio ↗</v>
      </c>
      <c r="E957" s="12" t="s">
        <v>3764</v>
      </c>
      <c r="F957" s="10" t="s">
        <v>29</v>
      </c>
      <c r="G957" s="12" t="s">
        <v>99</v>
      </c>
      <c r="H957" s="12" t="s">
        <v>560</v>
      </c>
      <c r="I957" s="10"/>
      <c r="J957" s="10"/>
      <c r="K957" s="12"/>
    </row>
    <row r="958" ht="15.75" customHeight="1">
      <c r="A958" s="3" t="s">
        <v>12</v>
      </c>
      <c r="B958" s="3" t="s">
        <v>82</v>
      </c>
      <c r="C958" s="3" t="s">
        <v>7667</v>
      </c>
      <c r="D958" s="8" t="str">
        <f t="shared" si="1"/>
        <v>Abrir anúncio ↗</v>
      </c>
      <c r="E958" s="9" t="s">
        <v>7669</v>
      </c>
      <c r="F958" s="3" t="s">
        <v>29</v>
      </c>
      <c r="G958" s="9" t="s">
        <v>3892</v>
      </c>
      <c r="H958" s="9" t="s">
        <v>6580</v>
      </c>
      <c r="I958" s="3"/>
      <c r="J958" s="3"/>
      <c r="K958" s="9"/>
    </row>
    <row r="959" ht="15.75" customHeight="1">
      <c r="A959" s="10" t="s">
        <v>12</v>
      </c>
      <c r="B959" s="10" t="s">
        <v>82</v>
      </c>
      <c r="C959" s="10" t="s">
        <v>7672</v>
      </c>
      <c r="D959" s="11" t="str">
        <f t="shared" si="1"/>
        <v>Abrir anúncio ↗</v>
      </c>
      <c r="E959" s="12" t="s">
        <v>7673</v>
      </c>
      <c r="F959" s="10" t="s">
        <v>29</v>
      </c>
      <c r="G959" s="12" t="s">
        <v>3685</v>
      </c>
      <c r="H959" s="12" t="s">
        <v>3986</v>
      </c>
      <c r="I959" s="10"/>
      <c r="J959" s="10"/>
      <c r="K959" s="12"/>
    </row>
    <row r="960" ht="15.75" customHeight="1">
      <c r="A960" s="3" t="s">
        <v>12</v>
      </c>
      <c r="B960" s="3" t="s">
        <v>82</v>
      </c>
      <c r="C960" s="3" t="s">
        <v>7678</v>
      </c>
      <c r="D960" s="8" t="str">
        <f t="shared" si="1"/>
        <v>Abrir anúncio ↗</v>
      </c>
      <c r="E960" s="9" t="s">
        <v>7681</v>
      </c>
      <c r="F960" s="3" t="s">
        <v>29</v>
      </c>
      <c r="G960" s="9" t="s">
        <v>3685</v>
      </c>
      <c r="H960" s="9" t="s">
        <v>4315</v>
      </c>
      <c r="I960" s="3"/>
      <c r="J960" s="3"/>
      <c r="K960" s="9"/>
    </row>
    <row r="961" ht="15.75" customHeight="1">
      <c r="A961" s="10" t="s">
        <v>12</v>
      </c>
      <c r="B961" s="10" t="s">
        <v>82</v>
      </c>
      <c r="C961" s="10" t="s">
        <v>7685</v>
      </c>
      <c r="D961" s="11" t="str">
        <f t="shared" si="1"/>
        <v>Abrir anúncio ↗</v>
      </c>
      <c r="E961" s="12" t="s">
        <v>7688</v>
      </c>
      <c r="F961" s="10" t="s">
        <v>29</v>
      </c>
      <c r="G961" s="12" t="s">
        <v>3892</v>
      </c>
      <c r="H961" s="12" t="s">
        <v>7689</v>
      </c>
      <c r="I961" s="10"/>
      <c r="J961" s="10"/>
      <c r="K961" s="12"/>
    </row>
    <row r="962" ht="15.75" customHeight="1">
      <c r="A962" s="3" t="s">
        <v>12</v>
      </c>
      <c r="B962" s="3" t="s">
        <v>82</v>
      </c>
      <c r="C962" s="3" t="s">
        <v>7692</v>
      </c>
      <c r="D962" s="8" t="str">
        <f t="shared" si="1"/>
        <v>Abrir anúncio ↗</v>
      </c>
      <c r="E962" s="9" t="s">
        <v>7693</v>
      </c>
      <c r="F962" s="3" t="s">
        <v>29</v>
      </c>
      <c r="G962" s="9" t="s">
        <v>3422</v>
      </c>
      <c r="H962" s="9" t="s">
        <v>7695</v>
      </c>
      <c r="I962" s="3"/>
      <c r="J962" s="3"/>
      <c r="K962" s="9"/>
    </row>
    <row r="963" ht="15.75" customHeight="1">
      <c r="A963" s="10" t="s">
        <v>12</v>
      </c>
      <c r="B963" s="10" t="s">
        <v>82</v>
      </c>
      <c r="C963" s="10" t="s">
        <v>7697</v>
      </c>
      <c r="D963" s="11" t="str">
        <f t="shared" si="1"/>
        <v>Abrir anúncio ↗</v>
      </c>
      <c r="E963" s="12" t="s">
        <v>7700</v>
      </c>
      <c r="F963" s="10" t="s">
        <v>29</v>
      </c>
      <c r="G963" s="12" t="s">
        <v>2390</v>
      </c>
      <c r="H963" s="12" t="s">
        <v>2392</v>
      </c>
      <c r="I963" s="10"/>
      <c r="J963" s="10"/>
      <c r="K963" s="12"/>
    </row>
    <row r="964" ht="15.75" customHeight="1">
      <c r="A964" s="3" t="s">
        <v>12</v>
      </c>
      <c r="B964" s="3" t="s">
        <v>82</v>
      </c>
      <c r="C964" s="3" t="s">
        <v>7139</v>
      </c>
      <c r="D964" s="8" t="str">
        <f t="shared" si="1"/>
        <v>Abrir anúncio ↗</v>
      </c>
      <c r="E964" s="9" t="s">
        <v>7134</v>
      </c>
      <c r="F964" s="3" t="s">
        <v>29</v>
      </c>
      <c r="G964" s="9" t="s">
        <v>2390</v>
      </c>
      <c r="H964" s="9" t="s">
        <v>2392</v>
      </c>
      <c r="I964" s="3"/>
      <c r="J964" s="3"/>
      <c r="K964" s="9"/>
    </row>
    <row r="965" ht="15.75" customHeight="1">
      <c r="A965" s="10" t="s">
        <v>12</v>
      </c>
      <c r="B965" s="10" t="s">
        <v>82</v>
      </c>
      <c r="C965" s="10" t="s">
        <v>7705</v>
      </c>
      <c r="D965" s="11" t="str">
        <f t="shared" si="1"/>
        <v>Abrir anúncio ↗</v>
      </c>
      <c r="E965" s="12" t="s">
        <v>7706</v>
      </c>
      <c r="F965" s="10" t="s">
        <v>29</v>
      </c>
      <c r="G965" s="12" t="s">
        <v>99</v>
      </c>
      <c r="H965" s="12" t="s">
        <v>3384</v>
      </c>
      <c r="I965" s="10"/>
      <c r="J965" s="10"/>
      <c r="K965" s="12"/>
    </row>
    <row r="966" ht="15.75" customHeight="1">
      <c r="A966" s="3" t="s">
        <v>12</v>
      </c>
      <c r="B966" s="3" t="s">
        <v>82</v>
      </c>
      <c r="C966" s="3" t="s">
        <v>7707</v>
      </c>
      <c r="D966" s="8" t="str">
        <f t="shared" si="1"/>
        <v>Abrir anúncio ↗</v>
      </c>
      <c r="E966" s="9" t="s">
        <v>7708</v>
      </c>
      <c r="F966" s="3" t="s">
        <v>86</v>
      </c>
      <c r="G966" s="9" t="s">
        <v>583</v>
      </c>
      <c r="H966" s="9" t="s">
        <v>3861</v>
      </c>
      <c r="I966" s="3"/>
      <c r="J966" s="3"/>
      <c r="K966" s="9"/>
    </row>
    <row r="967" ht="15.75" customHeight="1">
      <c r="A967" s="10" t="s">
        <v>12</v>
      </c>
      <c r="B967" s="10" t="s">
        <v>82</v>
      </c>
      <c r="C967" s="10" t="s">
        <v>7712</v>
      </c>
      <c r="D967" s="11" t="str">
        <f t="shared" si="1"/>
        <v>Abrir anúncio ↗</v>
      </c>
      <c r="E967" s="12" t="s">
        <v>4120</v>
      </c>
      <c r="F967" s="10" t="s">
        <v>29</v>
      </c>
      <c r="G967" s="12" t="s">
        <v>7714</v>
      </c>
      <c r="H967" s="12" t="s">
        <v>7715</v>
      </c>
      <c r="I967" s="10"/>
      <c r="J967" s="10"/>
      <c r="K967" s="12"/>
    </row>
    <row r="968" ht="15.75" customHeight="1">
      <c r="A968" s="3" t="s">
        <v>12</v>
      </c>
      <c r="B968" s="3" t="s">
        <v>82</v>
      </c>
      <c r="C968" s="3" t="s">
        <v>7645</v>
      </c>
      <c r="D968" s="8" t="str">
        <f t="shared" si="1"/>
        <v>Abrir anúncio ↗</v>
      </c>
      <c r="E968" s="9" t="s">
        <v>2898</v>
      </c>
      <c r="F968" s="3" t="s">
        <v>29</v>
      </c>
      <c r="G968" s="9" t="s">
        <v>2390</v>
      </c>
      <c r="H968" s="9" t="s">
        <v>2392</v>
      </c>
      <c r="I968" s="3"/>
      <c r="J968" s="3"/>
      <c r="K968" s="9"/>
    </row>
    <row r="969" ht="15.75" customHeight="1">
      <c r="A969" s="10" t="s">
        <v>12</v>
      </c>
      <c r="B969" s="10" t="s">
        <v>82</v>
      </c>
      <c r="C969" s="10" t="s">
        <v>7721</v>
      </c>
      <c r="D969" s="11" t="str">
        <f t="shared" si="1"/>
        <v>Abrir anúncio ↗</v>
      </c>
      <c r="E969" s="12" t="s">
        <v>7722</v>
      </c>
      <c r="F969" s="10" t="s">
        <v>29</v>
      </c>
      <c r="G969" s="12" t="s">
        <v>7228</v>
      </c>
      <c r="H969" s="12" t="s">
        <v>7726</v>
      </c>
      <c r="I969" s="10"/>
      <c r="J969" s="10"/>
      <c r="K969" s="12"/>
    </row>
    <row r="970" ht="15.75" customHeight="1">
      <c r="A970" s="3" t="s">
        <v>12</v>
      </c>
      <c r="B970" s="3" t="s">
        <v>82</v>
      </c>
      <c r="C970" s="3" t="s">
        <v>7728</v>
      </c>
      <c r="D970" s="8" t="str">
        <f t="shared" si="1"/>
        <v>Abrir anúncio ↗</v>
      </c>
      <c r="E970" s="9" t="s">
        <v>7731</v>
      </c>
      <c r="F970" s="3" t="s">
        <v>29</v>
      </c>
      <c r="G970" s="9" t="s">
        <v>3892</v>
      </c>
      <c r="H970" s="9" t="s">
        <v>5175</v>
      </c>
      <c r="I970" s="3"/>
      <c r="J970" s="3"/>
      <c r="K970" s="9"/>
    </row>
    <row r="971" ht="15.75" customHeight="1">
      <c r="A971" s="10" t="s">
        <v>12</v>
      </c>
      <c r="B971" s="10" t="s">
        <v>82</v>
      </c>
      <c r="C971" s="10" t="s">
        <v>7733</v>
      </c>
      <c r="D971" s="11" t="str">
        <f t="shared" si="1"/>
        <v>Abrir anúncio ↗</v>
      </c>
      <c r="E971" s="12" t="s">
        <v>7734</v>
      </c>
      <c r="F971" s="10" t="s">
        <v>29</v>
      </c>
      <c r="G971" s="12" t="s">
        <v>3685</v>
      </c>
      <c r="H971" s="12" t="s">
        <v>3917</v>
      </c>
      <c r="I971" s="10"/>
      <c r="J971" s="10"/>
      <c r="K971" s="12"/>
    </row>
    <row r="972" ht="15.75" customHeight="1">
      <c r="A972" s="3" t="s">
        <v>12</v>
      </c>
      <c r="B972" s="3" t="s">
        <v>82</v>
      </c>
      <c r="C972" s="3" t="s">
        <v>7735</v>
      </c>
      <c r="D972" s="8" t="str">
        <f t="shared" si="1"/>
        <v>Abrir anúncio ↗</v>
      </c>
      <c r="E972" s="9" t="s">
        <v>7736</v>
      </c>
      <c r="F972" s="3" t="s">
        <v>29</v>
      </c>
      <c r="G972" s="9" t="s">
        <v>5822</v>
      </c>
      <c r="H972" s="9" t="s">
        <v>7739</v>
      </c>
      <c r="I972" s="3"/>
      <c r="J972" s="3"/>
      <c r="K972" s="9"/>
    </row>
    <row r="973" ht="15.75" customHeight="1">
      <c r="A973" s="10" t="s">
        <v>12</v>
      </c>
      <c r="B973" s="10" t="s">
        <v>82</v>
      </c>
      <c r="C973" s="10" t="s">
        <v>7740</v>
      </c>
      <c r="D973" s="11" t="str">
        <f t="shared" si="1"/>
        <v>Abrir anúncio ↗</v>
      </c>
      <c r="E973" s="12" t="s">
        <v>4130</v>
      </c>
      <c r="F973" s="10" t="s">
        <v>86</v>
      </c>
      <c r="G973" s="12" t="s">
        <v>157</v>
      </c>
      <c r="H973" s="12" t="s">
        <v>4551</v>
      </c>
      <c r="I973" s="10"/>
      <c r="J973" s="10"/>
      <c r="K973" s="12"/>
    </row>
    <row r="974" ht="15.75" customHeight="1">
      <c r="A974" s="3" t="s">
        <v>12</v>
      </c>
      <c r="B974" s="3" t="s">
        <v>82</v>
      </c>
      <c r="C974" s="3" t="s">
        <v>7741</v>
      </c>
      <c r="D974" s="8" t="str">
        <f t="shared" si="1"/>
        <v>Abrir anúncio ↗</v>
      </c>
      <c r="E974" s="9" t="s">
        <v>7742</v>
      </c>
      <c r="F974" s="3" t="s">
        <v>29</v>
      </c>
      <c r="G974" s="9" t="s">
        <v>2390</v>
      </c>
      <c r="H974" s="9" t="s">
        <v>2392</v>
      </c>
      <c r="I974" s="3"/>
      <c r="J974" s="3"/>
      <c r="K974" s="9"/>
    </row>
    <row r="975" ht="15.75" customHeight="1">
      <c r="A975" s="10" t="s">
        <v>12</v>
      </c>
      <c r="B975" s="10" t="s">
        <v>82</v>
      </c>
      <c r="C975" s="10" t="s">
        <v>7745</v>
      </c>
      <c r="D975" s="11" t="str">
        <f t="shared" si="1"/>
        <v>Abrir anúncio ↗</v>
      </c>
      <c r="E975" s="12" t="s">
        <v>7747</v>
      </c>
      <c r="F975" s="10" t="s">
        <v>29</v>
      </c>
      <c r="G975" s="12" t="s">
        <v>3685</v>
      </c>
      <c r="H975" s="12" t="s">
        <v>3687</v>
      </c>
      <c r="I975" s="10"/>
      <c r="J975" s="10"/>
      <c r="K975" s="12"/>
    </row>
    <row r="976" ht="15.75" customHeight="1">
      <c r="A976" s="3" t="s">
        <v>12</v>
      </c>
      <c r="B976" s="3" t="s">
        <v>82</v>
      </c>
      <c r="C976" s="3" t="s">
        <v>7750</v>
      </c>
      <c r="D976" s="8" t="str">
        <f t="shared" si="1"/>
        <v>Abrir anúncio ↗</v>
      </c>
      <c r="E976" s="9" t="s">
        <v>7751</v>
      </c>
      <c r="F976" s="3" t="s">
        <v>29</v>
      </c>
      <c r="G976" s="9" t="s">
        <v>3892</v>
      </c>
      <c r="H976" s="9" t="s">
        <v>4751</v>
      </c>
      <c r="I976" s="3"/>
      <c r="J976" s="3"/>
      <c r="K976" s="9"/>
    </row>
    <row r="977" ht="15.75" customHeight="1">
      <c r="A977" s="10" t="s">
        <v>12</v>
      </c>
      <c r="B977" s="10" t="s">
        <v>82</v>
      </c>
      <c r="C977" s="10" t="s">
        <v>7753</v>
      </c>
      <c r="D977" s="11" t="str">
        <f t="shared" si="1"/>
        <v>Abrir anúncio ↗</v>
      </c>
      <c r="E977" s="12" t="s">
        <v>7755</v>
      </c>
      <c r="F977" s="10" t="s">
        <v>29</v>
      </c>
      <c r="G977" s="12" t="s">
        <v>7756</v>
      </c>
      <c r="H977" s="12" t="s">
        <v>7757</v>
      </c>
      <c r="I977" s="10"/>
      <c r="J977" s="10"/>
      <c r="K977" s="12"/>
    </row>
    <row r="978" ht="15.75" customHeight="1">
      <c r="A978" s="3" t="s">
        <v>12</v>
      </c>
      <c r="B978" s="3" t="s">
        <v>82</v>
      </c>
      <c r="C978" s="3" t="s">
        <v>7758</v>
      </c>
      <c r="D978" s="8" t="str">
        <f t="shared" si="1"/>
        <v>Abrir anúncio ↗</v>
      </c>
      <c r="E978" s="9" t="s">
        <v>7759</v>
      </c>
      <c r="F978" s="3" t="s">
        <v>29</v>
      </c>
      <c r="G978" s="9" t="s">
        <v>3892</v>
      </c>
      <c r="H978" s="9" t="s">
        <v>5183</v>
      </c>
      <c r="I978" s="3"/>
      <c r="J978" s="3"/>
      <c r="K978" s="9"/>
    </row>
    <row r="979" ht="15.75" customHeight="1">
      <c r="A979" s="10" t="s">
        <v>12</v>
      </c>
      <c r="B979" s="10" t="s">
        <v>82</v>
      </c>
      <c r="C979" s="10" t="s">
        <v>7760</v>
      </c>
      <c r="D979" s="11" t="str">
        <f t="shared" si="1"/>
        <v>Abrir anúncio ↗</v>
      </c>
      <c r="E979" s="12" t="s">
        <v>7761</v>
      </c>
      <c r="F979" s="10" t="s">
        <v>29</v>
      </c>
      <c r="G979" s="12" t="s">
        <v>4786</v>
      </c>
      <c r="H979" s="12" t="s">
        <v>6300</v>
      </c>
      <c r="I979" s="10"/>
      <c r="J979" s="10"/>
      <c r="K979" s="12"/>
    </row>
    <row r="980" ht="15.75" customHeight="1">
      <c r="A980" s="3" t="s">
        <v>12</v>
      </c>
      <c r="B980" s="3" t="s">
        <v>82</v>
      </c>
      <c r="C980" s="3" t="s">
        <v>7763</v>
      </c>
      <c r="D980" s="8" t="str">
        <f t="shared" si="1"/>
        <v>Abrir anúncio ↗</v>
      </c>
      <c r="E980" s="9" t="s">
        <v>7764</v>
      </c>
      <c r="F980" s="3" t="s">
        <v>29</v>
      </c>
      <c r="G980" s="9" t="s">
        <v>3685</v>
      </c>
      <c r="H980" s="9" t="s">
        <v>3757</v>
      </c>
      <c r="I980" s="3"/>
      <c r="J980" s="3"/>
      <c r="K980" s="9"/>
    </row>
    <row r="981" ht="15.75" customHeight="1">
      <c r="A981" s="10" t="s">
        <v>12</v>
      </c>
      <c r="B981" s="10" t="s">
        <v>82</v>
      </c>
      <c r="C981" s="10" t="s">
        <v>7765</v>
      </c>
      <c r="D981" s="11" t="str">
        <f t="shared" si="1"/>
        <v>Abrir anúncio ↗</v>
      </c>
      <c r="E981" s="12" t="s">
        <v>7767</v>
      </c>
      <c r="F981" s="10" t="s">
        <v>29</v>
      </c>
      <c r="G981" s="12" t="s">
        <v>4262</v>
      </c>
      <c r="H981" s="12" t="s">
        <v>4952</v>
      </c>
      <c r="I981" s="10"/>
      <c r="J981" s="10"/>
      <c r="K981" s="12"/>
    </row>
    <row r="982" ht="15.75" customHeight="1">
      <c r="A982" s="3" t="s">
        <v>12</v>
      </c>
      <c r="B982" s="3" t="s">
        <v>82</v>
      </c>
      <c r="C982" s="3" t="s">
        <v>7039</v>
      </c>
      <c r="D982" s="8" t="str">
        <f t="shared" si="1"/>
        <v>Abrir anúncio ↗</v>
      </c>
      <c r="E982" s="9" t="s">
        <v>3141</v>
      </c>
      <c r="F982" s="3" t="s">
        <v>29</v>
      </c>
      <c r="G982" s="9" t="s">
        <v>2390</v>
      </c>
      <c r="H982" s="9" t="s">
        <v>2392</v>
      </c>
      <c r="I982" s="3"/>
      <c r="J982" s="3"/>
      <c r="K982" s="9"/>
    </row>
    <row r="983" ht="15.75" customHeight="1">
      <c r="A983" s="10" t="s">
        <v>12</v>
      </c>
      <c r="B983" s="10" t="s">
        <v>82</v>
      </c>
      <c r="C983" s="10" t="s">
        <v>7770</v>
      </c>
      <c r="D983" s="11" t="str">
        <f t="shared" si="1"/>
        <v>Abrir anúncio ↗</v>
      </c>
      <c r="E983" s="12" t="s">
        <v>7771</v>
      </c>
      <c r="F983" s="10" t="s">
        <v>29</v>
      </c>
      <c r="G983" s="12" t="s">
        <v>5822</v>
      </c>
      <c r="H983" s="12" t="s">
        <v>5824</v>
      </c>
      <c r="I983" s="10"/>
      <c r="J983" s="10"/>
      <c r="K983" s="12"/>
    </row>
    <row r="984" ht="15.75" customHeight="1">
      <c r="A984" s="3" t="s">
        <v>12</v>
      </c>
      <c r="B984" s="3" t="s">
        <v>82</v>
      </c>
      <c r="C984" s="3" t="s">
        <v>7773</v>
      </c>
      <c r="D984" s="8" t="str">
        <f t="shared" si="1"/>
        <v>Abrir anúncio ↗</v>
      </c>
      <c r="E984" s="9" t="s">
        <v>7774</v>
      </c>
      <c r="F984" s="3" t="s">
        <v>29</v>
      </c>
      <c r="G984" s="9" t="s">
        <v>3685</v>
      </c>
      <c r="H984" s="9" t="s">
        <v>4207</v>
      </c>
      <c r="I984" s="3"/>
      <c r="J984" s="3"/>
      <c r="K984" s="9"/>
    </row>
    <row r="985" ht="15.75" customHeight="1">
      <c r="A985" s="10" t="s">
        <v>12</v>
      </c>
      <c r="B985" s="10" t="s">
        <v>82</v>
      </c>
      <c r="C985" s="10" t="s">
        <v>7776</v>
      </c>
      <c r="D985" s="11" t="str">
        <f t="shared" si="1"/>
        <v>Abrir anúncio ↗</v>
      </c>
      <c r="E985" s="12" t="s">
        <v>7778</v>
      </c>
      <c r="F985" s="10" t="s">
        <v>29</v>
      </c>
      <c r="G985" s="12" t="s">
        <v>3709</v>
      </c>
      <c r="H985" s="12" t="s">
        <v>3904</v>
      </c>
      <c r="I985" s="10"/>
      <c r="J985" s="10"/>
      <c r="K985" s="12"/>
    </row>
    <row r="986" ht="15.75" customHeight="1">
      <c r="A986" s="3" t="s">
        <v>12</v>
      </c>
      <c r="B986" s="3" t="s">
        <v>82</v>
      </c>
      <c r="C986" s="3" t="s">
        <v>7781</v>
      </c>
      <c r="D986" s="8" t="str">
        <f t="shared" si="1"/>
        <v>Abrir anúncio ↗</v>
      </c>
      <c r="E986" s="9" t="s">
        <v>7782</v>
      </c>
      <c r="F986" s="3" t="s">
        <v>29</v>
      </c>
      <c r="G986" s="9" t="s">
        <v>2390</v>
      </c>
      <c r="H986" s="9" t="s">
        <v>2392</v>
      </c>
      <c r="I986" s="3"/>
      <c r="J986" s="3"/>
      <c r="K986" s="9"/>
    </row>
    <row r="987" ht="15.75" customHeight="1">
      <c r="A987" s="10" t="s">
        <v>12</v>
      </c>
      <c r="B987" s="10" t="s">
        <v>82</v>
      </c>
      <c r="C987" s="10" t="s">
        <v>7783</v>
      </c>
      <c r="D987" s="11" t="str">
        <f t="shared" si="1"/>
        <v>Abrir anúncio ↗</v>
      </c>
      <c r="E987" s="12" t="s">
        <v>7784</v>
      </c>
      <c r="F987" s="10" t="s">
        <v>29</v>
      </c>
      <c r="G987" s="12" t="s">
        <v>2390</v>
      </c>
      <c r="H987" s="12" t="s">
        <v>2392</v>
      </c>
      <c r="I987" s="10"/>
      <c r="J987" s="10"/>
      <c r="K987" s="12"/>
    </row>
    <row r="988" ht="15.75" customHeight="1">
      <c r="A988" s="3" t="s">
        <v>12</v>
      </c>
      <c r="B988" s="3" t="s">
        <v>82</v>
      </c>
      <c r="C988" s="3" t="s">
        <v>7786</v>
      </c>
      <c r="D988" s="8" t="str">
        <f t="shared" si="1"/>
        <v>Abrir anúncio ↗</v>
      </c>
      <c r="E988" s="9" t="s">
        <v>7787</v>
      </c>
      <c r="F988" s="3" t="s">
        <v>29</v>
      </c>
      <c r="G988" s="9" t="s">
        <v>5547</v>
      </c>
      <c r="H988" s="9" t="s">
        <v>7788</v>
      </c>
      <c r="I988" s="3"/>
      <c r="J988" s="3"/>
      <c r="K988" s="9"/>
    </row>
    <row r="989" ht="15.75" customHeight="1">
      <c r="A989" s="10" t="s">
        <v>12</v>
      </c>
      <c r="B989" s="10" t="s">
        <v>82</v>
      </c>
      <c r="C989" s="10" t="s">
        <v>7789</v>
      </c>
      <c r="D989" s="11" t="str">
        <f t="shared" si="1"/>
        <v>Abrir anúncio ↗</v>
      </c>
      <c r="E989" s="12" t="s">
        <v>7790</v>
      </c>
      <c r="F989" s="10" t="s">
        <v>29</v>
      </c>
      <c r="G989" s="12" t="s">
        <v>5946</v>
      </c>
      <c r="H989" s="12" t="s">
        <v>5948</v>
      </c>
      <c r="I989" s="10"/>
      <c r="J989" s="10"/>
      <c r="K989" s="12"/>
    </row>
    <row r="990" ht="15.75" customHeight="1">
      <c r="A990" s="3" t="s">
        <v>12</v>
      </c>
      <c r="B990" s="3" t="s">
        <v>82</v>
      </c>
      <c r="C990" s="3" t="s">
        <v>7791</v>
      </c>
      <c r="D990" s="8" t="str">
        <f t="shared" si="1"/>
        <v>Abrir anúncio ↗</v>
      </c>
      <c r="E990" s="9" t="s">
        <v>7792</v>
      </c>
      <c r="F990" s="3" t="s">
        <v>29</v>
      </c>
      <c r="G990" s="9" t="s">
        <v>5946</v>
      </c>
      <c r="H990" s="9" t="s">
        <v>5948</v>
      </c>
      <c r="I990" s="3"/>
      <c r="J990" s="3"/>
      <c r="K990" s="9"/>
    </row>
    <row r="991" ht="15.75" customHeight="1">
      <c r="A991" s="10" t="s">
        <v>12</v>
      </c>
      <c r="B991" s="10" t="s">
        <v>82</v>
      </c>
      <c r="C991" s="10" t="s">
        <v>7772</v>
      </c>
      <c r="D991" s="11" t="str">
        <f t="shared" si="1"/>
        <v>Abrir anúncio ↗</v>
      </c>
      <c r="E991" s="12" t="s">
        <v>7768</v>
      </c>
      <c r="F991" s="10" t="s">
        <v>29</v>
      </c>
      <c r="G991" s="12" t="s">
        <v>2390</v>
      </c>
      <c r="H991" s="12" t="s">
        <v>2392</v>
      </c>
      <c r="I991" s="10"/>
      <c r="J991" s="10"/>
      <c r="K991" s="12"/>
    </row>
    <row r="992" ht="15.75" customHeight="1">
      <c r="A992" s="3" t="s">
        <v>12</v>
      </c>
      <c r="B992" s="3" t="s">
        <v>82</v>
      </c>
      <c r="C992" s="3" t="s">
        <v>7796</v>
      </c>
      <c r="D992" s="8" t="str">
        <f t="shared" si="1"/>
        <v>Abrir anúncio ↗</v>
      </c>
      <c r="E992" s="9" t="s">
        <v>7797</v>
      </c>
      <c r="F992" s="3" t="s">
        <v>29</v>
      </c>
      <c r="G992" s="9" t="s">
        <v>3685</v>
      </c>
      <c r="H992" s="9" t="s">
        <v>3877</v>
      </c>
      <c r="I992" s="3"/>
      <c r="J992" s="3"/>
      <c r="K992" s="9"/>
    </row>
    <row r="993" ht="15.75" customHeight="1">
      <c r="A993" s="10" t="s">
        <v>12</v>
      </c>
      <c r="B993" s="10" t="s">
        <v>82</v>
      </c>
      <c r="C993" s="10" t="s">
        <v>7798</v>
      </c>
      <c r="D993" s="11" t="str">
        <f t="shared" si="1"/>
        <v>Abrir anúncio ↗</v>
      </c>
      <c r="E993" s="12" t="s">
        <v>7799</v>
      </c>
      <c r="F993" s="10" t="s">
        <v>29</v>
      </c>
      <c r="G993" s="12" t="s">
        <v>3422</v>
      </c>
      <c r="H993" s="12" t="s">
        <v>6170</v>
      </c>
      <c r="I993" s="10"/>
      <c r="J993" s="10"/>
      <c r="K993" s="12"/>
    </row>
    <row r="994" ht="15.75" customHeight="1">
      <c r="A994" s="3" t="s">
        <v>12</v>
      </c>
      <c r="B994" s="3" t="s">
        <v>82</v>
      </c>
      <c r="C994" s="3" t="s">
        <v>7801</v>
      </c>
      <c r="D994" s="8" t="str">
        <f t="shared" si="1"/>
        <v>Abrir anúncio ↗</v>
      </c>
      <c r="E994" s="9" t="s">
        <v>7802</v>
      </c>
      <c r="F994" s="3" t="s">
        <v>29</v>
      </c>
      <c r="G994" s="9" t="s">
        <v>3709</v>
      </c>
      <c r="H994" s="9" t="s">
        <v>5956</v>
      </c>
      <c r="I994" s="3"/>
      <c r="J994" s="3"/>
      <c r="K994" s="9"/>
    </row>
    <row r="995" ht="15.75" customHeight="1">
      <c r="A995" s="10" t="s">
        <v>12</v>
      </c>
      <c r="B995" s="10" t="s">
        <v>82</v>
      </c>
      <c r="C995" s="10" t="s">
        <v>7803</v>
      </c>
      <c r="D995" s="11" t="str">
        <f t="shared" si="1"/>
        <v>Abrir anúncio ↗</v>
      </c>
      <c r="E995" s="12" t="s">
        <v>7804</v>
      </c>
      <c r="F995" s="10" t="s">
        <v>29</v>
      </c>
      <c r="G995" s="12" t="s">
        <v>2390</v>
      </c>
      <c r="H995" s="12" t="s">
        <v>2392</v>
      </c>
      <c r="I995" s="10"/>
      <c r="J995" s="10"/>
      <c r="K995" s="12"/>
    </row>
    <row r="996" ht="15.75" customHeight="1">
      <c r="A996" s="3" t="s">
        <v>12</v>
      </c>
      <c r="B996" s="3" t="s">
        <v>82</v>
      </c>
      <c r="C996" s="3" t="s">
        <v>7805</v>
      </c>
      <c r="D996" s="8" t="str">
        <f t="shared" si="1"/>
        <v>Abrir anúncio ↗</v>
      </c>
      <c r="E996" s="9" t="s">
        <v>7806</v>
      </c>
      <c r="F996" s="3" t="s">
        <v>29</v>
      </c>
      <c r="G996" s="9" t="s">
        <v>3685</v>
      </c>
      <c r="H996" s="9" t="s">
        <v>4189</v>
      </c>
      <c r="I996" s="3"/>
      <c r="J996" s="3"/>
      <c r="K996" s="9"/>
    </row>
    <row r="997" ht="15.75" customHeight="1">
      <c r="A997" s="10" t="s">
        <v>12</v>
      </c>
      <c r="B997" s="10" t="s">
        <v>82</v>
      </c>
      <c r="C997" s="10" t="s">
        <v>7807</v>
      </c>
      <c r="D997" s="11" t="str">
        <f t="shared" si="1"/>
        <v>Abrir anúncio ↗</v>
      </c>
      <c r="E997" s="12" t="s">
        <v>7808</v>
      </c>
      <c r="F997" s="10" t="s">
        <v>29</v>
      </c>
      <c r="G997" s="12" t="s">
        <v>2390</v>
      </c>
      <c r="H997" s="12" t="s">
        <v>2392</v>
      </c>
      <c r="I997" s="10"/>
      <c r="J997" s="10"/>
      <c r="K997" s="12"/>
    </row>
    <row r="998" ht="15.75" customHeight="1">
      <c r="A998" s="3" t="s">
        <v>12</v>
      </c>
      <c r="B998" s="3" t="s">
        <v>82</v>
      </c>
      <c r="C998" s="3" t="s">
        <v>7809</v>
      </c>
      <c r="D998" s="8" t="str">
        <f t="shared" si="1"/>
        <v>Abrir anúncio ↗</v>
      </c>
      <c r="E998" s="9" t="s">
        <v>7810</v>
      </c>
      <c r="F998" s="3" t="s">
        <v>29</v>
      </c>
      <c r="G998" s="9" t="s">
        <v>2390</v>
      </c>
      <c r="H998" s="9" t="s">
        <v>2392</v>
      </c>
      <c r="I998" s="3"/>
      <c r="J998" s="3"/>
      <c r="K998" s="9"/>
    </row>
    <row r="999" ht="15.75" customHeight="1">
      <c r="A999" s="10" t="s">
        <v>12</v>
      </c>
      <c r="B999" s="10" t="s">
        <v>82</v>
      </c>
      <c r="C999" s="10" t="s">
        <v>7813</v>
      </c>
      <c r="D999" s="11" t="str">
        <f t="shared" si="1"/>
        <v>Abrir anúncio ↗</v>
      </c>
      <c r="E999" s="12" t="s">
        <v>7814</v>
      </c>
      <c r="F999" s="10" t="s">
        <v>29</v>
      </c>
      <c r="G999" s="12" t="s">
        <v>3422</v>
      </c>
      <c r="H999" s="12" t="s">
        <v>7695</v>
      </c>
      <c r="I999" s="10"/>
      <c r="J999" s="10"/>
      <c r="K999" s="12"/>
    </row>
    <row r="1000" ht="15.75" customHeight="1">
      <c r="A1000" s="3" t="s">
        <v>12</v>
      </c>
      <c r="B1000" s="3" t="s">
        <v>82</v>
      </c>
      <c r="C1000" s="3" t="s">
        <v>7725</v>
      </c>
      <c r="D1000" s="8" t="str">
        <f t="shared" si="1"/>
        <v>Abrir anúncio ↗</v>
      </c>
      <c r="E1000" s="9" t="s">
        <v>7724</v>
      </c>
      <c r="F1000" s="3" t="s">
        <v>29</v>
      </c>
      <c r="G1000" s="9" t="s">
        <v>583</v>
      </c>
      <c r="H1000" s="9" t="s">
        <v>3861</v>
      </c>
      <c r="I1000" s="3"/>
      <c r="J1000" s="3"/>
      <c r="K1000" s="9"/>
    </row>
    <row r="1001" ht="15.75" customHeight="1">
      <c r="A1001" s="10" t="s">
        <v>12</v>
      </c>
      <c r="B1001" s="10" t="s">
        <v>82</v>
      </c>
      <c r="C1001" s="10" t="s">
        <v>7816</v>
      </c>
      <c r="D1001" s="11" t="str">
        <f t="shared" si="1"/>
        <v>Abrir anúncio ↗</v>
      </c>
      <c r="E1001" s="12" t="s">
        <v>7817</v>
      </c>
      <c r="F1001" s="10" t="s">
        <v>29</v>
      </c>
      <c r="G1001" s="12" t="s">
        <v>3685</v>
      </c>
      <c r="H1001" s="12" t="s">
        <v>3986</v>
      </c>
      <c r="I1001" s="10"/>
      <c r="J1001" s="10"/>
      <c r="K1001" s="12"/>
    </row>
    <row r="1002" ht="15.75" customHeight="1">
      <c r="A1002" s="3" t="s">
        <v>12</v>
      </c>
      <c r="B1002" s="3" t="s">
        <v>82</v>
      </c>
      <c r="C1002" s="3" t="s">
        <v>7818</v>
      </c>
      <c r="D1002" s="8" t="str">
        <f t="shared" si="1"/>
        <v>Abrir anúncio ↗</v>
      </c>
      <c r="E1002" s="9" t="s">
        <v>7819</v>
      </c>
      <c r="F1002" s="3" t="s">
        <v>29</v>
      </c>
      <c r="G1002" s="9" t="s">
        <v>5339</v>
      </c>
      <c r="H1002" s="9" t="s">
        <v>7820</v>
      </c>
      <c r="I1002" s="3"/>
      <c r="J1002" s="3"/>
      <c r="K1002" s="9"/>
    </row>
    <row r="1003" ht="15.75" customHeight="1">
      <c r="A1003" s="10" t="s">
        <v>12</v>
      </c>
      <c r="B1003" s="10" t="s">
        <v>82</v>
      </c>
      <c r="C1003" s="10" t="s">
        <v>7822</v>
      </c>
      <c r="D1003" s="11" t="str">
        <f t="shared" si="1"/>
        <v>Abrir anúncio ↗</v>
      </c>
      <c r="E1003" s="12" t="s">
        <v>7824</v>
      </c>
      <c r="F1003" s="10" t="s">
        <v>29</v>
      </c>
      <c r="G1003" s="12" t="s">
        <v>5578</v>
      </c>
      <c r="H1003" s="12" t="s">
        <v>7825</v>
      </c>
      <c r="I1003" s="10"/>
      <c r="J1003" s="10"/>
      <c r="K1003" s="12"/>
    </row>
    <row r="1004" ht="15.75" customHeight="1">
      <c r="A1004" s="3" t="s">
        <v>12</v>
      </c>
      <c r="B1004" s="3" t="s">
        <v>82</v>
      </c>
      <c r="C1004" s="3" t="s">
        <v>7827</v>
      </c>
      <c r="D1004" s="8" t="str">
        <f t="shared" si="1"/>
        <v>Abrir anúncio ↗</v>
      </c>
      <c r="E1004" s="9" t="s">
        <v>7828</v>
      </c>
      <c r="F1004" s="3" t="s">
        <v>29</v>
      </c>
      <c r="G1004" s="9" t="s">
        <v>3422</v>
      </c>
      <c r="H1004" s="9" t="s">
        <v>3584</v>
      </c>
      <c r="I1004" s="3"/>
      <c r="J1004" s="3"/>
      <c r="K1004" s="9"/>
    </row>
    <row r="1005" ht="15.75" customHeight="1">
      <c r="A1005" s="10" t="s">
        <v>12</v>
      </c>
      <c r="B1005" s="10" t="s">
        <v>82</v>
      </c>
      <c r="C1005" s="10" t="s">
        <v>7254</v>
      </c>
      <c r="D1005" s="11" t="str">
        <f t="shared" si="1"/>
        <v>Abrir anúncio ↗</v>
      </c>
      <c r="E1005" s="12" t="s">
        <v>7253</v>
      </c>
      <c r="F1005" s="10" t="s">
        <v>29</v>
      </c>
      <c r="G1005" s="12" t="s">
        <v>99</v>
      </c>
      <c r="H1005" s="12" t="s">
        <v>3384</v>
      </c>
      <c r="I1005" s="10"/>
      <c r="J1005" s="10"/>
      <c r="K1005" s="12"/>
    </row>
    <row r="1006" ht="15.75" customHeight="1">
      <c r="A1006" s="3" t="s">
        <v>12</v>
      </c>
      <c r="B1006" s="3" t="s">
        <v>82</v>
      </c>
      <c r="C1006" s="3" t="s">
        <v>6285</v>
      </c>
      <c r="D1006" s="8" t="str">
        <f t="shared" si="1"/>
        <v>Abrir anúncio ↗</v>
      </c>
      <c r="E1006" s="9" t="s">
        <v>6272</v>
      </c>
      <c r="F1006" s="3" t="s">
        <v>29</v>
      </c>
      <c r="G1006" s="9" t="s">
        <v>583</v>
      </c>
      <c r="H1006" s="9" t="s">
        <v>3861</v>
      </c>
      <c r="I1006" s="3"/>
      <c r="J1006" s="3"/>
      <c r="K1006" s="9"/>
    </row>
    <row r="1007" ht="15.75" customHeight="1">
      <c r="A1007" s="10" t="s">
        <v>12</v>
      </c>
      <c r="B1007" s="10" t="s">
        <v>82</v>
      </c>
      <c r="C1007" s="10" t="s">
        <v>7838</v>
      </c>
      <c r="D1007" s="11" t="str">
        <f t="shared" si="1"/>
        <v>Abrir anúncio ↗</v>
      </c>
      <c r="E1007" s="12" t="s">
        <v>7839</v>
      </c>
      <c r="F1007" s="10" t="s">
        <v>29</v>
      </c>
      <c r="G1007" s="12" t="s">
        <v>5547</v>
      </c>
      <c r="H1007" s="12" t="s">
        <v>7840</v>
      </c>
      <c r="I1007" s="10"/>
      <c r="J1007" s="10"/>
      <c r="K1007" s="12"/>
    </row>
    <row r="1008" ht="15.75" customHeight="1">
      <c r="A1008" s="3" t="s">
        <v>12</v>
      </c>
      <c r="B1008" s="3" t="s">
        <v>82</v>
      </c>
      <c r="C1008" s="3" t="s">
        <v>7841</v>
      </c>
      <c r="D1008" s="8" t="str">
        <f t="shared" si="1"/>
        <v>Abrir anúncio ↗</v>
      </c>
      <c r="E1008" s="9" t="s">
        <v>7842</v>
      </c>
      <c r="F1008" s="3" t="s">
        <v>29</v>
      </c>
      <c r="G1008" s="9" t="s">
        <v>5547</v>
      </c>
      <c r="H1008" s="9" t="s">
        <v>7843</v>
      </c>
      <c r="I1008" s="3"/>
      <c r="J1008" s="3"/>
      <c r="K1008" s="9"/>
    </row>
    <row r="1009" ht="15.75" customHeight="1">
      <c r="A1009" s="10" t="s">
        <v>12</v>
      </c>
      <c r="B1009" s="10" t="s">
        <v>82</v>
      </c>
      <c r="C1009" s="10" t="s">
        <v>7844</v>
      </c>
      <c r="D1009" s="11" t="str">
        <f t="shared" si="1"/>
        <v>Abrir anúncio ↗</v>
      </c>
      <c r="E1009" s="12" t="s">
        <v>7845</v>
      </c>
      <c r="F1009" s="10" t="s">
        <v>29</v>
      </c>
      <c r="G1009" s="12" t="s">
        <v>99</v>
      </c>
      <c r="H1009" s="12" t="s">
        <v>3384</v>
      </c>
      <c r="I1009" s="10"/>
      <c r="J1009" s="10"/>
      <c r="K1009" s="12"/>
    </row>
    <row r="1010" ht="15.75" customHeight="1">
      <c r="A1010" s="3" t="s">
        <v>12</v>
      </c>
      <c r="B1010" s="3" t="s">
        <v>82</v>
      </c>
      <c r="C1010" s="3" t="s">
        <v>7847</v>
      </c>
      <c r="D1010" s="8" t="str">
        <f t="shared" si="1"/>
        <v>Abrir anúncio ↗</v>
      </c>
      <c r="E1010" s="9" t="s">
        <v>7848</v>
      </c>
      <c r="F1010" s="3" t="s">
        <v>29</v>
      </c>
      <c r="G1010" s="9" t="s">
        <v>3709</v>
      </c>
      <c r="H1010" s="9" t="s">
        <v>4332</v>
      </c>
      <c r="I1010" s="3"/>
      <c r="J1010" s="3"/>
      <c r="K1010" s="9"/>
    </row>
    <row r="1011" ht="15.75" customHeight="1">
      <c r="A1011" s="10" t="s">
        <v>12</v>
      </c>
      <c r="B1011" s="10" t="s">
        <v>82</v>
      </c>
      <c r="C1011" s="10" t="s">
        <v>7850</v>
      </c>
      <c r="D1011" s="11" t="str">
        <f t="shared" si="1"/>
        <v>Abrir anúncio ↗</v>
      </c>
      <c r="E1011" s="12" t="s">
        <v>7851</v>
      </c>
      <c r="F1011" s="10" t="s">
        <v>29</v>
      </c>
      <c r="G1011" s="12" t="s">
        <v>2390</v>
      </c>
      <c r="H1011" s="12" t="s">
        <v>2392</v>
      </c>
      <c r="I1011" s="10"/>
      <c r="J1011" s="10"/>
      <c r="K1011" s="12"/>
    </row>
    <row r="1012" ht="15.75" customHeight="1">
      <c r="A1012" s="3" t="s">
        <v>12</v>
      </c>
      <c r="B1012" s="3" t="s">
        <v>82</v>
      </c>
      <c r="C1012" s="3" t="s">
        <v>7852</v>
      </c>
      <c r="D1012" s="8" t="str">
        <f t="shared" si="1"/>
        <v>Abrir anúncio ↗</v>
      </c>
      <c r="E1012" s="9" t="s">
        <v>7853</v>
      </c>
      <c r="F1012" s="3" t="s">
        <v>29</v>
      </c>
      <c r="G1012" s="9" t="s">
        <v>2390</v>
      </c>
      <c r="H1012" s="9" t="s">
        <v>2392</v>
      </c>
      <c r="I1012" s="3"/>
      <c r="J1012" s="3"/>
      <c r="K1012" s="9"/>
    </row>
    <row r="1013" ht="15.75" customHeight="1">
      <c r="A1013" s="10" t="s">
        <v>12</v>
      </c>
      <c r="B1013" s="10" t="s">
        <v>82</v>
      </c>
      <c r="C1013" s="10" t="s">
        <v>7854</v>
      </c>
      <c r="D1013" s="11" t="str">
        <f t="shared" si="1"/>
        <v>Abrir anúncio ↗</v>
      </c>
      <c r="E1013" s="12" t="s">
        <v>7855</v>
      </c>
      <c r="F1013" s="10" t="s">
        <v>29</v>
      </c>
      <c r="G1013" s="12" t="s">
        <v>2390</v>
      </c>
      <c r="H1013" s="12" t="s">
        <v>2392</v>
      </c>
      <c r="I1013" s="10"/>
      <c r="J1013" s="10"/>
      <c r="K1013" s="12"/>
    </row>
    <row r="1014" ht="15.75" customHeight="1">
      <c r="A1014" s="3" t="s">
        <v>12</v>
      </c>
      <c r="B1014" s="3" t="s">
        <v>82</v>
      </c>
      <c r="C1014" s="3" t="s">
        <v>7857</v>
      </c>
      <c r="D1014" s="8" t="str">
        <f t="shared" si="1"/>
        <v>Abrir anúncio ↗</v>
      </c>
      <c r="E1014" s="9" t="s">
        <v>7858</v>
      </c>
      <c r="F1014" s="3" t="s">
        <v>29</v>
      </c>
      <c r="G1014" s="9" t="s">
        <v>3685</v>
      </c>
      <c r="H1014" s="9" t="s">
        <v>4189</v>
      </c>
      <c r="I1014" s="3"/>
      <c r="J1014" s="3"/>
      <c r="K1014" s="9"/>
    </row>
    <row r="1015" ht="15.75" customHeight="1">
      <c r="A1015" s="10" t="s">
        <v>12</v>
      </c>
      <c r="B1015" s="10" t="s">
        <v>82</v>
      </c>
      <c r="C1015" s="10" t="s">
        <v>7859</v>
      </c>
      <c r="D1015" s="11" t="str">
        <f t="shared" si="1"/>
        <v>Abrir anúncio ↗</v>
      </c>
      <c r="E1015" s="12" t="s">
        <v>7860</v>
      </c>
      <c r="F1015" s="10" t="s">
        <v>29</v>
      </c>
      <c r="G1015" s="12" t="s">
        <v>3685</v>
      </c>
      <c r="H1015" s="12" t="s">
        <v>4167</v>
      </c>
      <c r="I1015" s="10"/>
      <c r="J1015" s="10"/>
      <c r="K1015" s="12"/>
    </row>
    <row r="1016" ht="15.75" customHeight="1">
      <c r="A1016" s="3" t="s">
        <v>12</v>
      </c>
      <c r="B1016" s="3" t="s">
        <v>82</v>
      </c>
      <c r="C1016" s="3" t="s">
        <v>7861</v>
      </c>
      <c r="D1016" s="8" t="str">
        <f t="shared" si="1"/>
        <v>Abrir anúncio ↗</v>
      </c>
      <c r="E1016" s="9" t="s">
        <v>7862</v>
      </c>
      <c r="F1016" s="3" t="s">
        <v>29</v>
      </c>
      <c r="G1016" s="9" t="s">
        <v>3685</v>
      </c>
      <c r="H1016" s="9" t="s">
        <v>3789</v>
      </c>
      <c r="I1016" s="3"/>
      <c r="J1016" s="3"/>
      <c r="K1016" s="9"/>
    </row>
    <row r="1017" ht="15.75" customHeight="1">
      <c r="A1017" s="10" t="s">
        <v>12</v>
      </c>
      <c r="B1017" s="10" t="s">
        <v>82</v>
      </c>
      <c r="C1017" s="10" t="s">
        <v>7863</v>
      </c>
      <c r="D1017" s="11" t="str">
        <f t="shared" si="1"/>
        <v>Abrir anúncio ↗</v>
      </c>
      <c r="E1017" s="12" t="s">
        <v>7864</v>
      </c>
      <c r="F1017" s="10" t="s">
        <v>29</v>
      </c>
      <c r="G1017" s="12" t="s">
        <v>3685</v>
      </c>
      <c r="H1017" s="12" t="s">
        <v>3871</v>
      </c>
      <c r="I1017" s="10"/>
      <c r="J1017" s="10"/>
      <c r="K1017" s="12"/>
    </row>
    <row r="1018" ht="15.75" customHeight="1">
      <c r="A1018" s="3" t="s">
        <v>12</v>
      </c>
      <c r="B1018" s="3" t="s">
        <v>82</v>
      </c>
      <c r="C1018" s="3" t="s">
        <v>7867</v>
      </c>
      <c r="D1018" s="8" t="str">
        <f t="shared" si="1"/>
        <v>Abrir anúncio ↗</v>
      </c>
      <c r="E1018" s="9" t="s">
        <v>7869</v>
      </c>
      <c r="F1018" s="3" t="s">
        <v>29</v>
      </c>
      <c r="G1018" s="9" t="s">
        <v>3685</v>
      </c>
      <c r="H1018" s="9" t="s">
        <v>3917</v>
      </c>
      <c r="I1018" s="3"/>
      <c r="J1018" s="3"/>
      <c r="K1018" s="9"/>
    </row>
    <row r="1019" ht="15.75" customHeight="1">
      <c r="A1019" s="10" t="s">
        <v>12</v>
      </c>
      <c r="B1019" s="10" t="s">
        <v>82</v>
      </c>
      <c r="C1019" s="10" t="s">
        <v>7870</v>
      </c>
      <c r="D1019" s="11" t="str">
        <f t="shared" si="1"/>
        <v>Abrir anúncio ↗</v>
      </c>
      <c r="E1019" s="12" t="s">
        <v>7871</v>
      </c>
      <c r="F1019" s="10" t="s">
        <v>29</v>
      </c>
      <c r="G1019" s="12" t="s">
        <v>3962</v>
      </c>
      <c r="H1019" s="12" t="s">
        <v>4882</v>
      </c>
      <c r="I1019" s="10"/>
      <c r="J1019" s="10"/>
      <c r="K1019" s="12"/>
    </row>
    <row r="1020" ht="15.75" customHeight="1">
      <c r="A1020" s="3" t="s">
        <v>12</v>
      </c>
      <c r="B1020" s="3" t="s">
        <v>82</v>
      </c>
      <c r="C1020" s="3" t="s">
        <v>7231</v>
      </c>
      <c r="D1020" s="8" t="str">
        <f t="shared" si="1"/>
        <v>Abrir anúncio ↗</v>
      </c>
      <c r="E1020" s="9" t="s">
        <v>2806</v>
      </c>
      <c r="F1020" s="3" t="s">
        <v>29</v>
      </c>
      <c r="G1020" s="9" t="s">
        <v>2390</v>
      </c>
      <c r="H1020" s="9" t="s">
        <v>2392</v>
      </c>
      <c r="I1020" s="3"/>
      <c r="J1020" s="3"/>
      <c r="K1020" s="9"/>
    </row>
    <row r="1021" ht="15.75" customHeight="1">
      <c r="A1021" s="10" t="s">
        <v>12</v>
      </c>
      <c r="B1021" s="10" t="s">
        <v>82</v>
      </c>
      <c r="C1021" s="10" t="s">
        <v>7567</v>
      </c>
      <c r="D1021" s="11" t="str">
        <f t="shared" si="1"/>
        <v>Abrir anúncio ↗</v>
      </c>
      <c r="E1021" s="12" t="s">
        <v>2913</v>
      </c>
      <c r="F1021" s="10" t="s">
        <v>29</v>
      </c>
      <c r="G1021" s="12" t="s">
        <v>2390</v>
      </c>
      <c r="H1021" s="12" t="s">
        <v>2392</v>
      </c>
      <c r="I1021" s="10"/>
      <c r="J1021" s="10"/>
      <c r="K1021" s="12"/>
    </row>
    <row r="1022" ht="15.75" customHeight="1">
      <c r="A1022" s="3" t="s">
        <v>12</v>
      </c>
      <c r="B1022" s="3" t="s">
        <v>82</v>
      </c>
      <c r="C1022" s="3" t="s">
        <v>7873</v>
      </c>
      <c r="D1022" s="8" t="str">
        <f t="shared" si="1"/>
        <v>Abrir anúncio ↗</v>
      </c>
      <c r="E1022" s="9" t="s">
        <v>7874</v>
      </c>
      <c r="F1022" s="3" t="s">
        <v>29</v>
      </c>
      <c r="G1022" s="9" t="s">
        <v>3685</v>
      </c>
      <c r="H1022" s="9" t="s">
        <v>4175</v>
      </c>
      <c r="I1022" s="3"/>
      <c r="J1022" s="3"/>
      <c r="K1022" s="9"/>
    </row>
    <row r="1023" ht="15.75" customHeight="1">
      <c r="A1023" s="10" t="s">
        <v>12</v>
      </c>
      <c r="B1023" s="10" t="s">
        <v>82</v>
      </c>
      <c r="C1023" s="10" t="s">
        <v>7877</v>
      </c>
      <c r="D1023" s="11" t="str">
        <f t="shared" si="1"/>
        <v>Abrir anúncio ↗</v>
      </c>
      <c r="E1023" s="12" t="s">
        <v>7878</v>
      </c>
      <c r="F1023" s="10" t="s">
        <v>29</v>
      </c>
      <c r="G1023" s="12" t="s">
        <v>2390</v>
      </c>
      <c r="H1023" s="12" t="s">
        <v>2392</v>
      </c>
      <c r="I1023" s="10"/>
      <c r="J1023" s="10"/>
      <c r="K1023" s="12"/>
    </row>
    <row r="1024" ht="15.75" customHeight="1">
      <c r="A1024" s="3" t="s">
        <v>12</v>
      </c>
      <c r="B1024" s="3" t="s">
        <v>82</v>
      </c>
      <c r="C1024" s="3" t="s">
        <v>7880</v>
      </c>
      <c r="D1024" s="8" t="str">
        <f t="shared" si="1"/>
        <v>Abrir anúncio ↗</v>
      </c>
      <c r="E1024" s="9" t="s">
        <v>7881</v>
      </c>
      <c r="F1024" s="3" t="s">
        <v>29</v>
      </c>
      <c r="G1024" s="9" t="s">
        <v>3422</v>
      </c>
      <c r="H1024" s="9" t="s">
        <v>3803</v>
      </c>
      <c r="I1024" s="3"/>
      <c r="J1024" s="3"/>
      <c r="K1024" s="9"/>
    </row>
    <row r="1025" ht="15.75" customHeight="1">
      <c r="A1025" s="10" t="s">
        <v>12</v>
      </c>
      <c r="B1025" s="10" t="s">
        <v>82</v>
      </c>
      <c r="C1025" s="10" t="s">
        <v>7223</v>
      </c>
      <c r="D1025" s="11" t="str">
        <f t="shared" si="1"/>
        <v>Abrir anúncio ↗</v>
      </c>
      <c r="E1025" s="12" t="s">
        <v>7217</v>
      </c>
      <c r="F1025" s="10" t="s">
        <v>29</v>
      </c>
      <c r="G1025" s="12" t="s">
        <v>2390</v>
      </c>
      <c r="H1025" s="12" t="s">
        <v>2392</v>
      </c>
      <c r="I1025" s="10"/>
      <c r="J1025" s="10"/>
      <c r="K1025" s="12"/>
    </row>
    <row r="1026" ht="15.75" customHeight="1">
      <c r="A1026" s="3" t="s">
        <v>12</v>
      </c>
      <c r="B1026" s="3" t="s">
        <v>82</v>
      </c>
      <c r="C1026" s="3" t="s">
        <v>6356</v>
      </c>
      <c r="D1026" s="8" t="str">
        <f t="shared" si="1"/>
        <v>Abrir anúncio ↗</v>
      </c>
      <c r="E1026" s="9" t="s">
        <v>3408</v>
      </c>
      <c r="F1026" s="3" t="s">
        <v>29</v>
      </c>
      <c r="G1026" s="9" t="s">
        <v>3402</v>
      </c>
      <c r="H1026" s="9" t="s">
        <v>7882</v>
      </c>
      <c r="I1026" s="3"/>
      <c r="J1026" s="3"/>
      <c r="K1026" s="9"/>
    </row>
    <row r="1027" ht="15.75" customHeight="1">
      <c r="A1027" s="10" t="s">
        <v>12</v>
      </c>
      <c r="B1027" s="10" t="s">
        <v>82</v>
      </c>
      <c r="C1027" s="10" t="s">
        <v>7883</v>
      </c>
      <c r="D1027" s="11" t="str">
        <f t="shared" si="1"/>
        <v>Abrir anúncio ↗</v>
      </c>
      <c r="E1027" s="12" t="s">
        <v>7884</v>
      </c>
      <c r="F1027" s="10" t="s">
        <v>29</v>
      </c>
      <c r="G1027" s="12" t="s">
        <v>3685</v>
      </c>
      <c r="H1027" s="12" t="s">
        <v>3789</v>
      </c>
      <c r="I1027" s="10"/>
      <c r="J1027" s="10"/>
      <c r="K1027" s="12"/>
    </row>
    <row r="1028" ht="15.75" customHeight="1">
      <c r="A1028" s="3" t="s">
        <v>12</v>
      </c>
      <c r="B1028" s="3" t="s">
        <v>82</v>
      </c>
      <c r="C1028" s="3" t="s">
        <v>7886</v>
      </c>
      <c r="D1028" s="8" t="str">
        <f t="shared" si="1"/>
        <v>Abrir anúncio ↗</v>
      </c>
      <c r="E1028" s="9" t="s">
        <v>7887</v>
      </c>
      <c r="F1028" s="3" t="s">
        <v>29</v>
      </c>
      <c r="G1028" s="9" t="s">
        <v>2390</v>
      </c>
      <c r="H1028" s="9" t="s">
        <v>2392</v>
      </c>
      <c r="I1028" s="3"/>
      <c r="J1028" s="3"/>
      <c r="K1028" s="9"/>
    </row>
    <row r="1029" ht="15.75" customHeight="1">
      <c r="A1029" s="10" t="s">
        <v>12</v>
      </c>
      <c r="B1029" s="10" t="s">
        <v>82</v>
      </c>
      <c r="C1029" s="10" t="s">
        <v>7888</v>
      </c>
      <c r="D1029" s="11" t="str">
        <f t="shared" si="1"/>
        <v>Abrir anúncio ↗</v>
      </c>
      <c r="E1029" s="12" t="s">
        <v>7890</v>
      </c>
      <c r="F1029" s="10" t="s">
        <v>29</v>
      </c>
      <c r="G1029" s="12" t="s">
        <v>3685</v>
      </c>
      <c r="H1029" s="12" t="s">
        <v>3687</v>
      </c>
      <c r="I1029" s="10"/>
      <c r="J1029" s="10"/>
      <c r="K1029" s="12"/>
    </row>
    <row r="1030" ht="15.75" customHeight="1">
      <c r="A1030" s="3" t="s">
        <v>12</v>
      </c>
      <c r="B1030" s="3" t="s">
        <v>82</v>
      </c>
      <c r="C1030" s="3" t="s">
        <v>7893</v>
      </c>
      <c r="D1030" s="8" t="str">
        <f t="shared" si="1"/>
        <v>Abrir anúncio ↗</v>
      </c>
      <c r="E1030" s="9" t="s">
        <v>7894</v>
      </c>
      <c r="F1030" s="3" t="s">
        <v>29</v>
      </c>
      <c r="G1030" s="9" t="s">
        <v>5339</v>
      </c>
      <c r="H1030" s="9" t="s">
        <v>7418</v>
      </c>
      <c r="I1030" s="3"/>
      <c r="J1030" s="3"/>
      <c r="K1030" s="9"/>
    </row>
    <row r="1031" ht="15.75" customHeight="1">
      <c r="A1031" s="10" t="s">
        <v>12</v>
      </c>
      <c r="B1031" s="10" t="s">
        <v>82</v>
      </c>
      <c r="C1031" s="10" t="s">
        <v>7895</v>
      </c>
      <c r="D1031" s="11" t="str">
        <f t="shared" si="1"/>
        <v>Abrir anúncio ↗</v>
      </c>
      <c r="E1031" s="12" t="s">
        <v>7896</v>
      </c>
      <c r="F1031" s="10" t="s">
        <v>29</v>
      </c>
      <c r="G1031" s="12" t="s">
        <v>3709</v>
      </c>
      <c r="H1031" s="12" t="s">
        <v>3999</v>
      </c>
      <c r="I1031" s="10"/>
      <c r="J1031" s="10"/>
      <c r="K1031" s="12"/>
    </row>
    <row r="1032" ht="15.75" customHeight="1">
      <c r="A1032" s="3" t="s">
        <v>12</v>
      </c>
      <c r="B1032" s="3" t="s">
        <v>82</v>
      </c>
      <c r="C1032" s="3" t="s">
        <v>7900</v>
      </c>
      <c r="D1032" s="8" t="str">
        <f t="shared" si="1"/>
        <v>Abrir anúncio ↗</v>
      </c>
      <c r="E1032" s="9" t="s">
        <v>7901</v>
      </c>
      <c r="F1032" s="3" t="s">
        <v>29</v>
      </c>
      <c r="G1032" s="9" t="s">
        <v>3709</v>
      </c>
      <c r="H1032" s="9" t="s">
        <v>4245</v>
      </c>
      <c r="I1032" s="3"/>
      <c r="J1032" s="3"/>
      <c r="K1032" s="9"/>
    </row>
    <row r="1033" ht="15.75" customHeight="1">
      <c r="A1033" s="10" t="s">
        <v>12</v>
      </c>
      <c r="B1033" s="10" t="s">
        <v>82</v>
      </c>
      <c r="C1033" s="10" t="s">
        <v>7903</v>
      </c>
      <c r="D1033" s="11" t="str">
        <f t="shared" si="1"/>
        <v>Abrir anúncio ↗</v>
      </c>
      <c r="E1033" s="12" t="s">
        <v>7904</v>
      </c>
      <c r="F1033" s="10" t="s">
        <v>29</v>
      </c>
      <c r="G1033" s="12" t="s">
        <v>3709</v>
      </c>
      <c r="H1033" s="12" t="s">
        <v>4590</v>
      </c>
      <c r="I1033" s="10"/>
      <c r="J1033" s="10"/>
      <c r="K1033" s="12"/>
    </row>
    <row r="1034" ht="15.75" customHeight="1">
      <c r="A1034" s="3" t="s">
        <v>12</v>
      </c>
      <c r="B1034" s="3" t="s">
        <v>82</v>
      </c>
      <c r="C1034" s="3" t="s">
        <v>7907</v>
      </c>
      <c r="D1034" s="8" t="str">
        <f t="shared" si="1"/>
        <v>Abrir anúncio ↗</v>
      </c>
      <c r="E1034" s="9" t="s">
        <v>7909</v>
      </c>
      <c r="F1034" s="3" t="s">
        <v>29</v>
      </c>
      <c r="G1034" s="9" t="s">
        <v>3709</v>
      </c>
      <c r="H1034" s="9" t="s">
        <v>4146</v>
      </c>
      <c r="I1034" s="3"/>
      <c r="J1034" s="3"/>
      <c r="K1034" s="9"/>
    </row>
    <row r="1035" ht="15.75" customHeight="1">
      <c r="A1035" s="10" t="s">
        <v>12</v>
      </c>
      <c r="B1035" s="10" t="s">
        <v>82</v>
      </c>
      <c r="C1035" s="10" t="s">
        <v>7912</v>
      </c>
      <c r="D1035" s="11" t="str">
        <f t="shared" si="1"/>
        <v>Abrir anúncio ↗</v>
      </c>
      <c r="E1035" s="12" t="s">
        <v>7913</v>
      </c>
      <c r="F1035" s="10" t="s">
        <v>29</v>
      </c>
      <c r="G1035" s="12" t="s">
        <v>3709</v>
      </c>
      <c r="H1035" s="12" t="s">
        <v>4084</v>
      </c>
      <c r="I1035" s="10"/>
      <c r="J1035" s="10"/>
      <c r="K1035" s="12"/>
    </row>
    <row r="1036" ht="15.75" customHeight="1">
      <c r="A1036" s="3" t="s">
        <v>12</v>
      </c>
      <c r="B1036" s="3" t="s">
        <v>82</v>
      </c>
      <c r="C1036" s="3" t="s">
        <v>7915</v>
      </c>
      <c r="D1036" s="8" t="str">
        <f t="shared" si="1"/>
        <v>Abrir anúncio ↗</v>
      </c>
      <c r="E1036" s="9" t="s">
        <v>7917</v>
      </c>
      <c r="F1036" s="3" t="s">
        <v>29</v>
      </c>
      <c r="G1036" s="9" t="s">
        <v>3709</v>
      </c>
      <c r="H1036" s="9" t="s">
        <v>3725</v>
      </c>
      <c r="I1036" s="3"/>
      <c r="J1036" s="3"/>
      <c r="K1036" s="9"/>
    </row>
    <row r="1037" ht="15.75" customHeight="1">
      <c r="A1037" s="10" t="s">
        <v>12</v>
      </c>
      <c r="B1037" s="10" t="s">
        <v>82</v>
      </c>
      <c r="C1037" s="10" t="s">
        <v>7876</v>
      </c>
      <c r="D1037" s="11" t="str">
        <f t="shared" si="1"/>
        <v>Abrir anúncio ↗</v>
      </c>
      <c r="E1037" s="12" t="s">
        <v>7875</v>
      </c>
      <c r="F1037" s="10" t="s">
        <v>29</v>
      </c>
      <c r="G1037" s="12" t="s">
        <v>2390</v>
      </c>
      <c r="H1037" s="12" t="s">
        <v>2392</v>
      </c>
      <c r="I1037" s="10"/>
      <c r="J1037" s="10"/>
      <c r="K1037" s="12"/>
    </row>
    <row r="1038" ht="15.75" customHeight="1">
      <c r="A1038" s="3" t="s">
        <v>12</v>
      </c>
      <c r="B1038" s="3" t="s">
        <v>82</v>
      </c>
      <c r="C1038" s="3" t="s">
        <v>7921</v>
      </c>
      <c r="D1038" s="8" t="str">
        <f t="shared" si="1"/>
        <v>Abrir anúncio ↗</v>
      </c>
      <c r="E1038" s="9" t="s">
        <v>7922</v>
      </c>
      <c r="F1038" s="3" t="s">
        <v>29</v>
      </c>
      <c r="G1038" s="9" t="s">
        <v>5774</v>
      </c>
      <c r="H1038" s="9" t="s">
        <v>5775</v>
      </c>
      <c r="I1038" s="3"/>
      <c r="J1038" s="3"/>
      <c r="K1038" s="9"/>
    </row>
    <row r="1039" ht="15.75" customHeight="1">
      <c r="A1039" s="10" t="s">
        <v>12</v>
      </c>
      <c r="B1039" s="10" t="s">
        <v>82</v>
      </c>
      <c r="C1039" s="10" t="s">
        <v>7923</v>
      </c>
      <c r="D1039" s="11" t="str">
        <f t="shared" si="1"/>
        <v>Abrir anúncio ↗</v>
      </c>
      <c r="E1039" s="12" t="s">
        <v>7924</v>
      </c>
      <c r="F1039" s="10" t="s">
        <v>29</v>
      </c>
      <c r="G1039" s="12" t="s">
        <v>5774</v>
      </c>
      <c r="H1039" s="12" t="s">
        <v>5775</v>
      </c>
      <c r="I1039" s="10"/>
      <c r="J1039" s="10"/>
      <c r="K1039" s="12"/>
    </row>
    <row r="1040" ht="15.75" customHeight="1">
      <c r="A1040" s="3" t="s">
        <v>12</v>
      </c>
      <c r="B1040" s="3" t="s">
        <v>82</v>
      </c>
      <c r="C1040" s="3" t="s">
        <v>7925</v>
      </c>
      <c r="D1040" s="8" t="str">
        <f t="shared" si="1"/>
        <v>Abrir anúncio ↗</v>
      </c>
      <c r="E1040" s="9" t="s">
        <v>7926</v>
      </c>
      <c r="F1040" s="3" t="s">
        <v>29</v>
      </c>
      <c r="G1040" s="9" t="s">
        <v>2390</v>
      </c>
      <c r="H1040" s="9" t="s">
        <v>2392</v>
      </c>
      <c r="I1040" s="3"/>
      <c r="J1040" s="3"/>
      <c r="K1040" s="9"/>
    </row>
    <row r="1041" ht="15.75" customHeight="1">
      <c r="A1041" s="10" t="s">
        <v>12</v>
      </c>
      <c r="B1041" s="10" t="s">
        <v>82</v>
      </c>
      <c r="C1041" s="10" t="s">
        <v>7929</v>
      </c>
      <c r="D1041" s="11" t="str">
        <f t="shared" si="1"/>
        <v>Abrir anúncio ↗</v>
      </c>
      <c r="E1041" s="12" t="s">
        <v>7931</v>
      </c>
      <c r="F1041" s="10" t="s">
        <v>86</v>
      </c>
      <c r="G1041" s="12" t="s">
        <v>4538</v>
      </c>
      <c r="H1041" s="12" t="s">
        <v>7932</v>
      </c>
      <c r="I1041" s="10"/>
      <c r="J1041" s="10"/>
      <c r="K1041" s="12"/>
    </row>
    <row r="1042" ht="15.75" customHeight="1">
      <c r="A1042" s="3" t="s">
        <v>12</v>
      </c>
      <c r="B1042" s="3" t="s">
        <v>82</v>
      </c>
      <c r="C1042" s="3" t="s">
        <v>7934</v>
      </c>
      <c r="D1042" s="8" t="str">
        <f t="shared" si="1"/>
        <v>Abrir anúncio ↗</v>
      </c>
      <c r="E1042" s="9" t="s">
        <v>7935</v>
      </c>
      <c r="F1042" s="3" t="s">
        <v>29</v>
      </c>
      <c r="G1042" s="9" t="s">
        <v>3685</v>
      </c>
      <c r="H1042" s="9" t="s">
        <v>3877</v>
      </c>
      <c r="I1042" s="3"/>
      <c r="J1042" s="3"/>
      <c r="K1042" s="9"/>
    </row>
    <row r="1043" ht="15.75" customHeight="1">
      <c r="A1043" s="10" t="s">
        <v>12</v>
      </c>
      <c r="B1043" s="10" t="s">
        <v>82</v>
      </c>
      <c r="C1043" s="10" t="s">
        <v>7936</v>
      </c>
      <c r="D1043" s="11" t="str">
        <f t="shared" si="1"/>
        <v>Abrir anúncio ↗</v>
      </c>
      <c r="E1043" s="12" t="s">
        <v>3930</v>
      </c>
      <c r="F1043" s="10" t="s">
        <v>86</v>
      </c>
      <c r="G1043" s="12" t="s">
        <v>4538</v>
      </c>
      <c r="H1043" s="12" t="s">
        <v>7937</v>
      </c>
      <c r="I1043" s="10"/>
      <c r="J1043" s="10"/>
      <c r="K1043" s="12"/>
    </row>
    <row r="1044" ht="15.75" customHeight="1">
      <c r="A1044" s="3" t="s">
        <v>12</v>
      </c>
      <c r="B1044" s="3" t="s">
        <v>82</v>
      </c>
      <c r="C1044" s="3" t="s">
        <v>7938</v>
      </c>
      <c r="D1044" s="8" t="str">
        <f t="shared" si="1"/>
        <v>Abrir anúncio ↗</v>
      </c>
      <c r="E1044" s="9" t="s">
        <v>7939</v>
      </c>
      <c r="F1044" s="3" t="s">
        <v>29</v>
      </c>
      <c r="G1044" s="9" t="s">
        <v>3685</v>
      </c>
      <c r="H1044" s="9" t="s">
        <v>3853</v>
      </c>
      <c r="I1044" s="3"/>
      <c r="J1044" s="3"/>
      <c r="K1044" s="9"/>
    </row>
    <row r="1045" ht="15.75" customHeight="1">
      <c r="A1045" s="10" t="s">
        <v>12</v>
      </c>
      <c r="B1045" s="10" t="s">
        <v>82</v>
      </c>
      <c r="C1045" s="10" t="s">
        <v>7940</v>
      </c>
      <c r="D1045" s="11" t="str">
        <f t="shared" si="1"/>
        <v>Abrir anúncio ↗</v>
      </c>
      <c r="E1045" s="12" t="s">
        <v>7941</v>
      </c>
      <c r="F1045" s="10" t="s">
        <v>29</v>
      </c>
      <c r="G1045" s="12" t="s">
        <v>3963</v>
      </c>
      <c r="H1045" s="12" t="s">
        <v>7942</v>
      </c>
      <c r="I1045" s="10"/>
      <c r="J1045" s="10"/>
      <c r="K1045" s="12"/>
    </row>
    <row r="1046" ht="15.75" customHeight="1">
      <c r="A1046" s="3" t="s">
        <v>12</v>
      </c>
      <c r="B1046" s="3" t="s">
        <v>82</v>
      </c>
      <c r="C1046" s="3" t="s">
        <v>7945</v>
      </c>
      <c r="D1046" s="8" t="str">
        <f t="shared" si="1"/>
        <v>Abrir anúncio ↗</v>
      </c>
      <c r="E1046" s="9" t="s">
        <v>7946</v>
      </c>
      <c r="F1046" s="3" t="s">
        <v>29</v>
      </c>
      <c r="G1046" s="9" t="s">
        <v>7947</v>
      </c>
      <c r="H1046" s="9" t="s">
        <v>7949</v>
      </c>
      <c r="I1046" s="3"/>
      <c r="J1046" s="3"/>
      <c r="K1046" s="9"/>
    </row>
    <row r="1047" ht="15.75" customHeight="1">
      <c r="A1047" s="10" t="s">
        <v>12</v>
      </c>
      <c r="B1047" s="10" t="s">
        <v>82</v>
      </c>
      <c r="C1047" s="10" t="s">
        <v>7950</v>
      </c>
      <c r="D1047" s="11" t="str">
        <f t="shared" si="1"/>
        <v>Abrir anúncio ↗</v>
      </c>
      <c r="E1047" s="12" t="s">
        <v>7951</v>
      </c>
      <c r="F1047" s="10" t="s">
        <v>29</v>
      </c>
      <c r="G1047" s="12" t="s">
        <v>3709</v>
      </c>
      <c r="H1047" s="12" t="s">
        <v>4245</v>
      </c>
      <c r="I1047" s="10"/>
      <c r="J1047" s="10"/>
      <c r="K1047" s="12"/>
    </row>
    <row r="1048" ht="15.75" customHeight="1">
      <c r="A1048" s="3" t="s">
        <v>12</v>
      </c>
      <c r="B1048" s="3" t="s">
        <v>82</v>
      </c>
      <c r="C1048" s="3" t="s">
        <v>7953</v>
      </c>
      <c r="D1048" s="8" t="str">
        <f t="shared" si="1"/>
        <v>Abrir anúncio ↗</v>
      </c>
      <c r="E1048" s="9" t="s">
        <v>7954</v>
      </c>
      <c r="F1048" s="3" t="s">
        <v>29</v>
      </c>
      <c r="G1048" s="9" t="s">
        <v>3685</v>
      </c>
      <c r="H1048" s="9" t="s">
        <v>4167</v>
      </c>
      <c r="I1048" s="3"/>
      <c r="J1048" s="3"/>
      <c r="K1048" s="9"/>
    </row>
    <row r="1049" ht="15.75" customHeight="1">
      <c r="A1049" s="10" t="s">
        <v>12</v>
      </c>
      <c r="B1049" s="10" t="s">
        <v>82</v>
      </c>
      <c r="C1049" s="10" t="s">
        <v>7955</v>
      </c>
      <c r="D1049" s="11" t="str">
        <f t="shared" si="1"/>
        <v>Abrir anúncio ↗</v>
      </c>
      <c r="E1049" s="12" t="s">
        <v>7957</v>
      </c>
      <c r="F1049" s="10" t="s">
        <v>29</v>
      </c>
      <c r="G1049" s="12" t="s">
        <v>2153</v>
      </c>
      <c r="H1049" s="12" t="s">
        <v>2201</v>
      </c>
      <c r="I1049" s="10"/>
      <c r="J1049" s="10"/>
      <c r="K1049" s="12"/>
    </row>
    <row r="1050" ht="15.75" customHeight="1">
      <c r="A1050" s="3" t="s">
        <v>12</v>
      </c>
      <c r="B1050" s="3" t="s">
        <v>82</v>
      </c>
      <c r="C1050" s="3" t="s">
        <v>7958</v>
      </c>
      <c r="D1050" s="8" t="str">
        <f t="shared" si="1"/>
        <v>Abrir anúncio ↗</v>
      </c>
      <c r="E1050" s="9" t="s">
        <v>7959</v>
      </c>
      <c r="F1050" s="3" t="s">
        <v>29</v>
      </c>
      <c r="G1050" s="9" t="s">
        <v>2153</v>
      </c>
      <c r="H1050" s="9" t="s">
        <v>2201</v>
      </c>
      <c r="I1050" s="3"/>
      <c r="J1050" s="3"/>
      <c r="K1050" s="9"/>
    </row>
    <row r="1051" ht="15.75" customHeight="1">
      <c r="A1051" s="10" t="s">
        <v>12</v>
      </c>
      <c r="B1051" s="10" t="s">
        <v>82</v>
      </c>
      <c r="C1051" s="10" t="s">
        <v>7961</v>
      </c>
      <c r="D1051" s="11" t="str">
        <f t="shared" si="1"/>
        <v>Abrir anúncio ↗</v>
      </c>
      <c r="E1051" s="12" t="s">
        <v>7962</v>
      </c>
      <c r="F1051" s="10" t="s">
        <v>29</v>
      </c>
      <c r="G1051" s="12" t="s">
        <v>2153</v>
      </c>
      <c r="H1051" s="12" t="s">
        <v>2201</v>
      </c>
      <c r="I1051" s="10"/>
      <c r="J1051" s="10"/>
      <c r="K1051" s="12"/>
    </row>
    <row r="1052" ht="15.75" customHeight="1">
      <c r="A1052" s="3" t="s">
        <v>12</v>
      </c>
      <c r="B1052" s="3" t="s">
        <v>82</v>
      </c>
      <c r="C1052" s="3" t="s">
        <v>7963</v>
      </c>
      <c r="D1052" s="8" t="str">
        <f t="shared" si="1"/>
        <v>Abrir anúncio ↗</v>
      </c>
      <c r="E1052" s="9" t="s">
        <v>7964</v>
      </c>
      <c r="F1052" s="3" t="s">
        <v>29</v>
      </c>
      <c r="G1052" s="9" t="s">
        <v>2153</v>
      </c>
      <c r="H1052" s="9" t="s">
        <v>2201</v>
      </c>
      <c r="I1052" s="3"/>
      <c r="J1052" s="3"/>
      <c r="K1052" s="9"/>
    </row>
    <row r="1053" ht="15.75" customHeight="1">
      <c r="A1053" s="10" t="s">
        <v>12</v>
      </c>
      <c r="B1053" s="10" t="s">
        <v>82</v>
      </c>
      <c r="C1053" s="10" t="s">
        <v>7965</v>
      </c>
      <c r="D1053" s="11" t="str">
        <f t="shared" si="1"/>
        <v>Abrir anúncio ↗</v>
      </c>
      <c r="E1053" s="12" t="s">
        <v>7966</v>
      </c>
      <c r="F1053" s="10" t="s">
        <v>29</v>
      </c>
      <c r="G1053" s="12" t="s">
        <v>2153</v>
      </c>
      <c r="H1053" s="12" t="s">
        <v>2201</v>
      </c>
      <c r="I1053" s="10"/>
      <c r="J1053" s="10"/>
      <c r="K1053" s="12"/>
    </row>
    <row r="1054" ht="15.75" customHeight="1">
      <c r="A1054" s="3" t="s">
        <v>12</v>
      </c>
      <c r="B1054" s="3" t="s">
        <v>82</v>
      </c>
      <c r="C1054" s="3" t="s">
        <v>7967</v>
      </c>
      <c r="D1054" s="8" t="str">
        <f t="shared" si="1"/>
        <v>Abrir anúncio ↗</v>
      </c>
      <c r="E1054" s="9" t="s">
        <v>7968</v>
      </c>
      <c r="F1054" s="3" t="s">
        <v>29</v>
      </c>
      <c r="G1054" s="9" t="s">
        <v>3709</v>
      </c>
      <c r="H1054" s="9" t="s">
        <v>4004</v>
      </c>
      <c r="I1054" s="3"/>
      <c r="J1054" s="3"/>
      <c r="K1054" s="9"/>
    </row>
    <row r="1055" ht="15.75" customHeight="1">
      <c r="A1055" s="10" t="s">
        <v>12</v>
      </c>
      <c r="B1055" s="10" t="s">
        <v>82</v>
      </c>
      <c r="C1055" s="10" t="s">
        <v>7969</v>
      </c>
      <c r="D1055" s="11" t="str">
        <f t="shared" si="1"/>
        <v>Abrir anúncio ↗</v>
      </c>
      <c r="E1055" s="12" t="s">
        <v>7970</v>
      </c>
      <c r="F1055" s="10" t="s">
        <v>29</v>
      </c>
      <c r="G1055" s="12" t="s">
        <v>3709</v>
      </c>
      <c r="H1055" s="12" t="s">
        <v>4058</v>
      </c>
      <c r="I1055" s="10"/>
      <c r="J1055" s="10"/>
      <c r="K1055" s="12"/>
    </row>
    <row r="1056" ht="15.75" customHeight="1">
      <c r="A1056" s="3" t="s">
        <v>12</v>
      </c>
      <c r="B1056" s="3" t="s">
        <v>82</v>
      </c>
      <c r="C1056" s="3" t="s">
        <v>7971</v>
      </c>
      <c r="D1056" s="8" t="str">
        <f t="shared" si="1"/>
        <v>Abrir anúncio ↗</v>
      </c>
      <c r="E1056" s="9" t="s">
        <v>7972</v>
      </c>
      <c r="F1056" s="3" t="s">
        <v>29</v>
      </c>
      <c r="G1056" s="9" t="s">
        <v>3709</v>
      </c>
      <c r="H1056" s="9" t="s">
        <v>5956</v>
      </c>
      <c r="I1056" s="3"/>
      <c r="J1056" s="3"/>
      <c r="K1056" s="9"/>
    </row>
    <row r="1057" ht="15.75" customHeight="1">
      <c r="A1057" s="10" t="s">
        <v>12</v>
      </c>
      <c r="B1057" s="10" t="s">
        <v>82</v>
      </c>
      <c r="C1057" s="10" t="s">
        <v>7973</v>
      </c>
      <c r="D1057" s="11" t="str">
        <f t="shared" si="1"/>
        <v>Abrir anúncio ↗</v>
      </c>
      <c r="E1057" s="12" t="s">
        <v>7974</v>
      </c>
      <c r="F1057" s="10" t="s">
        <v>29</v>
      </c>
      <c r="G1057" s="12" t="s">
        <v>3709</v>
      </c>
      <c r="H1057" s="12" t="s">
        <v>4075</v>
      </c>
      <c r="I1057" s="10"/>
      <c r="J1057" s="10"/>
      <c r="K1057" s="12"/>
    </row>
    <row r="1058" ht="15.75" customHeight="1">
      <c r="A1058" s="3" t="s">
        <v>12</v>
      </c>
      <c r="B1058" s="3" t="s">
        <v>82</v>
      </c>
      <c r="C1058" s="3" t="s">
        <v>7975</v>
      </c>
      <c r="D1058" s="8" t="str">
        <f t="shared" si="1"/>
        <v>Abrir anúncio ↗</v>
      </c>
      <c r="E1058" s="9" t="s">
        <v>7976</v>
      </c>
      <c r="F1058" s="3" t="s">
        <v>29</v>
      </c>
      <c r="G1058" s="9" t="s">
        <v>3709</v>
      </c>
      <c r="H1058" s="9" t="s">
        <v>5962</v>
      </c>
      <c r="I1058" s="3"/>
      <c r="J1058" s="3"/>
      <c r="K1058" s="9"/>
    </row>
    <row r="1059" ht="15.75" customHeight="1">
      <c r="A1059" s="10" t="s">
        <v>12</v>
      </c>
      <c r="B1059" s="10" t="s">
        <v>82</v>
      </c>
      <c r="C1059" s="10" t="s">
        <v>7977</v>
      </c>
      <c r="D1059" s="11" t="str">
        <f t="shared" si="1"/>
        <v>Abrir anúncio ↗</v>
      </c>
      <c r="E1059" s="12" t="s">
        <v>7978</v>
      </c>
      <c r="F1059" s="10" t="s">
        <v>29</v>
      </c>
      <c r="G1059" s="12" t="s">
        <v>3709</v>
      </c>
      <c r="H1059" s="12" t="s">
        <v>5956</v>
      </c>
      <c r="I1059" s="10"/>
      <c r="J1059" s="10"/>
      <c r="K1059" s="12"/>
    </row>
    <row r="1060" ht="15.75" customHeight="1">
      <c r="A1060" s="3" t="s">
        <v>12</v>
      </c>
      <c r="B1060" s="3" t="s">
        <v>82</v>
      </c>
      <c r="C1060" s="3" t="s">
        <v>7979</v>
      </c>
      <c r="D1060" s="8" t="str">
        <f t="shared" si="1"/>
        <v>Abrir anúncio ↗</v>
      </c>
      <c r="E1060" s="9" t="s">
        <v>7980</v>
      </c>
      <c r="F1060" s="3" t="s">
        <v>29</v>
      </c>
      <c r="G1060" s="9" t="s">
        <v>4538</v>
      </c>
      <c r="H1060" s="9" t="s">
        <v>7981</v>
      </c>
      <c r="I1060" s="3"/>
      <c r="J1060" s="3"/>
      <c r="K1060" s="9"/>
    </row>
    <row r="1061" ht="15.75" customHeight="1">
      <c r="A1061" s="10" t="s">
        <v>12</v>
      </c>
      <c r="B1061" s="10" t="s">
        <v>82</v>
      </c>
      <c r="C1061" s="10" t="s">
        <v>7982</v>
      </c>
      <c r="D1061" s="11" t="str">
        <f t="shared" si="1"/>
        <v>Abrir anúncio ↗</v>
      </c>
      <c r="E1061" s="12" t="s">
        <v>7983</v>
      </c>
      <c r="F1061" s="10" t="s">
        <v>86</v>
      </c>
      <c r="G1061" s="12" t="s">
        <v>4538</v>
      </c>
      <c r="H1061" s="12" t="s">
        <v>7984</v>
      </c>
      <c r="I1061" s="10"/>
      <c r="J1061" s="10"/>
      <c r="K1061" s="12"/>
    </row>
    <row r="1062" ht="15.75" customHeight="1">
      <c r="A1062" s="3" t="s">
        <v>12</v>
      </c>
      <c r="B1062" s="3" t="s">
        <v>82</v>
      </c>
      <c r="C1062" s="3" t="s">
        <v>7985</v>
      </c>
      <c r="D1062" s="8" t="str">
        <f t="shared" si="1"/>
        <v>Abrir anúncio ↗</v>
      </c>
      <c r="E1062" s="9" t="s">
        <v>7986</v>
      </c>
      <c r="F1062" s="3" t="s">
        <v>86</v>
      </c>
      <c r="G1062" s="9" t="s">
        <v>7987</v>
      </c>
      <c r="H1062" s="9" t="s">
        <v>7988</v>
      </c>
      <c r="I1062" s="3"/>
      <c r="J1062" s="3"/>
      <c r="K1062" s="9"/>
    </row>
    <row r="1063" ht="15.75" customHeight="1">
      <c r="A1063" s="10" t="s">
        <v>12</v>
      </c>
      <c r="B1063" s="10" t="s">
        <v>82</v>
      </c>
      <c r="C1063" s="10" t="s">
        <v>7989</v>
      </c>
      <c r="D1063" s="11" t="str">
        <f t="shared" si="1"/>
        <v>Abrir anúncio ↗</v>
      </c>
      <c r="E1063" s="12" t="s">
        <v>7990</v>
      </c>
      <c r="F1063" s="10" t="s">
        <v>29</v>
      </c>
      <c r="G1063" s="12" t="s">
        <v>4786</v>
      </c>
      <c r="H1063" s="12" t="s">
        <v>4788</v>
      </c>
      <c r="I1063" s="10"/>
      <c r="J1063" s="10"/>
      <c r="K1063" s="12"/>
    </row>
    <row r="1064" ht="15.75" customHeight="1">
      <c r="A1064" s="3" t="s">
        <v>12</v>
      </c>
      <c r="B1064" s="3" t="s">
        <v>82</v>
      </c>
      <c r="C1064" s="3" t="s">
        <v>7991</v>
      </c>
      <c r="D1064" s="8" t="str">
        <f t="shared" si="1"/>
        <v>Abrir anúncio ↗</v>
      </c>
      <c r="E1064" s="9" t="s">
        <v>7992</v>
      </c>
      <c r="F1064" s="3" t="s">
        <v>29</v>
      </c>
      <c r="G1064" s="9" t="s">
        <v>3709</v>
      </c>
      <c r="H1064" s="9" t="s">
        <v>4332</v>
      </c>
      <c r="I1064" s="3"/>
      <c r="J1064" s="3"/>
      <c r="K1064" s="9"/>
    </row>
    <row r="1065" ht="15.75" customHeight="1">
      <c r="A1065" s="10" t="s">
        <v>12</v>
      </c>
      <c r="B1065" s="10" t="s">
        <v>82</v>
      </c>
      <c r="C1065" s="10" t="s">
        <v>7993</v>
      </c>
      <c r="D1065" s="11" t="str">
        <f t="shared" si="1"/>
        <v>Abrir anúncio ↗</v>
      </c>
      <c r="E1065" s="12" t="s">
        <v>7994</v>
      </c>
      <c r="F1065" s="10" t="s">
        <v>29</v>
      </c>
      <c r="G1065" s="12" t="s">
        <v>4786</v>
      </c>
      <c r="H1065" s="12" t="s">
        <v>7995</v>
      </c>
      <c r="I1065" s="10"/>
      <c r="J1065" s="10"/>
      <c r="K1065" s="12"/>
    </row>
    <row r="1066" ht="15.75" customHeight="1">
      <c r="A1066" s="3" t="s">
        <v>12</v>
      </c>
      <c r="B1066" s="3" t="s">
        <v>82</v>
      </c>
      <c r="C1066" s="3" t="s">
        <v>7996</v>
      </c>
      <c r="D1066" s="8" t="str">
        <f t="shared" si="1"/>
        <v>Abrir anúncio ↗</v>
      </c>
      <c r="E1066" s="9" t="s">
        <v>7997</v>
      </c>
      <c r="F1066" s="3" t="s">
        <v>29</v>
      </c>
      <c r="G1066" s="9" t="s">
        <v>3422</v>
      </c>
      <c r="H1066" s="9" t="s">
        <v>7998</v>
      </c>
      <c r="I1066" s="3"/>
      <c r="J1066" s="3"/>
      <c r="K1066" s="9"/>
    </row>
    <row r="1067" ht="15.75" customHeight="1">
      <c r="A1067" s="10" t="s">
        <v>12</v>
      </c>
      <c r="B1067" s="10" t="s">
        <v>82</v>
      </c>
      <c r="C1067" s="10" t="s">
        <v>7999</v>
      </c>
      <c r="D1067" s="11" t="str">
        <f t="shared" si="1"/>
        <v>Abrir anúncio ↗</v>
      </c>
      <c r="E1067" s="12" t="s">
        <v>8000</v>
      </c>
      <c r="F1067" s="10" t="s">
        <v>86</v>
      </c>
      <c r="G1067" s="12" t="s">
        <v>4786</v>
      </c>
      <c r="H1067" s="12" t="s">
        <v>8001</v>
      </c>
      <c r="I1067" s="10"/>
      <c r="J1067" s="10"/>
      <c r="K1067" s="12"/>
    </row>
    <row r="1068" ht="15.75" customHeight="1">
      <c r="A1068" s="3" t="s">
        <v>12</v>
      </c>
      <c r="B1068" s="3" t="s">
        <v>82</v>
      </c>
      <c r="C1068" s="3" t="s">
        <v>8002</v>
      </c>
      <c r="D1068" s="8" t="str">
        <f t="shared" si="1"/>
        <v>Abrir anúncio ↗</v>
      </c>
      <c r="E1068" s="9" t="s">
        <v>8003</v>
      </c>
      <c r="F1068" s="3" t="s">
        <v>86</v>
      </c>
      <c r="G1068" s="9" t="s">
        <v>4786</v>
      </c>
      <c r="H1068" s="9" t="s">
        <v>6126</v>
      </c>
      <c r="I1068" s="3"/>
      <c r="J1068" s="3"/>
      <c r="K1068" s="9"/>
    </row>
    <row r="1069" ht="15.75" customHeight="1">
      <c r="A1069" s="10" t="s">
        <v>12</v>
      </c>
      <c r="B1069" s="10" t="s">
        <v>82</v>
      </c>
      <c r="C1069" s="10" t="s">
        <v>8004</v>
      </c>
      <c r="D1069" s="11" t="str">
        <f t="shared" si="1"/>
        <v>Abrir anúncio ↗</v>
      </c>
      <c r="E1069" s="12" t="s">
        <v>8005</v>
      </c>
      <c r="F1069" s="10" t="s">
        <v>29</v>
      </c>
      <c r="G1069" s="12" t="s">
        <v>6787</v>
      </c>
      <c r="H1069" s="12" t="s">
        <v>8006</v>
      </c>
      <c r="I1069" s="10"/>
      <c r="J1069" s="10"/>
      <c r="K1069" s="12"/>
    </row>
    <row r="1070" ht="15.75" customHeight="1">
      <c r="A1070" s="3" t="s">
        <v>12</v>
      </c>
      <c r="B1070" s="3" t="s">
        <v>82</v>
      </c>
      <c r="C1070" s="3" t="s">
        <v>8007</v>
      </c>
      <c r="D1070" s="8" t="str">
        <f t="shared" si="1"/>
        <v>Abrir anúncio ↗</v>
      </c>
      <c r="E1070" s="9" t="s">
        <v>8008</v>
      </c>
      <c r="F1070" s="3" t="s">
        <v>29</v>
      </c>
      <c r="G1070" s="9" t="s">
        <v>3422</v>
      </c>
      <c r="H1070" s="9" t="s">
        <v>3777</v>
      </c>
      <c r="I1070" s="3"/>
      <c r="J1070" s="3"/>
      <c r="K1070" s="9"/>
    </row>
    <row r="1071" ht="15.75" customHeight="1">
      <c r="A1071" s="10" t="s">
        <v>12</v>
      </c>
      <c r="B1071" s="10" t="s">
        <v>82</v>
      </c>
      <c r="C1071" s="10" t="s">
        <v>8009</v>
      </c>
      <c r="D1071" s="11" t="str">
        <f t="shared" si="1"/>
        <v>Abrir anúncio ↗</v>
      </c>
      <c r="E1071" s="12" t="s">
        <v>8010</v>
      </c>
      <c r="F1071" s="10" t="s">
        <v>86</v>
      </c>
      <c r="G1071" s="12" t="s">
        <v>4786</v>
      </c>
      <c r="H1071" s="12" t="s">
        <v>6334</v>
      </c>
      <c r="I1071" s="10"/>
      <c r="J1071" s="10"/>
      <c r="K1071" s="12"/>
    </row>
    <row r="1072" ht="15.75" customHeight="1">
      <c r="A1072" s="3" t="s">
        <v>12</v>
      </c>
      <c r="B1072" s="3" t="s">
        <v>82</v>
      </c>
      <c r="C1072" s="3" t="s">
        <v>8012</v>
      </c>
      <c r="D1072" s="8" t="str">
        <f t="shared" si="1"/>
        <v>Abrir anúncio ↗</v>
      </c>
      <c r="E1072" s="9" t="s">
        <v>8013</v>
      </c>
      <c r="F1072" s="3" t="s">
        <v>86</v>
      </c>
      <c r="G1072" s="9" t="s">
        <v>4786</v>
      </c>
      <c r="H1072" s="9" t="s">
        <v>8001</v>
      </c>
      <c r="I1072" s="3"/>
      <c r="J1072" s="3"/>
      <c r="K1072" s="9"/>
    </row>
    <row r="1073" ht="15.75" customHeight="1">
      <c r="A1073" s="10" t="s">
        <v>12</v>
      </c>
      <c r="B1073" s="10" t="s">
        <v>82</v>
      </c>
      <c r="C1073" s="10" t="s">
        <v>8014</v>
      </c>
      <c r="D1073" s="11" t="str">
        <f t="shared" si="1"/>
        <v>Abrir anúncio ↗</v>
      </c>
      <c r="E1073" s="12" t="s">
        <v>8015</v>
      </c>
      <c r="F1073" s="10" t="s">
        <v>86</v>
      </c>
      <c r="G1073" s="12" t="s">
        <v>4786</v>
      </c>
      <c r="H1073" s="12" t="s">
        <v>8018</v>
      </c>
      <c r="I1073" s="10"/>
      <c r="J1073" s="10"/>
      <c r="K1073" s="12"/>
    </row>
    <row r="1074" ht="15.75" customHeight="1">
      <c r="A1074" s="3" t="s">
        <v>12</v>
      </c>
      <c r="B1074" s="3" t="s">
        <v>82</v>
      </c>
      <c r="C1074" s="3" t="s">
        <v>8019</v>
      </c>
      <c r="D1074" s="8" t="str">
        <f t="shared" si="1"/>
        <v>Abrir anúncio ↗</v>
      </c>
      <c r="E1074" s="9" t="s">
        <v>8021</v>
      </c>
      <c r="F1074" s="3" t="s">
        <v>29</v>
      </c>
      <c r="G1074" s="9" t="s">
        <v>3892</v>
      </c>
      <c r="H1074" s="9" t="s">
        <v>8022</v>
      </c>
      <c r="I1074" s="3"/>
      <c r="J1074" s="3"/>
      <c r="K1074" s="9"/>
    </row>
    <row r="1075" ht="15.75" customHeight="1">
      <c r="A1075" s="10" t="s">
        <v>12</v>
      </c>
      <c r="B1075" s="10" t="s">
        <v>82</v>
      </c>
      <c r="C1075" s="10" t="s">
        <v>8023</v>
      </c>
      <c r="D1075" s="11" t="str">
        <f t="shared" si="1"/>
        <v>Abrir anúncio ↗</v>
      </c>
      <c r="E1075" s="12" t="s">
        <v>8024</v>
      </c>
      <c r="F1075" s="10" t="s">
        <v>86</v>
      </c>
      <c r="G1075" s="12" t="s">
        <v>4786</v>
      </c>
      <c r="H1075" s="12" t="s">
        <v>8025</v>
      </c>
      <c r="I1075" s="10"/>
      <c r="J1075" s="10"/>
      <c r="K1075" s="12"/>
    </row>
    <row r="1076" ht="15.75" customHeight="1">
      <c r="A1076" s="3" t="s">
        <v>12</v>
      </c>
      <c r="B1076" s="3" t="s">
        <v>82</v>
      </c>
      <c r="C1076" s="3" t="s">
        <v>8026</v>
      </c>
      <c r="D1076" s="8" t="str">
        <f t="shared" si="1"/>
        <v>Abrir anúncio ↗</v>
      </c>
      <c r="E1076" s="9" t="s">
        <v>8027</v>
      </c>
      <c r="F1076" s="3" t="s">
        <v>86</v>
      </c>
      <c r="G1076" s="9" t="s">
        <v>4786</v>
      </c>
      <c r="H1076" s="9" t="s">
        <v>6342</v>
      </c>
      <c r="I1076" s="3"/>
      <c r="J1076" s="3"/>
      <c r="K1076" s="9"/>
    </row>
    <row r="1077" ht="15.75" customHeight="1">
      <c r="A1077" s="10" t="s">
        <v>12</v>
      </c>
      <c r="B1077" s="10" t="s">
        <v>82</v>
      </c>
      <c r="C1077" s="10" t="s">
        <v>8028</v>
      </c>
      <c r="D1077" s="11" t="str">
        <f t="shared" si="1"/>
        <v>Abrir anúncio ↗</v>
      </c>
      <c r="E1077" s="12" t="s">
        <v>8029</v>
      </c>
      <c r="F1077" s="10" t="s">
        <v>29</v>
      </c>
      <c r="G1077" s="12" t="s">
        <v>5946</v>
      </c>
      <c r="H1077" s="12" t="s">
        <v>5948</v>
      </c>
      <c r="I1077" s="10"/>
      <c r="J1077" s="10"/>
      <c r="K1077" s="12"/>
    </row>
    <row r="1078" ht="15.75" customHeight="1">
      <c r="A1078" s="3" t="s">
        <v>12</v>
      </c>
      <c r="B1078" s="3" t="s">
        <v>82</v>
      </c>
      <c r="C1078" s="3" t="s">
        <v>8031</v>
      </c>
      <c r="D1078" s="8" t="str">
        <f t="shared" si="1"/>
        <v>Abrir anúncio ↗</v>
      </c>
      <c r="E1078" s="9" t="s">
        <v>8032</v>
      </c>
      <c r="F1078" s="3" t="s">
        <v>86</v>
      </c>
      <c r="G1078" s="9" t="s">
        <v>3892</v>
      </c>
      <c r="H1078" s="9" t="s">
        <v>8033</v>
      </c>
      <c r="I1078" s="3"/>
      <c r="J1078" s="3"/>
      <c r="K1078" s="9"/>
    </row>
    <row r="1079" ht="15.75" customHeight="1">
      <c r="A1079" s="10" t="s">
        <v>12</v>
      </c>
      <c r="B1079" s="10" t="s">
        <v>82</v>
      </c>
      <c r="C1079" s="10" t="s">
        <v>8034</v>
      </c>
      <c r="D1079" s="11" t="str">
        <f t="shared" si="1"/>
        <v>Abrir anúncio ↗</v>
      </c>
      <c r="E1079" s="12" t="s">
        <v>8035</v>
      </c>
      <c r="F1079" s="10" t="s">
        <v>86</v>
      </c>
      <c r="G1079" s="12" t="s">
        <v>4538</v>
      </c>
      <c r="H1079" s="12" t="s">
        <v>8037</v>
      </c>
      <c r="I1079" s="10"/>
      <c r="J1079" s="10"/>
      <c r="K1079" s="12"/>
    </row>
    <row r="1080" ht="15.75" customHeight="1">
      <c r="A1080" s="3" t="s">
        <v>12</v>
      </c>
      <c r="B1080" s="3" t="s">
        <v>82</v>
      </c>
      <c r="C1080" s="3" t="s">
        <v>8038</v>
      </c>
      <c r="D1080" s="8" t="str">
        <f t="shared" si="1"/>
        <v>Abrir anúncio ↗</v>
      </c>
      <c r="E1080" s="9" t="s">
        <v>8039</v>
      </c>
      <c r="F1080" s="3" t="s">
        <v>86</v>
      </c>
      <c r="G1080" s="9" t="s">
        <v>4786</v>
      </c>
      <c r="H1080" s="9" t="s">
        <v>6116</v>
      </c>
      <c r="I1080" s="3"/>
      <c r="J1080" s="3"/>
      <c r="K1080" s="9"/>
    </row>
    <row r="1081" ht="15.75" customHeight="1">
      <c r="A1081" s="10" t="s">
        <v>12</v>
      </c>
      <c r="B1081" s="10" t="s">
        <v>82</v>
      </c>
      <c r="C1081" s="10" t="s">
        <v>8040</v>
      </c>
      <c r="D1081" s="11" t="str">
        <f t="shared" si="1"/>
        <v>Abrir anúncio ↗</v>
      </c>
      <c r="E1081" s="12" t="s">
        <v>8041</v>
      </c>
      <c r="F1081" s="10" t="s">
        <v>29</v>
      </c>
      <c r="G1081" s="12" t="s">
        <v>3422</v>
      </c>
      <c r="H1081" s="12" t="s">
        <v>4358</v>
      </c>
      <c r="I1081" s="10"/>
      <c r="J1081" s="10"/>
      <c r="K1081" s="12"/>
    </row>
    <row r="1082" ht="15.75" customHeight="1">
      <c r="A1082" s="3" t="s">
        <v>12</v>
      </c>
      <c r="B1082" s="3" t="s">
        <v>82</v>
      </c>
      <c r="C1082" s="3" t="s">
        <v>8043</v>
      </c>
      <c r="D1082" s="8" t="str">
        <f t="shared" si="1"/>
        <v>Abrir anúncio ↗</v>
      </c>
      <c r="E1082" s="9" t="s">
        <v>8044</v>
      </c>
      <c r="F1082" s="3" t="s">
        <v>29</v>
      </c>
      <c r="G1082" s="9" t="s">
        <v>3422</v>
      </c>
      <c r="H1082" s="9" t="s">
        <v>3769</v>
      </c>
      <c r="I1082" s="3"/>
      <c r="J1082" s="3"/>
      <c r="K1082" s="9"/>
    </row>
    <row r="1083" ht="15.75" customHeight="1">
      <c r="A1083" s="10" t="s">
        <v>12</v>
      </c>
      <c r="B1083" s="10" t="s">
        <v>82</v>
      </c>
      <c r="C1083" s="10" t="s">
        <v>8046</v>
      </c>
      <c r="D1083" s="11" t="str">
        <f t="shared" si="1"/>
        <v>Abrir anúncio ↗</v>
      </c>
      <c r="E1083" s="12" t="s">
        <v>8047</v>
      </c>
      <c r="F1083" s="10" t="s">
        <v>29</v>
      </c>
      <c r="G1083" s="12" t="s">
        <v>3892</v>
      </c>
      <c r="H1083" s="12" t="s">
        <v>7689</v>
      </c>
      <c r="I1083" s="10"/>
      <c r="J1083" s="10"/>
      <c r="K1083" s="12"/>
    </row>
    <row r="1084" ht="15.75" customHeight="1">
      <c r="A1084" s="3" t="s">
        <v>12</v>
      </c>
      <c r="B1084" s="3" t="s">
        <v>82</v>
      </c>
      <c r="C1084" s="3" t="s">
        <v>8048</v>
      </c>
      <c r="D1084" s="8" t="str">
        <f t="shared" si="1"/>
        <v>Abrir anúncio ↗</v>
      </c>
      <c r="E1084" s="9" t="s">
        <v>8049</v>
      </c>
      <c r="F1084" s="3" t="s">
        <v>29</v>
      </c>
      <c r="G1084" s="9" t="s">
        <v>3685</v>
      </c>
      <c r="H1084" s="9" t="s">
        <v>4189</v>
      </c>
      <c r="I1084" s="3"/>
      <c r="J1084" s="3"/>
      <c r="K1084" s="9"/>
    </row>
    <row r="1085" ht="15.75" customHeight="1">
      <c r="A1085" s="10" t="s">
        <v>12</v>
      </c>
      <c r="B1085" s="10" t="s">
        <v>82</v>
      </c>
      <c r="C1085" s="10" t="s">
        <v>8050</v>
      </c>
      <c r="D1085" s="11" t="str">
        <f t="shared" si="1"/>
        <v>Abrir anúncio ↗</v>
      </c>
      <c r="E1085" s="12" t="s">
        <v>8051</v>
      </c>
      <c r="F1085" s="10" t="s">
        <v>29</v>
      </c>
      <c r="G1085" s="12" t="s">
        <v>3422</v>
      </c>
      <c r="H1085" s="12" t="s">
        <v>6954</v>
      </c>
      <c r="I1085" s="10"/>
      <c r="J1085" s="10"/>
      <c r="K1085" s="12"/>
    </row>
    <row r="1086" ht="15.75" customHeight="1">
      <c r="A1086" s="3" t="s">
        <v>12</v>
      </c>
      <c r="B1086" s="3" t="s">
        <v>82</v>
      </c>
      <c r="C1086" s="3" t="s">
        <v>8052</v>
      </c>
      <c r="D1086" s="8" t="str">
        <f t="shared" si="1"/>
        <v>Abrir anúncio ↗</v>
      </c>
      <c r="E1086" s="9" t="s">
        <v>8053</v>
      </c>
      <c r="F1086" s="3" t="s">
        <v>29</v>
      </c>
      <c r="G1086" s="9" t="s">
        <v>3685</v>
      </c>
      <c r="H1086" s="9" t="s">
        <v>3789</v>
      </c>
      <c r="I1086" s="3"/>
      <c r="J1086" s="3"/>
      <c r="K1086" s="9"/>
    </row>
    <row r="1087" ht="15.75" customHeight="1">
      <c r="A1087" s="10" t="s">
        <v>12</v>
      </c>
      <c r="B1087" s="10" t="s">
        <v>82</v>
      </c>
      <c r="C1087" s="10" t="s">
        <v>8057</v>
      </c>
      <c r="D1087" s="11" t="str">
        <f t="shared" si="1"/>
        <v>Abrir anúncio ↗</v>
      </c>
      <c r="E1087" s="12" t="s">
        <v>8058</v>
      </c>
      <c r="F1087" s="10" t="s">
        <v>29</v>
      </c>
      <c r="G1087" s="12" t="s">
        <v>3422</v>
      </c>
      <c r="H1087" s="12" t="s">
        <v>4377</v>
      </c>
      <c r="I1087" s="10"/>
      <c r="J1087" s="10"/>
      <c r="K1087" s="12"/>
    </row>
    <row r="1088" ht="15.75" customHeight="1">
      <c r="A1088" s="3" t="s">
        <v>12</v>
      </c>
      <c r="B1088" s="3" t="s">
        <v>82</v>
      </c>
      <c r="C1088" s="3" t="s">
        <v>8060</v>
      </c>
      <c r="D1088" s="8" t="str">
        <f t="shared" si="1"/>
        <v>Abrir anúncio ↗</v>
      </c>
      <c r="E1088" s="9" t="s">
        <v>8061</v>
      </c>
      <c r="F1088" s="3" t="s">
        <v>29</v>
      </c>
      <c r="G1088" s="9" t="s">
        <v>3422</v>
      </c>
      <c r="H1088" s="9" t="s">
        <v>6178</v>
      </c>
      <c r="I1088" s="3"/>
      <c r="J1088" s="3"/>
      <c r="K1088" s="9"/>
    </row>
    <row r="1089" ht="15.75" customHeight="1">
      <c r="A1089" s="10" t="s">
        <v>12</v>
      </c>
      <c r="B1089" s="10" t="s">
        <v>82</v>
      </c>
      <c r="C1089" s="10" t="s">
        <v>8063</v>
      </c>
      <c r="D1089" s="11" t="str">
        <f t="shared" si="1"/>
        <v>Abrir anúncio ↗</v>
      </c>
      <c r="E1089" s="12" t="s">
        <v>8064</v>
      </c>
      <c r="F1089" s="10" t="s">
        <v>29</v>
      </c>
      <c r="G1089" s="12" t="s">
        <v>3685</v>
      </c>
      <c r="H1089" s="12" t="s">
        <v>4557</v>
      </c>
      <c r="I1089" s="10"/>
      <c r="J1089" s="10"/>
      <c r="K1089" s="12"/>
    </row>
    <row r="1090" ht="15.75" customHeight="1">
      <c r="A1090" s="3" t="s">
        <v>12</v>
      </c>
      <c r="B1090" s="3" t="s">
        <v>82</v>
      </c>
      <c r="C1090" s="3" t="s">
        <v>8065</v>
      </c>
      <c r="D1090" s="8" t="str">
        <f t="shared" si="1"/>
        <v>Abrir anúncio ↗</v>
      </c>
      <c r="E1090" s="9" t="s">
        <v>8066</v>
      </c>
      <c r="F1090" s="3" t="s">
        <v>29</v>
      </c>
      <c r="G1090" s="9" t="s">
        <v>3685</v>
      </c>
      <c r="H1090" s="9" t="s">
        <v>3789</v>
      </c>
      <c r="I1090" s="3"/>
      <c r="J1090" s="3"/>
      <c r="K1090" s="9"/>
    </row>
    <row r="1091" ht="15.75" customHeight="1">
      <c r="A1091" s="10" t="s">
        <v>12</v>
      </c>
      <c r="B1091" s="10" t="s">
        <v>82</v>
      </c>
      <c r="C1091" s="10" t="s">
        <v>8067</v>
      </c>
      <c r="D1091" s="11" t="str">
        <f t="shared" si="1"/>
        <v>Abrir anúncio ↗</v>
      </c>
      <c r="E1091" s="12" t="s">
        <v>8068</v>
      </c>
      <c r="F1091" s="10" t="s">
        <v>29</v>
      </c>
      <c r="G1091" s="12" t="s">
        <v>3685</v>
      </c>
      <c r="H1091" s="12" t="s">
        <v>4189</v>
      </c>
      <c r="I1091" s="10"/>
      <c r="J1091" s="10"/>
      <c r="K1091" s="12"/>
    </row>
    <row r="1092" ht="15.75" customHeight="1">
      <c r="A1092" s="3" t="s">
        <v>12</v>
      </c>
      <c r="B1092" s="3" t="s">
        <v>82</v>
      </c>
      <c r="C1092" s="3" t="s">
        <v>8069</v>
      </c>
      <c r="D1092" s="8" t="str">
        <f t="shared" si="1"/>
        <v>Abrir anúncio ↗</v>
      </c>
      <c r="E1092" s="9" t="s">
        <v>8070</v>
      </c>
      <c r="F1092" s="3" t="s">
        <v>29</v>
      </c>
      <c r="G1092" s="9" t="s">
        <v>3709</v>
      </c>
      <c r="H1092" s="9" t="s">
        <v>4097</v>
      </c>
      <c r="I1092" s="3"/>
      <c r="J1092" s="3"/>
      <c r="K1092" s="9"/>
    </row>
    <row r="1093" ht="15.75" customHeight="1">
      <c r="A1093" s="10" t="s">
        <v>12</v>
      </c>
      <c r="B1093" s="10" t="s">
        <v>82</v>
      </c>
      <c r="C1093" s="10" t="s">
        <v>8071</v>
      </c>
      <c r="D1093" s="11" t="str">
        <f t="shared" si="1"/>
        <v>Abrir anúncio ↗</v>
      </c>
      <c r="E1093" s="12" t="s">
        <v>8072</v>
      </c>
      <c r="F1093" s="10" t="s">
        <v>29</v>
      </c>
      <c r="G1093" s="12" t="s">
        <v>4786</v>
      </c>
      <c r="H1093" s="12" t="s">
        <v>6099</v>
      </c>
      <c r="I1093" s="10"/>
      <c r="J1093" s="10"/>
      <c r="K1093" s="12"/>
    </row>
    <row r="1094" ht="15.75" customHeight="1">
      <c r="A1094" s="3" t="s">
        <v>12</v>
      </c>
      <c r="B1094" s="3" t="s">
        <v>82</v>
      </c>
      <c r="C1094" s="3" t="s">
        <v>7547</v>
      </c>
      <c r="D1094" s="8" t="str">
        <f t="shared" si="1"/>
        <v>Abrir anúncio ↗</v>
      </c>
      <c r="E1094" s="9" t="s">
        <v>7543</v>
      </c>
      <c r="F1094" s="3" t="s">
        <v>29</v>
      </c>
      <c r="G1094" s="9" t="s">
        <v>2390</v>
      </c>
      <c r="H1094" s="9" t="s">
        <v>2392</v>
      </c>
      <c r="I1094" s="3"/>
      <c r="J1094" s="3"/>
      <c r="K1094" s="9"/>
    </row>
    <row r="1095" ht="15.75" customHeight="1">
      <c r="A1095" s="10" t="s">
        <v>12</v>
      </c>
      <c r="B1095" s="10" t="s">
        <v>82</v>
      </c>
      <c r="C1095" s="10" t="s">
        <v>8073</v>
      </c>
      <c r="D1095" s="11" t="str">
        <f t="shared" si="1"/>
        <v>Abrir anúncio ↗</v>
      </c>
      <c r="E1095" s="12" t="s">
        <v>8074</v>
      </c>
      <c r="F1095" s="10" t="s">
        <v>86</v>
      </c>
      <c r="G1095" s="12" t="s">
        <v>4538</v>
      </c>
      <c r="H1095" s="12" t="s">
        <v>8075</v>
      </c>
      <c r="I1095" s="10"/>
      <c r="J1095" s="10"/>
      <c r="K1095" s="12"/>
    </row>
    <row r="1096" ht="15.75" customHeight="1">
      <c r="A1096" s="3" t="s">
        <v>12</v>
      </c>
      <c r="B1096" s="3" t="s">
        <v>82</v>
      </c>
      <c r="C1096" s="3" t="s">
        <v>8076</v>
      </c>
      <c r="D1096" s="8" t="str">
        <f t="shared" si="1"/>
        <v>Abrir anúncio ↗</v>
      </c>
      <c r="E1096" s="9" t="s">
        <v>8077</v>
      </c>
      <c r="F1096" s="3" t="s">
        <v>86</v>
      </c>
      <c r="G1096" s="9" t="s">
        <v>4786</v>
      </c>
      <c r="H1096" s="9" t="s">
        <v>8078</v>
      </c>
      <c r="I1096" s="3"/>
      <c r="J1096" s="3"/>
      <c r="K1096" s="9"/>
    </row>
    <row r="1097" ht="15.75" customHeight="1">
      <c r="A1097" s="10" t="s">
        <v>12</v>
      </c>
      <c r="B1097" s="10" t="s">
        <v>82</v>
      </c>
      <c r="C1097" s="10" t="s">
        <v>8079</v>
      </c>
      <c r="D1097" s="11" t="str">
        <f t="shared" si="1"/>
        <v>Abrir anúncio ↗</v>
      </c>
      <c r="E1097" s="12" t="s">
        <v>8080</v>
      </c>
      <c r="F1097" s="10" t="s">
        <v>29</v>
      </c>
      <c r="G1097" s="12" t="s">
        <v>3709</v>
      </c>
      <c r="H1097" s="12" t="s">
        <v>4141</v>
      </c>
      <c r="I1097" s="10"/>
      <c r="J1097" s="10"/>
      <c r="K1097" s="12"/>
    </row>
    <row r="1098" ht="15.75" customHeight="1">
      <c r="A1098" s="3" t="s">
        <v>12</v>
      </c>
      <c r="B1098" s="3" t="s">
        <v>82</v>
      </c>
      <c r="C1098" s="3" t="s">
        <v>8083</v>
      </c>
      <c r="D1098" s="8" t="str">
        <f t="shared" si="1"/>
        <v>Abrir anúncio ↗</v>
      </c>
      <c r="E1098" s="9" t="s">
        <v>8085</v>
      </c>
      <c r="F1098" s="3" t="s">
        <v>29</v>
      </c>
      <c r="G1098" s="9" t="s">
        <v>3709</v>
      </c>
      <c r="H1098" s="9" t="s">
        <v>4075</v>
      </c>
      <c r="I1098" s="3"/>
      <c r="J1098" s="3"/>
      <c r="K1098" s="9"/>
    </row>
    <row r="1099" ht="15.75" customHeight="1">
      <c r="A1099" s="10" t="s">
        <v>12</v>
      </c>
      <c r="B1099" s="10" t="s">
        <v>82</v>
      </c>
      <c r="C1099" s="10" t="s">
        <v>8086</v>
      </c>
      <c r="D1099" s="11" t="str">
        <f t="shared" si="1"/>
        <v>Abrir anúncio ↗</v>
      </c>
      <c r="E1099" s="12" t="s">
        <v>8087</v>
      </c>
      <c r="F1099" s="10" t="s">
        <v>29</v>
      </c>
      <c r="G1099" s="12" t="s">
        <v>8088</v>
      </c>
      <c r="H1099" s="12" t="s">
        <v>8089</v>
      </c>
      <c r="I1099" s="10"/>
      <c r="J1099" s="10"/>
      <c r="K1099" s="12"/>
    </row>
    <row r="1100" ht="15.75" customHeight="1">
      <c r="A1100" s="3" t="s">
        <v>12</v>
      </c>
      <c r="B1100" s="3" t="s">
        <v>82</v>
      </c>
      <c r="C1100" s="3" t="s">
        <v>8090</v>
      </c>
      <c r="D1100" s="8" t="str">
        <f t="shared" si="1"/>
        <v>Abrir anúncio ↗</v>
      </c>
      <c r="E1100" s="9" t="s">
        <v>8092</v>
      </c>
      <c r="F1100" s="3" t="s">
        <v>29</v>
      </c>
      <c r="G1100" s="9" t="s">
        <v>4786</v>
      </c>
      <c r="H1100" s="9" t="s">
        <v>8094</v>
      </c>
      <c r="I1100" s="3"/>
      <c r="J1100" s="3"/>
      <c r="K1100" s="9"/>
    </row>
    <row r="1101" ht="15.75" customHeight="1">
      <c r="A1101" s="10" t="s">
        <v>12</v>
      </c>
      <c r="B1101" s="10" t="s">
        <v>82</v>
      </c>
      <c r="C1101" s="10" t="s">
        <v>6224</v>
      </c>
      <c r="D1101" s="11" t="str">
        <f t="shared" si="1"/>
        <v>Abrir anúncio ↗</v>
      </c>
      <c r="E1101" s="12" t="s">
        <v>6212</v>
      </c>
      <c r="F1101" s="10" t="s">
        <v>29</v>
      </c>
      <c r="G1101" s="12" t="s">
        <v>2390</v>
      </c>
      <c r="H1101" s="12" t="s">
        <v>2392</v>
      </c>
      <c r="I1101" s="10"/>
      <c r="J1101" s="10"/>
      <c r="K1101" s="12"/>
    </row>
    <row r="1102" ht="15.75" customHeight="1">
      <c r="A1102" s="3" t="s">
        <v>12</v>
      </c>
      <c r="B1102" s="3" t="s">
        <v>82</v>
      </c>
      <c r="C1102" s="3" t="s">
        <v>8098</v>
      </c>
      <c r="D1102" s="8" t="str">
        <f t="shared" si="1"/>
        <v>Abrir anúncio ↗</v>
      </c>
      <c r="E1102" s="9" t="s">
        <v>8099</v>
      </c>
      <c r="F1102" s="3" t="s">
        <v>29</v>
      </c>
      <c r="G1102" s="9" t="s">
        <v>4786</v>
      </c>
      <c r="H1102" s="9" t="s">
        <v>6300</v>
      </c>
      <c r="I1102" s="3"/>
      <c r="J1102" s="3"/>
      <c r="K1102" s="9"/>
    </row>
    <row r="1103" ht="15.75" customHeight="1">
      <c r="A1103" s="10" t="s">
        <v>12</v>
      </c>
      <c r="B1103" s="10" t="s">
        <v>82</v>
      </c>
      <c r="C1103" s="10" t="s">
        <v>8101</v>
      </c>
      <c r="D1103" s="11" t="str">
        <f t="shared" si="1"/>
        <v>Abrir anúncio ↗</v>
      </c>
      <c r="E1103" s="12" t="s">
        <v>8102</v>
      </c>
      <c r="F1103" s="10" t="s">
        <v>29</v>
      </c>
      <c r="G1103" s="12" t="s">
        <v>6472</v>
      </c>
      <c r="H1103" s="12" t="s">
        <v>8103</v>
      </c>
      <c r="I1103" s="10"/>
      <c r="J1103" s="10"/>
      <c r="K1103" s="12"/>
    </row>
    <row r="1104" ht="15.75" customHeight="1">
      <c r="A1104" s="3" t="s">
        <v>12</v>
      </c>
      <c r="B1104" s="3" t="s">
        <v>82</v>
      </c>
      <c r="C1104" s="3" t="s">
        <v>8104</v>
      </c>
      <c r="D1104" s="8" t="str">
        <f t="shared" si="1"/>
        <v>Abrir anúncio ↗</v>
      </c>
      <c r="E1104" s="9" t="s">
        <v>8105</v>
      </c>
      <c r="F1104" s="3" t="s">
        <v>29</v>
      </c>
      <c r="G1104" s="9" t="s">
        <v>3709</v>
      </c>
      <c r="H1104" s="9" t="s">
        <v>4092</v>
      </c>
      <c r="I1104" s="3"/>
      <c r="J1104" s="3"/>
      <c r="K1104" s="9"/>
    </row>
    <row r="1105" ht="15.75" customHeight="1">
      <c r="A1105" s="10" t="s">
        <v>12</v>
      </c>
      <c r="B1105" s="10" t="s">
        <v>82</v>
      </c>
      <c r="C1105" s="10" t="s">
        <v>8107</v>
      </c>
      <c r="D1105" s="11" t="str">
        <f t="shared" si="1"/>
        <v>Abrir anúncio ↗</v>
      </c>
      <c r="E1105" s="12" t="s">
        <v>8109</v>
      </c>
      <c r="F1105" s="10" t="s">
        <v>29</v>
      </c>
      <c r="G1105" s="12" t="s">
        <v>5946</v>
      </c>
      <c r="H1105" s="12" t="s">
        <v>5948</v>
      </c>
      <c r="I1105" s="10"/>
      <c r="J1105" s="10"/>
      <c r="K1105" s="12"/>
    </row>
    <row r="1106" ht="15.75" customHeight="1">
      <c r="A1106" s="3" t="s">
        <v>12</v>
      </c>
      <c r="B1106" s="3" t="s">
        <v>82</v>
      </c>
      <c r="C1106" s="3" t="s">
        <v>8111</v>
      </c>
      <c r="D1106" s="8" t="str">
        <f t="shared" si="1"/>
        <v>Abrir anúncio ↗</v>
      </c>
      <c r="E1106" s="9" t="s">
        <v>8112</v>
      </c>
      <c r="F1106" s="3" t="s">
        <v>29</v>
      </c>
      <c r="G1106" s="9" t="s">
        <v>6220</v>
      </c>
      <c r="H1106" s="9" t="s">
        <v>7327</v>
      </c>
      <c r="I1106" s="3"/>
      <c r="J1106" s="3"/>
      <c r="K1106" s="9"/>
    </row>
    <row r="1107" ht="15.75" customHeight="1">
      <c r="A1107" s="10" t="s">
        <v>12</v>
      </c>
      <c r="B1107" s="10" t="s">
        <v>82</v>
      </c>
      <c r="C1107" s="10" t="s">
        <v>8115</v>
      </c>
      <c r="D1107" s="11" t="str">
        <f t="shared" si="1"/>
        <v>Abrir anúncio ↗</v>
      </c>
      <c r="E1107" s="12" t="s">
        <v>8116</v>
      </c>
      <c r="F1107" s="10" t="s">
        <v>86</v>
      </c>
      <c r="G1107" s="12" t="s">
        <v>4786</v>
      </c>
      <c r="H1107" s="12" t="s">
        <v>6300</v>
      </c>
      <c r="I1107" s="10"/>
      <c r="J1107" s="10"/>
      <c r="K1107" s="12"/>
    </row>
    <row r="1108" ht="15.75" customHeight="1">
      <c r="A1108" s="3" t="s">
        <v>12</v>
      </c>
      <c r="B1108" s="3" t="s">
        <v>82</v>
      </c>
      <c r="C1108" s="3" t="s">
        <v>8118</v>
      </c>
      <c r="D1108" s="8" t="str">
        <f t="shared" si="1"/>
        <v>Abrir anúncio ↗</v>
      </c>
      <c r="E1108" s="9" t="s">
        <v>8119</v>
      </c>
      <c r="F1108" s="3" t="s">
        <v>86</v>
      </c>
      <c r="G1108" s="9" t="s">
        <v>7987</v>
      </c>
      <c r="H1108" s="9" t="s">
        <v>7988</v>
      </c>
      <c r="I1108" s="3"/>
      <c r="J1108" s="3"/>
      <c r="K1108" s="9"/>
    </row>
    <row r="1109" ht="15.75" customHeight="1">
      <c r="A1109" s="10" t="s">
        <v>12</v>
      </c>
      <c r="B1109" s="10" t="s">
        <v>82</v>
      </c>
      <c r="C1109" s="10" t="s">
        <v>8122</v>
      </c>
      <c r="D1109" s="11" t="str">
        <f t="shared" si="1"/>
        <v>Abrir anúncio ↗</v>
      </c>
      <c r="E1109" s="12" t="s">
        <v>8123</v>
      </c>
      <c r="F1109" s="10" t="s">
        <v>29</v>
      </c>
      <c r="G1109" s="12" t="s">
        <v>3422</v>
      </c>
      <c r="H1109" s="12" t="s">
        <v>6954</v>
      </c>
      <c r="I1109" s="10"/>
      <c r="J1109" s="10"/>
      <c r="K1109" s="12"/>
    </row>
    <row r="1110" ht="15.75" customHeight="1">
      <c r="A1110" s="3" t="s">
        <v>12</v>
      </c>
      <c r="B1110" s="3" t="s">
        <v>82</v>
      </c>
      <c r="C1110" s="3" t="s">
        <v>8125</v>
      </c>
      <c r="D1110" s="8" t="str">
        <f t="shared" si="1"/>
        <v>Abrir anúncio ↗</v>
      </c>
      <c r="E1110" s="9" t="s">
        <v>8126</v>
      </c>
      <c r="F1110" s="3" t="s">
        <v>29</v>
      </c>
      <c r="G1110" s="9" t="s">
        <v>4786</v>
      </c>
      <c r="H1110" s="9" t="s">
        <v>6300</v>
      </c>
      <c r="I1110" s="3"/>
      <c r="J1110" s="3"/>
      <c r="K1110" s="9"/>
    </row>
    <row r="1111" ht="15.75" customHeight="1">
      <c r="A1111" s="10" t="s">
        <v>12</v>
      </c>
      <c r="B1111" s="10" t="s">
        <v>82</v>
      </c>
      <c r="C1111" s="10" t="s">
        <v>8129</v>
      </c>
      <c r="D1111" s="11" t="str">
        <f t="shared" si="1"/>
        <v>Abrir anúncio ↗</v>
      </c>
      <c r="E1111" s="12" t="s">
        <v>8130</v>
      </c>
      <c r="F1111" s="10" t="s">
        <v>29</v>
      </c>
      <c r="G1111" s="12" t="s">
        <v>3685</v>
      </c>
      <c r="H1111" s="12" t="s">
        <v>4207</v>
      </c>
      <c r="I1111" s="10"/>
      <c r="J1111" s="10"/>
      <c r="K1111" s="12"/>
    </row>
    <row r="1112" ht="15.75" customHeight="1">
      <c r="A1112" s="3" t="s">
        <v>12</v>
      </c>
      <c r="B1112" s="3" t="s">
        <v>82</v>
      </c>
      <c r="C1112" s="3" t="s">
        <v>8132</v>
      </c>
      <c r="D1112" s="8" t="str">
        <f t="shared" si="1"/>
        <v>Abrir anúncio ↗</v>
      </c>
      <c r="E1112" s="9" t="s">
        <v>8133</v>
      </c>
      <c r="F1112" s="3" t="s">
        <v>29</v>
      </c>
      <c r="G1112" s="9" t="s">
        <v>3709</v>
      </c>
      <c r="H1112" s="9" t="s">
        <v>3999</v>
      </c>
      <c r="I1112" s="3"/>
      <c r="J1112" s="3"/>
      <c r="K1112" s="9"/>
    </row>
    <row r="1113" ht="15.75" customHeight="1">
      <c r="A1113" s="10" t="s">
        <v>12</v>
      </c>
      <c r="B1113" s="10" t="s">
        <v>82</v>
      </c>
      <c r="C1113" s="10" t="s">
        <v>8135</v>
      </c>
      <c r="D1113" s="11" t="str">
        <f t="shared" si="1"/>
        <v>Abrir anúncio ↗</v>
      </c>
      <c r="E1113" s="12" t="s">
        <v>8136</v>
      </c>
      <c r="F1113" s="10" t="s">
        <v>29</v>
      </c>
      <c r="G1113" s="12" t="s">
        <v>3709</v>
      </c>
      <c r="H1113" s="12" t="s">
        <v>4146</v>
      </c>
      <c r="I1113" s="10"/>
      <c r="J1113" s="10"/>
      <c r="K1113" s="12"/>
    </row>
    <row r="1114" ht="15.75" customHeight="1">
      <c r="A1114" s="3" t="s">
        <v>12</v>
      </c>
      <c r="B1114" s="3" t="s">
        <v>82</v>
      </c>
      <c r="C1114" s="3" t="s">
        <v>8139</v>
      </c>
      <c r="D1114" s="8" t="str">
        <f t="shared" si="1"/>
        <v>Abrir anúncio ↗</v>
      </c>
      <c r="E1114" s="9" t="s">
        <v>8140</v>
      </c>
      <c r="F1114" s="3" t="s">
        <v>29</v>
      </c>
      <c r="G1114" s="9" t="s">
        <v>3709</v>
      </c>
      <c r="H1114" s="9" t="s">
        <v>8141</v>
      </c>
      <c r="I1114" s="3"/>
      <c r="J1114" s="3"/>
      <c r="K1114" s="9"/>
    </row>
    <row r="1115" ht="15.75" customHeight="1">
      <c r="A1115" s="10" t="s">
        <v>12</v>
      </c>
      <c r="B1115" s="10" t="s">
        <v>82</v>
      </c>
      <c r="C1115" s="10" t="s">
        <v>8143</v>
      </c>
      <c r="D1115" s="11" t="str">
        <f t="shared" si="1"/>
        <v>Abrir anúncio ↗</v>
      </c>
      <c r="E1115" s="12" t="s">
        <v>8144</v>
      </c>
      <c r="F1115" s="10" t="s">
        <v>86</v>
      </c>
      <c r="G1115" s="12" t="s">
        <v>4538</v>
      </c>
      <c r="H1115" s="12" t="s">
        <v>8146</v>
      </c>
      <c r="I1115" s="10"/>
      <c r="J1115" s="10"/>
      <c r="K1115" s="12"/>
    </row>
    <row r="1116" ht="15.75" customHeight="1">
      <c r="A1116" s="3" t="s">
        <v>12</v>
      </c>
      <c r="B1116" s="3" t="s">
        <v>82</v>
      </c>
      <c r="C1116" s="3" t="s">
        <v>8147</v>
      </c>
      <c r="D1116" s="8" t="str">
        <f t="shared" si="1"/>
        <v>Abrir anúncio ↗</v>
      </c>
      <c r="E1116" s="9" t="s">
        <v>8148</v>
      </c>
      <c r="F1116" s="3" t="s">
        <v>86</v>
      </c>
      <c r="G1116" s="9" t="s">
        <v>4786</v>
      </c>
      <c r="H1116" s="9" t="s">
        <v>6300</v>
      </c>
      <c r="I1116" s="3"/>
      <c r="J1116" s="3"/>
      <c r="K1116" s="9"/>
    </row>
    <row r="1117" ht="15.75" customHeight="1">
      <c r="A1117" s="10" t="s">
        <v>12</v>
      </c>
      <c r="B1117" s="10" t="s">
        <v>82</v>
      </c>
      <c r="C1117" s="10" t="s">
        <v>8149</v>
      </c>
      <c r="D1117" s="11" t="str">
        <f t="shared" si="1"/>
        <v>Abrir anúncio ↗</v>
      </c>
      <c r="E1117" s="12" t="s">
        <v>8150</v>
      </c>
      <c r="F1117" s="10" t="s">
        <v>86</v>
      </c>
      <c r="G1117" s="12" t="s">
        <v>4538</v>
      </c>
      <c r="H1117" s="12" t="s">
        <v>8151</v>
      </c>
      <c r="I1117" s="10"/>
      <c r="J1117" s="10"/>
      <c r="K1117" s="12"/>
    </row>
    <row r="1118" ht="15.75" customHeight="1">
      <c r="A1118" s="3" t="s">
        <v>12</v>
      </c>
      <c r="B1118" s="3" t="s">
        <v>82</v>
      </c>
      <c r="C1118" s="3" t="s">
        <v>8152</v>
      </c>
      <c r="D1118" s="8" t="str">
        <f t="shared" si="1"/>
        <v>Abrir anúncio ↗</v>
      </c>
      <c r="E1118" s="9" t="s">
        <v>8153</v>
      </c>
      <c r="F1118" s="3" t="s">
        <v>86</v>
      </c>
      <c r="G1118" s="9" t="s">
        <v>4786</v>
      </c>
      <c r="H1118" s="9" t="s">
        <v>6349</v>
      </c>
      <c r="I1118" s="3"/>
      <c r="J1118" s="3"/>
      <c r="K1118" s="9"/>
    </row>
    <row r="1119" ht="15.75" customHeight="1">
      <c r="A1119" s="10" t="s">
        <v>12</v>
      </c>
      <c r="B1119" s="10" t="s">
        <v>82</v>
      </c>
      <c r="C1119" s="10" t="s">
        <v>8156</v>
      </c>
      <c r="D1119" s="11" t="str">
        <f t="shared" si="1"/>
        <v>Abrir anúncio ↗</v>
      </c>
      <c r="E1119" s="12" t="s">
        <v>8157</v>
      </c>
      <c r="F1119" s="10" t="s">
        <v>86</v>
      </c>
      <c r="G1119" s="12" t="s">
        <v>4786</v>
      </c>
      <c r="H1119" s="12" t="s">
        <v>6342</v>
      </c>
      <c r="I1119" s="10"/>
      <c r="J1119" s="10"/>
      <c r="K1119" s="12"/>
    </row>
    <row r="1120" ht="15.75" customHeight="1">
      <c r="A1120" s="3" t="s">
        <v>12</v>
      </c>
      <c r="B1120" s="3" t="s">
        <v>82</v>
      </c>
      <c r="C1120" s="3" t="s">
        <v>8161</v>
      </c>
      <c r="D1120" s="8" t="str">
        <f t="shared" si="1"/>
        <v>Abrir anúncio ↗</v>
      </c>
      <c r="E1120" s="9" t="s">
        <v>8162</v>
      </c>
      <c r="F1120" s="3" t="s">
        <v>86</v>
      </c>
      <c r="G1120" s="9" t="s">
        <v>7987</v>
      </c>
      <c r="H1120" s="9" t="s">
        <v>7988</v>
      </c>
      <c r="I1120" s="3"/>
      <c r="J1120" s="3"/>
      <c r="K1120" s="9"/>
    </row>
    <row r="1121" ht="15.75" customHeight="1">
      <c r="A1121" s="10" t="s">
        <v>12</v>
      </c>
      <c r="B1121" s="10" t="s">
        <v>82</v>
      </c>
      <c r="C1121" s="10" t="s">
        <v>8164</v>
      </c>
      <c r="D1121" s="11" t="str">
        <f t="shared" si="1"/>
        <v>Abrir anúncio ↗</v>
      </c>
      <c r="E1121" s="12" t="s">
        <v>8166</v>
      </c>
      <c r="F1121" s="10" t="s">
        <v>86</v>
      </c>
      <c r="G1121" s="12" t="s">
        <v>4786</v>
      </c>
      <c r="H1121" s="12" t="s">
        <v>4788</v>
      </c>
      <c r="I1121" s="10"/>
      <c r="J1121" s="10"/>
      <c r="K1121" s="12"/>
    </row>
    <row r="1122" ht="15.75" customHeight="1">
      <c r="A1122" s="3" t="s">
        <v>12</v>
      </c>
      <c r="B1122" s="3" t="s">
        <v>82</v>
      </c>
      <c r="C1122" s="3" t="s">
        <v>8167</v>
      </c>
      <c r="D1122" s="8" t="str">
        <f t="shared" si="1"/>
        <v>Abrir anúncio ↗</v>
      </c>
      <c r="E1122" s="9" t="s">
        <v>8168</v>
      </c>
      <c r="F1122" s="3" t="s">
        <v>86</v>
      </c>
      <c r="G1122" s="9" t="s">
        <v>6787</v>
      </c>
      <c r="H1122" s="9" t="s">
        <v>8169</v>
      </c>
      <c r="I1122" s="3"/>
      <c r="J1122" s="3"/>
      <c r="K1122" s="9"/>
    </row>
    <row r="1123" ht="15.75" customHeight="1">
      <c r="A1123" s="10" t="s">
        <v>12</v>
      </c>
      <c r="B1123" s="10" t="s">
        <v>82</v>
      </c>
      <c r="C1123" s="10" t="s">
        <v>8171</v>
      </c>
      <c r="D1123" s="11" t="str">
        <f t="shared" si="1"/>
        <v>Abrir anúncio ↗</v>
      </c>
      <c r="E1123" s="12" t="s">
        <v>8172</v>
      </c>
      <c r="F1123" s="10" t="s">
        <v>86</v>
      </c>
      <c r="G1123" s="12" t="s">
        <v>4538</v>
      </c>
      <c r="H1123" s="12" t="s">
        <v>8173</v>
      </c>
      <c r="I1123" s="10"/>
      <c r="J1123" s="10"/>
      <c r="K1123" s="12"/>
    </row>
    <row r="1124" ht="15.75" customHeight="1">
      <c r="A1124" s="3" t="s">
        <v>12</v>
      </c>
      <c r="B1124" s="3" t="s">
        <v>82</v>
      </c>
      <c r="C1124" s="3" t="s">
        <v>8176</v>
      </c>
      <c r="D1124" s="8" t="str">
        <f t="shared" si="1"/>
        <v>Abrir anúncio ↗</v>
      </c>
      <c r="E1124" s="9" t="s">
        <v>8177</v>
      </c>
      <c r="F1124" s="3" t="s">
        <v>29</v>
      </c>
      <c r="G1124" s="9" t="s">
        <v>3709</v>
      </c>
      <c r="H1124" s="9" t="s">
        <v>4284</v>
      </c>
      <c r="I1124" s="3"/>
      <c r="J1124" s="3"/>
      <c r="K1124" s="9"/>
    </row>
    <row r="1125" ht="15.75" customHeight="1">
      <c r="A1125" s="10" t="s">
        <v>12</v>
      </c>
      <c r="B1125" s="10" t="s">
        <v>82</v>
      </c>
      <c r="C1125" s="10" t="s">
        <v>8180</v>
      </c>
      <c r="D1125" s="11" t="str">
        <f t="shared" si="1"/>
        <v>Abrir anúncio ↗</v>
      </c>
      <c r="E1125" s="12" t="s">
        <v>8181</v>
      </c>
      <c r="F1125" s="10" t="s">
        <v>29</v>
      </c>
      <c r="G1125" s="12" t="s">
        <v>3709</v>
      </c>
      <c r="H1125" s="12" t="s">
        <v>4443</v>
      </c>
      <c r="I1125" s="10"/>
      <c r="J1125" s="10"/>
      <c r="K1125" s="12"/>
    </row>
    <row r="1126" ht="15.75" customHeight="1">
      <c r="A1126" s="3" t="s">
        <v>12</v>
      </c>
      <c r="B1126" s="3" t="s">
        <v>82</v>
      </c>
      <c r="C1126" s="3" t="s">
        <v>8182</v>
      </c>
      <c r="D1126" s="8" t="str">
        <f t="shared" si="1"/>
        <v>Abrir anúncio ↗</v>
      </c>
      <c r="E1126" s="9" t="s">
        <v>8185</v>
      </c>
      <c r="F1126" s="3" t="s">
        <v>29</v>
      </c>
      <c r="G1126" s="9" t="s">
        <v>2390</v>
      </c>
      <c r="H1126" s="9" t="s">
        <v>2392</v>
      </c>
      <c r="I1126" s="3"/>
      <c r="J1126" s="3"/>
      <c r="K1126" s="9"/>
    </row>
    <row r="1127" ht="15.75" customHeight="1">
      <c r="A1127" s="10" t="s">
        <v>12</v>
      </c>
      <c r="B1127" s="10" t="s">
        <v>82</v>
      </c>
      <c r="C1127" s="10" t="s">
        <v>8187</v>
      </c>
      <c r="D1127" s="11" t="str">
        <f t="shared" si="1"/>
        <v>Abrir anúncio ↗</v>
      </c>
      <c r="E1127" s="12" t="s">
        <v>8188</v>
      </c>
      <c r="F1127" s="10" t="s">
        <v>29</v>
      </c>
      <c r="G1127" s="12" t="s">
        <v>4786</v>
      </c>
      <c r="H1127" s="12" t="s">
        <v>8001</v>
      </c>
      <c r="I1127" s="10"/>
      <c r="J1127" s="10"/>
      <c r="K1127" s="12"/>
    </row>
    <row r="1128" ht="15.75" customHeight="1">
      <c r="A1128" s="3" t="s">
        <v>12</v>
      </c>
      <c r="B1128" s="3" t="s">
        <v>82</v>
      </c>
      <c r="C1128" s="3" t="s">
        <v>8190</v>
      </c>
      <c r="D1128" s="8" t="str">
        <f t="shared" si="1"/>
        <v>Abrir anúncio ↗</v>
      </c>
      <c r="E1128" s="9" t="s">
        <v>8191</v>
      </c>
      <c r="F1128" s="3" t="s">
        <v>86</v>
      </c>
      <c r="G1128" s="9" t="s">
        <v>4786</v>
      </c>
      <c r="H1128" s="9" t="s">
        <v>6334</v>
      </c>
      <c r="I1128" s="3"/>
      <c r="J1128" s="3"/>
      <c r="K1128" s="9"/>
    </row>
    <row r="1129" ht="15.75" customHeight="1">
      <c r="A1129" s="10" t="s">
        <v>12</v>
      </c>
      <c r="B1129" s="10" t="s">
        <v>82</v>
      </c>
      <c r="C1129" s="10" t="s">
        <v>8194</v>
      </c>
      <c r="D1129" s="11" t="str">
        <f t="shared" si="1"/>
        <v>Abrir anúncio ↗</v>
      </c>
      <c r="E1129" s="12" t="s">
        <v>8196</v>
      </c>
      <c r="F1129" s="10" t="s">
        <v>29</v>
      </c>
      <c r="G1129" s="12" t="s">
        <v>3709</v>
      </c>
      <c r="H1129" s="12" t="s">
        <v>3725</v>
      </c>
      <c r="I1129" s="10"/>
      <c r="J1129" s="10"/>
      <c r="K1129" s="12"/>
    </row>
    <row r="1130" ht="15.75" customHeight="1">
      <c r="A1130" s="3" t="s">
        <v>12</v>
      </c>
      <c r="B1130" s="3" t="s">
        <v>82</v>
      </c>
      <c r="C1130" s="3" t="s">
        <v>8186</v>
      </c>
      <c r="D1130" s="8" t="str">
        <f t="shared" si="1"/>
        <v>Abrir anúncio ↗</v>
      </c>
      <c r="E1130" s="9" t="s">
        <v>8183</v>
      </c>
      <c r="F1130" s="3" t="s">
        <v>29</v>
      </c>
      <c r="G1130" s="9" t="s">
        <v>5946</v>
      </c>
      <c r="H1130" s="9" t="s">
        <v>5948</v>
      </c>
      <c r="I1130" s="3"/>
      <c r="J1130" s="3"/>
      <c r="K1130" s="9"/>
    </row>
    <row r="1131" ht="15.75" customHeight="1">
      <c r="A1131" s="10" t="s">
        <v>12</v>
      </c>
      <c r="B1131" s="10" t="s">
        <v>82</v>
      </c>
      <c r="C1131" s="10" t="s">
        <v>8199</v>
      </c>
      <c r="D1131" s="11" t="str">
        <f t="shared" si="1"/>
        <v>Abrir anúncio ↗</v>
      </c>
      <c r="E1131" s="12" t="s">
        <v>8201</v>
      </c>
      <c r="F1131" s="10" t="s">
        <v>86</v>
      </c>
      <c r="G1131" s="12" t="s">
        <v>4538</v>
      </c>
      <c r="H1131" s="12" t="s">
        <v>8202</v>
      </c>
      <c r="I1131" s="10"/>
      <c r="J1131" s="10"/>
      <c r="K1131" s="12"/>
    </row>
    <row r="1132" ht="15.75" customHeight="1">
      <c r="A1132" s="3" t="s">
        <v>12</v>
      </c>
      <c r="B1132" s="3" t="s">
        <v>82</v>
      </c>
      <c r="C1132" s="3" t="s">
        <v>8203</v>
      </c>
      <c r="D1132" s="8" t="str">
        <f t="shared" si="1"/>
        <v>Abrir anúncio ↗</v>
      </c>
      <c r="E1132" s="9" t="s">
        <v>8204</v>
      </c>
      <c r="F1132" s="3" t="s">
        <v>29</v>
      </c>
      <c r="G1132" s="9" t="s">
        <v>3892</v>
      </c>
      <c r="H1132" s="9" t="s">
        <v>6691</v>
      </c>
      <c r="I1132" s="3"/>
      <c r="J1132" s="3"/>
      <c r="K1132" s="9"/>
    </row>
    <row r="1133" ht="15.75" customHeight="1">
      <c r="A1133" s="10" t="s">
        <v>12</v>
      </c>
      <c r="B1133" s="10" t="s">
        <v>82</v>
      </c>
      <c r="C1133" s="10" t="s">
        <v>8207</v>
      </c>
      <c r="D1133" s="11" t="str">
        <f t="shared" si="1"/>
        <v>Abrir anúncio ↗</v>
      </c>
      <c r="E1133" s="12" t="s">
        <v>8208</v>
      </c>
      <c r="F1133" s="10" t="s">
        <v>86</v>
      </c>
      <c r="G1133" s="12" t="s">
        <v>4786</v>
      </c>
      <c r="H1133" s="12" t="s">
        <v>6595</v>
      </c>
      <c r="I1133" s="10"/>
      <c r="J1133" s="10"/>
      <c r="K1133" s="12"/>
    </row>
    <row r="1134" ht="15.75" customHeight="1">
      <c r="A1134" s="3" t="s">
        <v>12</v>
      </c>
      <c r="B1134" s="3" t="s">
        <v>82</v>
      </c>
      <c r="C1134" s="3" t="s">
        <v>8210</v>
      </c>
      <c r="D1134" s="8" t="str">
        <f t="shared" si="1"/>
        <v>Abrir anúncio ↗</v>
      </c>
      <c r="E1134" s="9" t="s">
        <v>8211</v>
      </c>
      <c r="F1134" s="3" t="s">
        <v>29</v>
      </c>
      <c r="G1134" s="9" t="s">
        <v>3709</v>
      </c>
      <c r="H1134" s="9" t="s">
        <v>4075</v>
      </c>
      <c r="I1134" s="3"/>
      <c r="J1134" s="3"/>
      <c r="K1134" s="9"/>
    </row>
    <row r="1135" ht="15.75" customHeight="1">
      <c r="A1135" s="10" t="s">
        <v>12</v>
      </c>
      <c r="B1135" s="10" t="s">
        <v>82</v>
      </c>
      <c r="C1135" s="10" t="s">
        <v>8212</v>
      </c>
      <c r="D1135" s="11" t="str">
        <f t="shared" si="1"/>
        <v>Abrir anúncio ↗</v>
      </c>
      <c r="E1135" s="12" t="s">
        <v>8213</v>
      </c>
      <c r="F1135" s="10" t="s">
        <v>29</v>
      </c>
      <c r="G1135" s="12" t="s">
        <v>3709</v>
      </c>
      <c r="H1135" s="12" t="s">
        <v>3904</v>
      </c>
      <c r="I1135" s="10"/>
      <c r="J1135" s="10"/>
      <c r="K1135" s="12"/>
    </row>
    <row r="1136" ht="15.75" customHeight="1">
      <c r="A1136" s="3" t="s">
        <v>12</v>
      </c>
      <c r="B1136" s="3" t="s">
        <v>82</v>
      </c>
      <c r="C1136" s="3" t="s">
        <v>8214</v>
      </c>
      <c r="D1136" s="8" t="str">
        <f t="shared" si="1"/>
        <v>Abrir anúncio ↗</v>
      </c>
      <c r="E1136" s="9" t="s">
        <v>8215</v>
      </c>
      <c r="F1136" s="3" t="s">
        <v>29</v>
      </c>
      <c r="G1136" s="9" t="s">
        <v>3709</v>
      </c>
      <c r="H1136" s="9" t="s">
        <v>3712</v>
      </c>
      <c r="I1136" s="3"/>
      <c r="J1136" s="3"/>
      <c r="K1136" s="9"/>
    </row>
    <row r="1137" ht="15.75" customHeight="1">
      <c r="A1137" s="10" t="s">
        <v>12</v>
      </c>
      <c r="B1137" s="10" t="s">
        <v>82</v>
      </c>
      <c r="C1137" s="10" t="s">
        <v>8216</v>
      </c>
      <c r="D1137" s="11" t="str">
        <f t="shared" si="1"/>
        <v>Abrir anúncio ↗</v>
      </c>
      <c r="E1137" s="12" t="s">
        <v>8217</v>
      </c>
      <c r="F1137" s="10" t="s">
        <v>29</v>
      </c>
      <c r="G1137" s="12" t="s">
        <v>4786</v>
      </c>
      <c r="H1137" s="12" t="s">
        <v>6116</v>
      </c>
      <c r="I1137" s="10"/>
      <c r="J1137" s="10"/>
      <c r="K1137" s="12"/>
    </row>
    <row r="1138" ht="15.75" customHeight="1">
      <c r="A1138" s="3" t="s">
        <v>12</v>
      </c>
      <c r="B1138" s="3" t="s">
        <v>82</v>
      </c>
      <c r="C1138" s="3" t="s">
        <v>8218</v>
      </c>
      <c r="D1138" s="8" t="str">
        <f t="shared" si="1"/>
        <v>Abrir anúncio ↗</v>
      </c>
      <c r="E1138" s="9" t="s">
        <v>8219</v>
      </c>
      <c r="F1138" s="3" t="s">
        <v>29</v>
      </c>
      <c r="G1138" s="9" t="s">
        <v>3709</v>
      </c>
      <c r="H1138" s="9" t="s">
        <v>5956</v>
      </c>
      <c r="I1138" s="3"/>
      <c r="J1138" s="3"/>
      <c r="K1138" s="9"/>
    </row>
    <row r="1139" ht="15.75" customHeight="1">
      <c r="A1139" s="10" t="s">
        <v>12</v>
      </c>
      <c r="B1139" s="10" t="s">
        <v>82</v>
      </c>
      <c r="C1139" s="10" t="s">
        <v>7919</v>
      </c>
      <c r="D1139" s="11" t="str">
        <f t="shared" si="1"/>
        <v>Abrir anúncio ↗</v>
      </c>
      <c r="E1139" s="12" t="s">
        <v>7916</v>
      </c>
      <c r="F1139" s="10" t="s">
        <v>29</v>
      </c>
      <c r="G1139" s="12" t="s">
        <v>2390</v>
      </c>
      <c r="H1139" s="12" t="s">
        <v>2392</v>
      </c>
      <c r="I1139" s="10"/>
      <c r="J1139" s="10"/>
      <c r="K1139" s="12"/>
    </row>
    <row r="1140" ht="15.75" customHeight="1">
      <c r="A1140" s="3" t="s">
        <v>12</v>
      </c>
      <c r="B1140" s="3" t="s">
        <v>82</v>
      </c>
      <c r="C1140" s="3" t="s">
        <v>8220</v>
      </c>
      <c r="D1140" s="8" t="str">
        <f t="shared" si="1"/>
        <v>Abrir anúncio ↗</v>
      </c>
      <c r="E1140" s="9" t="s">
        <v>8221</v>
      </c>
      <c r="F1140" s="3" t="s">
        <v>29</v>
      </c>
      <c r="G1140" s="9" t="s">
        <v>3709</v>
      </c>
      <c r="H1140" s="9" t="s">
        <v>4245</v>
      </c>
      <c r="I1140" s="3"/>
      <c r="J1140" s="3"/>
      <c r="K1140" s="9"/>
    </row>
    <row r="1141" ht="15.75" customHeight="1">
      <c r="A1141" s="10" t="s">
        <v>12</v>
      </c>
      <c r="B1141" s="10" t="s">
        <v>82</v>
      </c>
      <c r="C1141" s="10" t="s">
        <v>8224</v>
      </c>
      <c r="D1141" s="11" t="str">
        <f t="shared" si="1"/>
        <v>Abrir anúncio ↗</v>
      </c>
      <c r="E1141" s="12" t="s">
        <v>8225</v>
      </c>
      <c r="F1141" s="10" t="s">
        <v>29</v>
      </c>
      <c r="G1141" s="12" t="s">
        <v>3709</v>
      </c>
      <c r="H1141" s="12" t="s">
        <v>5973</v>
      </c>
      <c r="I1141" s="10"/>
      <c r="J1141" s="10"/>
      <c r="K1141" s="12"/>
    </row>
    <row r="1142" ht="15.75" customHeight="1">
      <c r="A1142" s="3" t="s">
        <v>12</v>
      </c>
      <c r="B1142" s="3" t="s">
        <v>82</v>
      </c>
      <c r="C1142" s="3" t="s">
        <v>8228</v>
      </c>
      <c r="D1142" s="8" t="str">
        <f t="shared" si="1"/>
        <v>Abrir anúncio ↗</v>
      </c>
      <c r="E1142" s="9" t="s">
        <v>8230</v>
      </c>
      <c r="F1142" s="3" t="s">
        <v>86</v>
      </c>
      <c r="G1142" s="9" t="s">
        <v>4786</v>
      </c>
      <c r="H1142" s="9" t="s">
        <v>6595</v>
      </c>
      <c r="I1142" s="3"/>
      <c r="J1142" s="3"/>
      <c r="K1142" s="9"/>
    </row>
    <row r="1143" ht="15.75" customHeight="1">
      <c r="A1143" s="10" t="s">
        <v>12</v>
      </c>
      <c r="B1143" s="10" t="s">
        <v>82</v>
      </c>
      <c r="C1143" s="10" t="s">
        <v>8232</v>
      </c>
      <c r="D1143" s="11" t="str">
        <f t="shared" si="1"/>
        <v>Abrir anúncio ↗</v>
      </c>
      <c r="E1143" s="12" t="s">
        <v>8233</v>
      </c>
      <c r="F1143" s="10" t="s">
        <v>86</v>
      </c>
      <c r="G1143" s="12" t="s">
        <v>4786</v>
      </c>
      <c r="H1143" s="12" t="s">
        <v>6099</v>
      </c>
      <c r="I1143" s="10"/>
      <c r="J1143" s="10"/>
      <c r="K1143" s="12"/>
    </row>
    <row r="1144" ht="15.75" customHeight="1">
      <c r="A1144" s="3" t="s">
        <v>12</v>
      </c>
      <c r="B1144" s="3" t="s">
        <v>82</v>
      </c>
      <c r="C1144" s="3" t="s">
        <v>8234</v>
      </c>
      <c r="D1144" s="8" t="str">
        <f t="shared" si="1"/>
        <v>Abrir anúncio ↗</v>
      </c>
      <c r="E1144" s="9" t="s">
        <v>8235</v>
      </c>
      <c r="F1144" s="3" t="s">
        <v>29</v>
      </c>
      <c r="G1144" s="9" t="s">
        <v>3709</v>
      </c>
      <c r="H1144" s="9" t="s">
        <v>3712</v>
      </c>
      <c r="I1144" s="3"/>
      <c r="J1144" s="3"/>
      <c r="K1144" s="9"/>
    </row>
    <row r="1145" ht="15.75" customHeight="1">
      <c r="A1145" s="10" t="s">
        <v>12</v>
      </c>
      <c r="B1145" s="10" t="s">
        <v>82</v>
      </c>
      <c r="C1145" s="10" t="s">
        <v>8236</v>
      </c>
      <c r="D1145" s="11" t="str">
        <f t="shared" si="1"/>
        <v>Abrir anúncio ↗</v>
      </c>
      <c r="E1145" s="12" t="s">
        <v>8237</v>
      </c>
      <c r="F1145" s="10" t="s">
        <v>29</v>
      </c>
      <c r="G1145" s="12" t="s">
        <v>4538</v>
      </c>
      <c r="H1145" s="12" t="s">
        <v>8238</v>
      </c>
      <c r="I1145" s="10"/>
      <c r="J1145" s="10"/>
      <c r="K1145" s="12"/>
    </row>
    <row r="1146" ht="15.75" customHeight="1">
      <c r="A1146" s="3" t="s">
        <v>12</v>
      </c>
      <c r="B1146" s="3" t="s">
        <v>82</v>
      </c>
      <c r="C1146" s="3" t="s">
        <v>8239</v>
      </c>
      <c r="D1146" s="8" t="str">
        <f t="shared" si="1"/>
        <v>Abrir anúncio ↗</v>
      </c>
      <c r="E1146" s="9" t="s">
        <v>8240</v>
      </c>
      <c r="F1146" s="3" t="s">
        <v>29</v>
      </c>
      <c r="G1146" s="9" t="s">
        <v>6220</v>
      </c>
      <c r="H1146" s="9" t="s">
        <v>8241</v>
      </c>
      <c r="I1146" s="3"/>
      <c r="J1146" s="3"/>
      <c r="K1146" s="9"/>
    </row>
    <row r="1147" ht="15.75" customHeight="1">
      <c r="A1147" s="10" t="s">
        <v>12</v>
      </c>
      <c r="B1147" s="10" t="s">
        <v>82</v>
      </c>
      <c r="C1147" s="10" t="s">
        <v>8243</v>
      </c>
      <c r="D1147" s="11" t="str">
        <f t="shared" si="1"/>
        <v>Abrir anúncio ↗</v>
      </c>
      <c r="E1147" s="12" t="s">
        <v>8244</v>
      </c>
      <c r="F1147" s="10" t="s">
        <v>29</v>
      </c>
      <c r="G1147" s="12" t="s">
        <v>4786</v>
      </c>
      <c r="H1147" s="12" t="s">
        <v>6116</v>
      </c>
      <c r="I1147" s="10"/>
      <c r="J1147" s="10"/>
      <c r="K1147" s="12"/>
    </row>
    <row r="1148" ht="15.75" customHeight="1">
      <c r="A1148" s="3" t="s">
        <v>12</v>
      </c>
      <c r="B1148" s="3" t="s">
        <v>82</v>
      </c>
      <c r="C1148" s="3" t="s">
        <v>8246</v>
      </c>
      <c r="D1148" s="8" t="str">
        <f t="shared" si="1"/>
        <v>Abrir anúncio ↗</v>
      </c>
      <c r="E1148" s="9" t="s">
        <v>8247</v>
      </c>
      <c r="F1148" s="3" t="s">
        <v>86</v>
      </c>
      <c r="G1148" s="9" t="s">
        <v>7987</v>
      </c>
      <c r="H1148" s="9" t="s">
        <v>7988</v>
      </c>
      <c r="I1148" s="3"/>
      <c r="J1148" s="3"/>
      <c r="K1148" s="9"/>
    </row>
    <row r="1149" ht="15.75" customHeight="1">
      <c r="A1149" s="10" t="s">
        <v>12</v>
      </c>
      <c r="B1149" s="10" t="s">
        <v>82</v>
      </c>
      <c r="C1149" s="10" t="s">
        <v>8248</v>
      </c>
      <c r="D1149" s="11" t="str">
        <f t="shared" si="1"/>
        <v>Abrir anúncio ↗</v>
      </c>
      <c r="E1149" s="12" t="s">
        <v>8249</v>
      </c>
      <c r="F1149" s="10" t="s">
        <v>86</v>
      </c>
      <c r="G1149" s="12" t="s">
        <v>7987</v>
      </c>
      <c r="H1149" s="12" t="s">
        <v>8250</v>
      </c>
      <c r="I1149" s="10"/>
      <c r="J1149" s="10"/>
      <c r="K1149" s="12"/>
    </row>
    <row r="1150" ht="15.75" customHeight="1">
      <c r="A1150" s="3" t="s">
        <v>12</v>
      </c>
      <c r="B1150" s="3" t="s">
        <v>82</v>
      </c>
      <c r="C1150" s="3" t="s">
        <v>8251</v>
      </c>
      <c r="D1150" s="8" t="str">
        <f t="shared" si="1"/>
        <v>Abrir anúncio ↗</v>
      </c>
      <c r="E1150" s="9" t="s">
        <v>8254</v>
      </c>
      <c r="F1150" s="3" t="s">
        <v>29</v>
      </c>
      <c r="G1150" s="9" t="s">
        <v>99</v>
      </c>
      <c r="H1150" s="9" t="s">
        <v>143</v>
      </c>
      <c r="I1150" s="3"/>
      <c r="J1150" s="3"/>
      <c r="K1150" s="9"/>
    </row>
    <row r="1151" ht="15.75" customHeight="1">
      <c r="A1151" s="10" t="s">
        <v>12</v>
      </c>
      <c r="B1151" s="10" t="s">
        <v>82</v>
      </c>
      <c r="C1151" s="10" t="s">
        <v>8256</v>
      </c>
      <c r="D1151" s="11" t="str">
        <f t="shared" si="1"/>
        <v>Abrir anúncio ↗</v>
      </c>
      <c r="E1151" s="12" t="s">
        <v>8257</v>
      </c>
      <c r="F1151" s="10" t="s">
        <v>29</v>
      </c>
      <c r="G1151" s="12" t="s">
        <v>99</v>
      </c>
      <c r="H1151" s="12" t="s">
        <v>143</v>
      </c>
      <c r="I1151" s="10"/>
      <c r="J1151" s="10"/>
      <c r="K1151" s="12"/>
    </row>
    <row r="1152" ht="15.75" customHeight="1">
      <c r="A1152" s="3" t="s">
        <v>12</v>
      </c>
      <c r="B1152" s="3" t="s">
        <v>82</v>
      </c>
      <c r="C1152" s="3" t="s">
        <v>8258</v>
      </c>
      <c r="D1152" s="8" t="str">
        <f t="shared" si="1"/>
        <v>Abrir anúncio ↗</v>
      </c>
      <c r="E1152" s="9" t="s">
        <v>8259</v>
      </c>
      <c r="F1152" s="3" t="s">
        <v>29</v>
      </c>
      <c r="G1152" s="9" t="s">
        <v>99</v>
      </c>
      <c r="H1152" s="9" t="s">
        <v>143</v>
      </c>
      <c r="I1152" s="3"/>
      <c r="J1152" s="3"/>
      <c r="K1152" s="9"/>
    </row>
    <row r="1153" ht="15.75" customHeight="1">
      <c r="A1153" s="10" t="s">
        <v>12</v>
      </c>
      <c r="B1153" s="10" t="s">
        <v>82</v>
      </c>
      <c r="C1153" s="10" t="s">
        <v>8260</v>
      </c>
      <c r="D1153" s="11" t="str">
        <f t="shared" si="1"/>
        <v>Abrir anúncio ↗</v>
      </c>
      <c r="E1153" s="12" t="s">
        <v>8261</v>
      </c>
      <c r="F1153" s="10" t="s">
        <v>29</v>
      </c>
      <c r="G1153" s="12" t="s">
        <v>99</v>
      </c>
      <c r="H1153" s="12" t="s">
        <v>143</v>
      </c>
      <c r="I1153" s="10"/>
      <c r="J1153" s="10"/>
      <c r="K1153" s="12"/>
    </row>
    <row r="1154" ht="15.75" customHeight="1">
      <c r="A1154" s="3" t="s">
        <v>12</v>
      </c>
      <c r="B1154" s="3" t="s">
        <v>82</v>
      </c>
      <c r="C1154" s="3" t="s">
        <v>8262</v>
      </c>
      <c r="D1154" s="8" t="str">
        <f t="shared" si="1"/>
        <v>Abrir anúncio ↗</v>
      </c>
      <c r="E1154" s="9" t="s">
        <v>8263</v>
      </c>
      <c r="F1154" s="3" t="s">
        <v>29</v>
      </c>
      <c r="G1154" s="9" t="s">
        <v>4786</v>
      </c>
      <c r="H1154" s="9" t="s">
        <v>8264</v>
      </c>
      <c r="I1154" s="3"/>
      <c r="J1154" s="3"/>
      <c r="K1154" s="9"/>
    </row>
    <row r="1155" ht="15.75" customHeight="1">
      <c r="A1155" s="10" t="s">
        <v>12</v>
      </c>
      <c r="B1155" s="10" t="s">
        <v>82</v>
      </c>
      <c r="C1155" s="10" t="s">
        <v>8265</v>
      </c>
      <c r="D1155" s="11" t="str">
        <f t="shared" si="1"/>
        <v>Abrir anúncio ↗</v>
      </c>
      <c r="E1155" s="12" t="s">
        <v>8266</v>
      </c>
      <c r="F1155" s="10" t="s">
        <v>86</v>
      </c>
      <c r="G1155" s="12" t="s">
        <v>6522</v>
      </c>
      <c r="H1155" s="12" t="s">
        <v>8267</v>
      </c>
      <c r="I1155" s="10"/>
      <c r="J1155" s="10"/>
      <c r="K1155" s="12"/>
    </row>
    <row r="1156" ht="15.75" customHeight="1">
      <c r="A1156" s="3" t="s">
        <v>12</v>
      </c>
      <c r="B1156" s="3" t="s">
        <v>82</v>
      </c>
      <c r="C1156" s="3" t="s">
        <v>8268</v>
      </c>
      <c r="D1156" s="8" t="str">
        <f t="shared" si="1"/>
        <v>Abrir anúncio ↗</v>
      </c>
      <c r="E1156" s="9" t="s">
        <v>8269</v>
      </c>
      <c r="F1156" s="3" t="s">
        <v>86</v>
      </c>
      <c r="G1156" s="9" t="s">
        <v>4786</v>
      </c>
      <c r="H1156" s="9" t="s">
        <v>8270</v>
      </c>
      <c r="I1156" s="3"/>
      <c r="J1156" s="3"/>
      <c r="K1156" s="9"/>
    </row>
    <row r="1157" ht="15.75" customHeight="1">
      <c r="A1157" s="10" t="s">
        <v>12</v>
      </c>
      <c r="B1157" s="10" t="s">
        <v>82</v>
      </c>
      <c r="C1157" s="10" t="s">
        <v>8271</v>
      </c>
      <c r="D1157" s="11" t="str">
        <f t="shared" si="1"/>
        <v>Abrir anúncio ↗</v>
      </c>
      <c r="E1157" s="12" t="s">
        <v>8272</v>
      </c>
      <c r="F1157" s="10" t="s">
        <v>86</v>
      </c>
      <c r="G1157" s="12" t="s">
        <v>4786</v>
      </c>
      <c r="H1157" s="12" t="s">
        <v>8273</v>
      </c>
      <c r="I1157" s="10"/>
      <c r="J1157" s="10"/>
      <c r="K1157" s="12"/>
    </row>
    <row r="1158" ht="15.75" customHeight="1">
      <c r="A1158" s="3" t="s">
        <v>12</v>
      </c>
      <c r="B1158" s="3" t="s">
        <v>82</v>
      </c>
      <c r="C1158" s="3" t="s">
        <v>8274</v>
      </c>
      <c r="D1158" s="8" t="str">
        <f t="shared" si="1"/>
        <v>Abrir anúncio ↗</v>
      </c>
      <c r="E1158" s="9" t="s">
        <v>8277</v>
      </c>
      <c r="F1158" s="3" t="s">
        <v>86</v>
      </c>
      <c r="G1158" s="9" t="s">
        <v>4786</v>
      </c>
      <c r="H1158" s="9" t="s">
        <v>8278</v>
      </c>
      <c r="I1158" s="3"/>
      <c r="J1158" s="3"/>
      <c r="K1158" s="9"/>
    </row>
    <row r="1159" ht="15.75" customHeight="1">
      <c r="A1159" s="10" t="s">
        <v>12</v>
      </c>
      <c r="B1159" s="10" t="s">
        <v>82</v>
      </c>
      <c r="C1159" s="10" t="s">
        <v>8280</v>
      </c>
      <c r="D1159" s="11" t="str">
        <f t="shared" si="1"/>
        <v>Abrir anúncio ↗</v>
      </c>
      <c r="E1159" s="12" t="s">
        <v>8281</v>
      </c>
      <c r="F1159" s="10" t="s">
        <v>86</v>
      </c>
      <c r="G1159" s="12" t="s">
        <v>4786</v>
      </c>
      <c r="H1159" s="12" t="s">
        <v>6349</v>
      </c>
      <c r="I1159" s="10"/>
      <c r="J1159" s="10"/>
      <c r="K1159" s="12"/>
    </row>
    <row r="1160" ht="15.75" customHeight="1">
      <c r="A1160" s="3" t="s">
        <v>12</v>
      </c>
      <c r="B1160" s="3" t="s">
        <v>82</v>
      </c>
      <c r="C1160" s="3" t="s">
        <v>8282</v>
      </c>
      <c r="D1160" s="8" t="str">
        <f t="shared" si="1"/>
        <v>Abrir anúncio ↗</v>
      </c>
      <c r="E1160" s="9" t="s">
        <v>8283</v>
      </c>
      <c r="F1160" s="3" t="s">
        <v>86</v>
      </c>
      <c r="G1160" s="9" t="s">
        <v>6787</v>
      </c>
      <c r="H1160" s="9" t="s">
        <v>8284</v>
      </c>
      <c r="I1160" s="3"/>
      <c r="J1160" s="3"/>
      <c r="K1160" s="9"/>
    </row>
    <row r="1161" ht="15.75" customHeight="1">
      <c r="A1161" s="10" t="s">
        <v>12</v>
      </c>
      <c r="B1161" s="10" t="s">
        <v>82</v>
      </c>
      <c r="C1161" s="10" t="s">
        <v>8285</v>
      </c>
      <c r="D1161" s="11" t="str">
        <f t="shared" si="1"/>
        <v>Abrir anúncio ↗</v>
      </c>
      <c r="E1161" s="12" t="s">
        <v>8286</v>
      </c>
      <c r="F1161" s="10" t="s">
        <v>29</v>
      </c>
      <c r="G1161" s="12" t="s">
        <v>3892</v>
      </c>
      <c r="H1161" s="12" t="s">
        <v>8287</v>
      </c>
      <c r="I1161" s="10"/>
      <c r="J1161" s="10"/>
      <c r="K1161" s="12"/>
    </row>
    <row r="1162" ht="15.75" customHeight="1">
      <c r="A1162" s="3" t="s">
        <v>12</v>
      </c>
      <c r="B1162" s="3" t="s">
        <v>82</v>
      </c>
      <c r="C1162" s="3" t="s">
        <v>8289</v>
      </c>
      <c r="D1162" s="8" t="str">
        <f t="shared" si="1"/>
        <v>Abrir anúncio ↗</v>
      </c>
      <c r="E1162" s="9" t="s">
        <v>8291</v>
      </c>
      <c r="F1162" s="3" t="s">
        <v>29</v>
      </c>
      <c r="G1162" s="9" t="s">
        <v>3709</v>
      </c>
      <c r="H1162" s="9" t="s">
        <v>3904</v>
      </c>
      <c r="I1162" s="3"/>
      <c r="J1162" s="3"/>
      <c r="K1162" s="9"/>
    </row>
    <row r="1163" ht="15.75" customHeight="1">
      <c r="A1163" s="10" t="s">
        <v>12</v>
      </c>
      <c r="B1163" s="10" t="s">
        <v>82</v>
      </c>
      <c r="C1163" s="10" t="s">
        <v>8293</v>
      </c>
      <c r="D1163" s="11" t="str">
        <f t="shared" si="1"/>
        <v>Abrir anúncio ↗</v>
      </c>
      <c r="E1163" s="12" t="s">
        <v>8294</v>
      </c>
      <c r="F1163" s="10" t="s">
        <v>29</v>
      </c>
      <c r="G1163" s="12" t="s">
        <v>3709</v>
      </c>
      <c r="H1163" s="12" t="s">
        <v>4092</v>
      </c>
      <c r="I1163" s="10"/>
      <c r="J1163" s="10"/>
      <c r="K1163" s="12"/>
    </row>
    <row r="1164" ht="15.75" customHeight="1">
      <c r="A1164" s="3" t="s">
        <v>12</v>
      </c>
      <c r="B1164" s="3" t="s">
        <v>82</v>
      </c>
      <c r="C1164" s="3" t="s">
        <v>8297</v>
      </c>
      <c r="D1164" s="8" t="str">
        <f t="shared" si="1"/>
        <v>Abrir anúncio ↗</v>
      </c>
      <c r="E1164" s="9" t="s">
        <v>8299</v>
      </c>
      <c r="F1164" s="3" t="s">
        <v>29</v>
      </c>
      <c r="G1164" s="9" t="s">
        <v>3709</v>
      </c>
      <c r="H1164" s="9" t="s">
        <v>8141</v>
      </c>
      <c r="I1164" s="3"/>
      <c r="J1164" s="3"/>
      <c r="K1164" s="9"/>
    </row>
    <row r="1165" ht="15.75" customHeight="1">
      <c r="A1165" s="10" t="s">
        <v>12</v>
      </c>
      <c r="B1165" s="10" t="s">
        <v>82</v>
      </c>
      <c r="C1165" s="10" t="s">
        <v>8300</v>
      </c>
      <c r="D1165" s="11" t="str">
        <f t="shared" si="1"/>
        <v>Abrir anúncio ↗</v>
      </c>
      <c r="E1165" s="12" t="s">
        <v>8301</v>
      </c>
      <c r="F1165" s="10" t="s">
        <v>29</v>
      </c>
      <c r="G1165" s="12" t="s">
        <v>3709</v>
      </c>
      <c r="H1165" s="12" t="s">
        <v>8141</v>
      </c>
      <c r="I1165" s="10"/>
      <c r="J1165" s="10"/>
      <c r="K1165" s="12"/>
    </row>
    <row r="1166" ht="15.75" customHeight="1">
      <c r="A1166" s="3" t="s">
        <v>12</v>
      </c>
      <c r="B1166" s="3" t="s">
        <v>82</v>
      </c>
      <c r="C1166" s="3" t="s">
        <v>8302</v>
      </c>
      <c r="D1166" s="8" t="str">
        <f t="shared" si="1"/>
        <v>Abrir anúncio ↗</v>
      </c>
      <c r="E1166" s="9" t="s">
        <v>8303</v>
      </c>
      <c r="F1166" s="3" t="s">
        <v>29</v>
      </c>
      <c r="G1166" s="9" t="s">
        <v>3709</v>
      </c>
      <c r="H1166" s="9" t="s">
        <v>5956</v>
      </c>
      <c r="I1166" s="3"/>
      <c r="J1166" s="3"/>
      <c r="K1166" s="9"/>
    </row>
    <row r="1167" ht="15.75" customHeight="1">
      <c r="A1167" s="10" t="s">
        <v>12</v>
      </c>
      <c r="B1167" s="10" t="s">
        <v>82</v>
      </c>
      <c r="C1167" s="10" t="s">
        <v>8307</v>
      </c>
      <c r="D1167" s="11" t="str">
        <f t="shared" si="1"/>
        <v>Abrir anúncio ↗</v>
      </c>
      <c r="E1167" s="12" t="s">
        <v>8308</v>
      </c>
      <c r="F1167" s="10" t="s">
        <v>29</v>
      </c>
      <c r="G1167" s="12" t="s">
        <v>3709</v>
      </c>
      <c r="H1167" s="12" t="s">
        <v>6746</v>
      </c>
      <c r="I1167" s="10"/>
      <c r="J1167" s="10"/>
      <c r="K1167" s="12"/>
    </row>
    <row r="1168" ht="15.75" customHeight="1">
      <c r="A1168" s="3" t="s">
        <v>12</v>
      </c>
      <c r="B1168" s="3" t="s">
        <v>82</v>
      </c>
      <c r="C1168" s="3" t="s">
        <v>8311</v>
      </c>
      <c r="D1168" s="8" t="str">
        <f t="shared" si="1"/>
        <v>Abrir anúncio ↗</v>
      </c>
      <c r="E1168" s="9" t="s">
        <v>8313</v>
      </c>
      <c r="F1168" s="3" t="s">
        <v>29</v>
      </c>
      <c r="G1168" s="9" t="s">
        <v>3709</v>
      </c>
      <c r="H1168" s="9" t="s">
        <v>4092</v>
      </c>
      <c r="I1168" s="3"/>
      <c r="J1168" s="3"/>
      <c r="K1168" s="9"/>
    </row>
    <row r="1169" ht="15.75" customHeight="1">
      <c r="A1169" s="10" t="s">
        <v>12</v>
      </c>
      <c r="B1169" s="10" t="s">
        <v>82</v>
      </c>
      <c r="C1169" s="10" t="s">
        <v>8316</v>
      </c>
      <c r="D1169" s="11" t="str">
        <f t="shared" si="1"/>
        <v>Abrir anúncio ↗</v>
      </c>
      <c r="E1169" s="12" t="s">
        <v>8317</v>
      </c>
      <c r="F1169" s="10" t="s">
        <v>29</v>
      </c>
      <c r="G1169" s="12" t="s">
        <v>3709</v>
      </c>
      <c r="H1169" s="12" t="s">
        <v>6233</v>
      </c>
      <c r="I1169" s="10"/>
      <c r="J1169" s="10"/>
      <c r="K1169" s="12"/>
    </row>
    <row r="1170" ht="15.75" customHeight="1">
      <c r="A1170" s="3" t="s">
        <v>12</v>
      </c>
      <c r="B1170" s="3" t="s">
        <v>82</v>
      </c>
      <c r="C1170" s="3" t="s">
        <v>8319</v>
      </c>
      <c r="D1170" s="8" t="str">
        <f t="shared" si="1"/>
        <v>Abrir anúncio ↗</v>
      </c>
      <c r="E1170" s="9" t="s">
        <v>8320</v>
      </c>
      <c r="F1170" s="3" t="s">
        <v>29</v>
      </c>
      <c r="G1170" s="9" t="s">
        <v>3709</v>
      </c>
      <c r="H1170" s="9" t="s">
        <v>4141</v>
      </c>
      <c r="I1170" s="3"/>
      <c r="J1170" s="3"/>
      <c r="K1170" s="9"/>
    </row>
    <row r="1171" ht="15.75" customHeight="1">
      <c r="A1171" s="10" t="s">
        <v>12</v>
      </c>
      <c r="B1171" s="10" t="s">
        <v>82</v>
      </c>
      <c r="C1171" s="10" t="s">
        <v>8321</v>
      </c>
      <c r="D1171" s="11" t="str">
        <f t="shared" si="1"/>
        <v>Abrir anúncio ↗</v>
      </c>
      <c r="E1171" s="12" t="s">
        <v>8322</v>
      </c>
      <c r="F1171" s="10" t="s">
        <v>29</v>
      </c>
      <c r="G1171" s="12" t="s">
        <v>3709</v>
      </c>
      <c r="H1171" s="12" t="s">
        <v>4004</v>
      </c>
      <c r="I1171" s="10"/>
      <c r="J1171" s="10"/>
      <c r="K1171" s="12"/>
    </row>
    <row r="1172" ht="15.75" customHeight="1">
      <c r="A1172" s="3" t="s">
        <v>12</v>
      </c>
      <c r="B1172" s="3" t="s">
        <v>82</v>
      </c>
      <c r="C1172" s="3" t="s">
        <v>8323</v>
      </c>
      <c r="D1172" s="8" t="str">
        <f t="shared" si="1"/>
        <v>Abrir anúncio ↗</v>
      </c>
      <c r="E1172" s="9" t="s">
        <v>8324</v>
      </c>
      <c r="F1172" s="3" t="s">
        <v>29</v>
      </c>
      <c r="G1172" s="9" t="s">
        <v>3709</v>
      </c>
      <c r="H1172" s="9" t="s">
        <v>4058</v>
      </c>
      <c r="I1172" s="3"/>
      <c r="J1172" s="3"/>
      <c r="K1172" s="9"/>
    </row>
    <row r="1173" ht="15.75" customHeight="1">
      <c r="A1173" s="10" t="s">
        <v>12</v>
      </c>
      <c r="B1173" s="10" t="s">
        <v>82</v>
      </c>
      <c r="C1173" s="10" t="s">
        <v>8327</v>
      </c>
      <c r="D1173" s="11" t="str">
        <f t="shared" si="1"/>
        <v>Abrir anúncio ↗</v>
      </c>
      <c r="E1173" s="12" t="s">
        <v>8328</v>
      </c>
      <c r="F1173" s="10" t="s">
        <v>29</v>
      </c>
      <c r="G1173" s="12" t="s">
        <v>3709</v>
      </c>
      <c r="H1173" s="12" t="s">
        <v>4284</v>
      </c>
      <c r="I1173" s="10"/>
      <c r="J1173" s="10"/>
      <c r="K1173" s="12"/>
    </row>
    <row r="1174" ht="15.75" customHeight="1">
      <c r="A1174" s="3" t="s">
        <v>12</v>
      </c>
      <c r="B1174" s="3" t="s">
        <v>82</v>
      </c>
      <c r="C1174" s="3" t="s">
        <v>8330</v>
      </c>
      <c r="D1174" s="8" t="str">
        <f t="shared" si="1"/>
        <v>Abrir anúncio ↗</v>
      </c>
      <c r="E1174" s="9" t="s">
        <v>8333</v>
      </c>
      <c r="F1174" s="3" t="s">
        <v>29</v>
      </c>
      <c r="G1174" s="9" t="s">
        <v>3709</v>
      </c>
      <c r="H1174" s="9" t="s">
        <v>4584</v>
      </c>
      <c r="I1174" s="3"/>
      <c r="J1174" s="3"/>
      <c r="K1174" s="9"/>
    </row>
    <row r="1175" ht="15.75" customHeight="1">
      <c r="A1175" s="10" t="s">
        <v>12</v>
      </c>
      <c r="B1175" s="10" t="s">
        <v>82</v>
      </c>
      <c r="C1175" s="10" t="s">
        <v>8335</v>
      </c>
      <c r="D1175" s="11" t="str">
        <f t="shared" si="1"/>
        <v>Abrir anúncio ↗</v>
      </c>
      <c r="E1175" s="12" t="s">
        <v>8336</v>
      </c>
      <c r="F1175" s="10" t="s">
        <v>29</v>
      </c>
      <c r="G1175" s="12" t="s">
        <v>3709</v>
      </c>
      <c r="H1175" s="12" t="s">
        <v>4129</v>
      </c>
      <c r="I1175" s="10"/>
      <c r="J1175" s="10"/>
      <c r="K1175" s="12"/>
    </row>
    <row r="1176" ht="15.75" customHeight="1">
      <c r="A1176" s="3" t="s">
        <v>12</v>
      </c>
      <c r="B1176" s="3" t="s">
        <v>82</v>
      </c>
      <c r="C1176" s="3" t="s">
        <v>8337</v>
      </c>
      <c r="D1176" s="8" t="str">
        <f t="shared" si="1"/>
        <v>Abrir anúncio ↗</v>
      </c>
      <c r="E1176" s="9" t="s">
        <v>8338</v>
      </c>
      <c r="F1176" s="3" t="s">
        <v>29</v>
      </c>
      <c r="G1176" s="9" t="s">
        <v>3709</v>
      </c>
      <c r="H1176" s="9" t="s">
        <v>4284</v>
      </c>
      <c r="I1176" s="3"/>
      <c r="J1176" s="3"/>
      <c r="K1176" s="9"/>
    </row>
    <row r="1177" ht="15.75" customHeight="1">
      <c r="A1177" s="10" t="s">
        <v>12</v>
      </c>
      <c r="B1177" s="10" t="s">
        <v>82</v>
      </c>
      <c r="C1177" s="10" t="s">
        <v>8339</v>
      </c>
      <c r="D1177" s="11" t="str">
        <f t="shared" si="1"/>
        <v>Abrir anúncio ↗</v>
      </c>
      <c r="E1177" s="12" t="s">
        <v>8341</v>
      </c>
      <c r="F1177" s="10" t="s">
        <v>29</v>
      </c>
      <c r="G1177" s="12" t="s">
        <v>3709</v>
      </c>
      <c r="H1177" s="12" t="s">
        <v>4443</v>
      </c>
      <c r="I1177" s="10"/>
      <c r="J1177" s="10"/>
      <c r="K1177" s="12"/>
    </row>
    <row r="1178" ht="15.75" customHeight="1">
      <c r="A1178" s="3" t="s">
        <v>12</v>
      </c>
      <c r="B1178" s="3" t="s">
        <v>82</v>
      </c>
      <c r="C1178" s="3" t="s">
        <v>8342</v>
      </c>
      <c r="D1178" s="8" t="str">
        <f t="shared" si="1"/>
        <v>Abrir anúncio ↗</v>
      </c>
      <c r="E1178" s="9" t="s">
        <v>8343</v>
      </c>
      <c r="F1178" s="3" t="s">
        <v>29</v>
      </c>
      <c r="G1178" s="9" t="s">
        <v>3709</v>
      </c>
      <c r="H1178" s="9" t="s">
        <v>4284</v>
      </c>
      <c r="I1178" s="3"/>
      <c r="J1178" s="3"/>
      <c r="K1178" s="9"/>
    </row>
    <row r="1179" ht="15.75" customHeight="1">
      <c r="A1179" s="10" t="s">
        <v>12</v>
      </c>
      <c r="B1179" s="10" t="s">
        <v>82</v>
      </c>
      <c r="C1179" s="10" t="s">
        <v>8344</v>
      </c>
      <c r="D1179" s="11" t="str">
        <f t="shared" si="1"/>
        <v>Abrir anúncio ↗</v>
      </c>
      <c r="E1179" s="12" t="s">
        <v>8345</v>
      </c>
      <c r="F1179" s="10" t="s">
        <v>29</v>
      </c>
      <c r="G1179" s="12" t="s">
        <v>3709</v>
      </c>
      <c r="H1179" s="12" t="s">
        <v>4245</v>
      </c>
      <c r="I1179" s="10"/>
      <c r="J1179" s="10"/>
      <c r="K1179" s="12"/>
    </row>
    <row r="1180" ht="15.75" customHeight="1">
      <c r="A1180" s="3" t="s">
        <v>12</v>
      </c>
      <c r="B1180" s="3" t="s">
        <v>82</v>
      </c>
      <c r="C1180" s="3" t="s">
        <v>8347</v>
      </c>
      <c r="D1180" s="8" t="str">
        <f t="shared" si="1"/>
        <v>Abrir anúncio ↗</v>
      </c>
      <c r="E1180" s="9" t="s">
        <v>8348</v>
      </c>
      <c r="F1180" s="3" t="s">
        <v>29</v>
      </c>
      <c r="G1180" s="9" t="s">
        <v>3709</v>
      </c>
      <c r="H1180" s="9" t="s">
        <v>3712</v>
      </c>
      <c r="I1180" s="3"/>
      <c r="J1180" s="3"/>
      <c r="K1180" s="9"/>
    </row>
    <row r="1181" ht="15.75" customHeight="1">
      <c r="A1181" s="10" t="s">
        <v>12</v>
      </c>
      <c r="B1181" s="10" t="s">
        <v>82</v>
      </c>
      <c r="C1181" s="10" t="s">
        <v>8349</v>
      </c>
      <c r="D1181" s="11" t="str">
        <f t="shared" si="1"/>
        <v>Abrir anúncio ↗</v>
      </c>
      <c r="E1181" s="12" t="s">
        <v>8350</v>
      </c>
      <c r="F1181" s="10" t="s">
        <v>29</v>
      </c>
      <c r="G1181" s="12" t="s">
        <v>3709</v>
      </c>
      <c r="H1181" s="12" t="s">
        <v>3712</v>
      </c>
      <c r="I1181" s="10"/>
      <c r="J1181" s="10"/>
      <c r="K1181" s="12"/>
    </row>
    <row r="1182" ht="15.75" customHeight="1">
      <c r="A1182" s="3" t="s">
        <v>12</v>
      </c>
      <c r="B1182" s="3" t="s">
        <v>82</v>
      </c>
      <c r="C1182" s="3" t="s">
        <v>8351</v>
      </c>
      <c r="D1182" s="8" t="str">
        <f t="shared" si="1"/>
        <v>Abrir anúncio ↗</v>
      </c>
      <c r="E1182" s="9" t="s">
        <v>8352</v>
      </c>
      <c r="F1182" s="3" t="s">
        <v>29</v>
      </c>
      <c r="G1182" s="9" t="s">
        <v>3709</v>
      </c>
      <c r="H1182" s="9" t="s">
        <v>5737</v>
      </c>
      <c r="I1182" s="3"/>
      <c r="J1182" s="3"/>
      <c r="K1182" s="9"/>
    </row>
    <row r="1183" ht="15.75" customHeight="1">
      <c r="A1183" s="10" t="s">
        <v>12</v>
      </c>
      <c r="B1183" s="10" t="s">
        <v>82</v>
      </c>
      <c r="C1183" s="10" t="s">
        <v>8354</v>
      </c>
      <c r="D1183" s="11" t="str">
        <f t="shared" si="1"/>
        <v>Abrir anúncio ↗</v>
      </c>
      <c r="E1183" s="12" t="s">
        <v>8355</v>
      </c>
      <c r="F1183" s="10" t="s">
        <v>29</v>
      </c>
      <c r="G1183" s="12" t="s">
        <v>3709</v>
      </c>
      <c r="H1183" s="12" t="s">
        <v>4245</v>
      </c>
      <c r="I1183" s="10"/>
      <c r="J1183" s="10"/>
      <c r="K1183" s="12"/>
    </row>
    <row r="1184" ht="15.75" customHeight="1">
      <c r="A1184" s="3" t="s">
        <v>12</v>
      </c>
      <c r="B1184" s="3" t="s">
        <v>82</v>
      </c>
      <c r="C1184" s="3" t="s">
        <v>8356</v>
      </c>
      <c r="D1184" s="8" t="str">
        <f t="shared" si="1"/>
        <v>Abrir anúncio ↗</v>
      </c>
      <c r="E1184" s="9" t="s">
        <v>8357</v>
      </c>
      <c r="F1184" s="3" t="s">
        <v>29</v>
      </c>
      <c r="G1184" s="9" t="s">
        <v>3709</v>
      </c>
      <c r="H1184" s="9" t="s">
        <v>3904</v>
      </c>
      <c r="I1184" s="3"/>
      <c r="J1184" s="3"/>
      <c r="K1184" s="9"/>
    </row>
    <row r="1185" ht="15.75" customHeight="1">
      <c r="A1185" s="10" t="s">
        <v>12</v>
      </c>
      <c r="B1185" s="10" t="s">
        <v>82</v>
      </c>
      <c r="C1185" s="10" t="s">
        <v>8358</v>
      </c>
      <c r="D1185" s="11" t="str">
        <f t="shared" si="1"/>
        <v>Abrir anúncio ↗</v>
      </c>
      <c r="E1185" s="12" t="s">
        <v>8359</v>
      </c>
      <c r="F1185" s="10" t="s">
        <v>29</v>
      </c>
      <c r="G1185" s="12" t="s">
        <v>2390</v>
      </c>
      <c r="H1185" s="12" t="s">
        <v>2392</v>
      </c>
      <c r="I1185" s="10"/>
      <c r="J1185" s="10"/>
      <c r="K1185" s="12"/>
    </row>
    <row r="1186" ht="15.75" customHeight="1">
      <c r="A1186" s="3" t="s">
        <v>12</v>
      </c>
      <c r="B1186" s="3" t="s">
        <v>82</v>
      </c>
      <c r="C1186" s="3" t="s">
        <v>8360</v>
      </c>
      <c r="D1186" s="8" t="str">
        <f t="shared" si="1"/>
        <v>Abrir anúncio ↗</v>
      </c>
      <c r="E1186" s="9" t="s">
        <v>8361</v>
      </c>
      <c r="F1186" s="3" t="s">
        <v>29</v>
      </c>
      <c r="G1186" s="9" t="s">
        <v>3709</v>
      </c>
      <c r="H1186" s="9" t="s">
        <v>3725</v>
      </c>
      <c r="I1186" s="3"/>
      <c r="J1186" s="3"/>
      <c r="K1186" s="9"/>
    </row>
    <row r="1187" ht="15.75" customHeight="1">
      <c r="A1187" s="10" t="s">
        <v>12</v>
      </c>
      <c r="B1187" s="10" t="s">
        <v>82</v>
      </c>
      <c r="C1187" s="10" t="s">
        <v>8362</v>
      </c>
      <c r="D1187" s="11" t="str">
        <f t="shared" si="1"/>
        <v>Abrir anúncio ↗</v>
      </c>
      <c r="E1187" s="12" t="s">
        <v>8363</v>
      </c>
      <c r="F1187" s="10" t="s">
        <v>29</v>
      </c>
      <c r="G1187" s="12" t="s">
        <v>3709</v>
      </c>
      <c r="H1187" s="12" t="s">
        <v>3725</v>
      </c>
      <c r="I1187" s="10"/>
      <c r="J1187" s="10"/>
      <c r="K1187" s="12"/>
    </row>
    <row r="1188" ht="15.75" customHeight="1">
      <c r="A1188" s="3" t="s">
        <v>12</v>
      </c>
      <c r="B1188" s="3" t="s">
        <v>82</v>
      </c>
      <c r="C1188" s="3" t="s">
        <v>8364</v>
      </c>
      <c r="D1188" s="8" t="str">
        <f t="shared" si="1"/>
        <v>Abrir anúncio ↗</v>
      </c>
      <c r="E1188" s="9" t="s">
        <v>8365</v>
      </c>
      <c r="F1188" s="3" t="s">
        <v>29</v>
      </c>
      <c r="G1188" s="9" t="s">
        <v>3709</v>
      </c>
      <c r="H1188" s="9" t="s">
        <v>4141</v>
      </c>
      <c r="I1188" s="3"/>
      <c r="J1188" s="3"/>
      <c r="K1188" s="9"/>
    </row>
    <row r="1189" ht="15.75" customHeight="1">
      <c r="A1189" s="10" t="s">
        <v>12</v>
      </c>
      <c r="B1189" s="10" t="s">
        <v>82</v>
      </c>
      <c r="C1189" s="10" t="s">
        <v>8366</v>
      </c>
      <c r="D1189" s="11" t="str">
        <f t="shared" si="1"/>
        <v>Abrir anúncio ↗</v>
      </c>
      <c r="E1189" s="12" t="s">
        <v>8367</v>
      </c>
      <c r="F1189" s="10" t="s">
        <v>29</v>
      </c>
      <c r="G1189" s="12" t="s">
        <v>3709</v>
      </c>
      <c r="H1189" s="12" t="s">
        <v>5737</v>
      </c>
      <c r="I1189" s="10"/>
      <c r="J1189" s="10"/>
      <c r="K1189" s="12"/>
    </row>
    <row r="1190" ht="15.75" customHeight="1">
      <c r="A1190" s="3" t="s">
        <v>12</v>
      </c>
      <c r="B1190" s="3" t="s">
        <v>82</v>
      </c>
      <c r="C1190" s="3" t="s">
        <v>8371</v>
      </c>
      <c r="D1190" s="8" t="str">
        <f t="shared" si="1"/>
        <v>Abrir anúncio ↗</v>
      </c>
      <c r="E1190" s="9" t="s">
        <v>8372</v>
      </c>
      <c r="F1190" s="3" t="s">
        <v>29</v>
      </c>
      <c r="G1190" s="9" t="s">
        <v>3709</v>
      </c>
      <c r="H1190" s="9" t="s">
        <v>3725</v>
      </c>
      <c r="I1190" s="3"/>
      <c r="J1190" s="3"/>
      <c r="K1190" s="9"/>
    </row>
    <row r="1191" ht="15.75" customHeight="1">
      <c r="A1191" s="10" t="s">
        <v>12</v>
      </c>
      <c r="B1191" s="10" t="s">
        <v>82</v>
      </c>
      <c r="C1191" s="10" t="s">
        <v>8373</v>
      </c>
      <c r="D1191" s="11" t="str">
        <f t="shared" si="1"/>
        <v>Abrir anúncio ↗</v>
      </c>
      <c r="E1191" s="12" t="s">
        <v>8374</v>
      </c>
      <c r="F1191" s="10" t="s">
        <v>29</v>
      </c>
      <c r="G1191" s="12" t="s">
        <v>3709</v>
      </c>
      <c r="H1191" s="12" t="s">
        <v>4590</v>
      </c>
      <c r="I1191" s="10"/>
      <c r="J1191" s="10"/>
      <c r="K1191" s="12"/>
    </row>
    <row r="1192" ht="15.75" customHeight="1">
      <c r="A1192" s="3" t="s">
        <v>12</v>
      </c>
      <c r="B1192" s="3" t="s">
        <v>82</v>
      </c>
      <c r="C1192" s="3" t="s">
        <v>8377</v>
      </c>
      <c r="D1192" s="8" t="str">
        <f t="shared" si="1"/>
        <v>Abrir anúncio ↗</v>
      </c>
      <c r="E1192" s="9" t="s">
        <v>8378</v>
      </c>
      <c r="F1192" s="3" t="s">
        <v>29</v>
      </c>
      <c r="G1192" s="9" t="s">
        <v>3709</v>
      </c>
      <c r="H1192" s="9" t="s">
        <v>3904</v>
      </c>
      <c r="I1192" s="3"/>
      <c r="J1192" s="3"/>
      <c r="K1192" s="9"/>
    </row>
    <row r="1193" ht="15.75" customHeight="1">
      <c r="A1193" s="10" t="s">
        <v>12</v>
      </c>
      <c r="B1193" s="10" t="s">
        <v>82</v>
      </c>
      <c r="C1193" s="10" t="s">
        <v>8380</v>
      </c>
      <c r="D1193" s="11" t="str">
        <f t="shared" si="1"/>
        <v>Abrir anúncio ↗</v>
      </c>
      <c r="E1193" s="12" t="s">
        <v>8381</v>
      </c>
      <c r="F1193" s="10" t="s">
        <v>29</v>
      </c>
      <c r="G1193" s="12" t="s">
        <v>3709</v>
      </c>
      <c r="H1193" s="12" t="s">
        <v>4245</v>
      </c>
      <c r="I1193" s="10"/>
      <c r="J1193" s="10"/>
      <c r="K1193" s="12"/>
    </row>
    <row r="1194" ht="15.75" customHeight="1">
      <c r="A1194" s="3" t="s">
        <v>12</v>
      </c>
      <c r="B1194" s="3" t="s">
        <v>82</v>
      </c>
      <c r="C1194" s="3" t="s">
        <v>8382</v>
      </c>
      <c r="D1194" s="8" t="str">
        <f t="shared" si="1"/>
        <v>Abrir anúncio ↗</v>
      </c>
      <c r="E1194" s="9" t="s">
        <v>8383</v>
      </c>
      <c r="F1194" s="3" t="s">
        <v>29</v>
      </c>
      <c r="G1194" s="9" t="s">
        <v>3709</v>
      </c>
      <c r="H1194" s="9" t="s">
        <v>4245</v>
      </c>
      <c r="I1194" s="3"/>
      <c r="J1194" s="3"/>
      <c r="K1194" s="9"/>
    </row>
    <row r="1195" ht="15.75" customHeight="1">
      <c r="A1195" s="10" t="s">
        <v>12</v>
      </c>
      <c r="B1195" s="10" t="s">
        <v>82</v>
      </c>
      <c r="C1195" s="10" t="s">
        <v>8385</v>
      </c>
      <c r="D1195" s="11" t="str">
        <f t="shared" si="1"/>
        <v>Abrir anúncio ↗</v>
      </c>
      <c r="E1195" s="12" t="s">
        <v>8386</v>
      </c>
      <c r="F1195" s="10" t="s">
        <v>29</v>
      </c>
      <c r="G1195" s="12" t="s">
        <v>3709</v>
      </c>
      <c r="H1195" s="12" t="s">
        <v>3904</v>
      </c>
      <c r="I1195" s="10"/>
      <c r="J1195" s="10"/>
      <c r="K1195" s="12"/>
    </row>
    <row r="1196" ht="15.75" customHeight="1">
      <c r="A1196" s="3" t="s">
        <v>12</v>
      </c>
      <c r="B1196" s="3" t="s">
        <v>82</v>
      </c>
      <c r="C1196" s="3" t="s">
        <v>8387</v>
      </c>
      <c r="D1196" s="8" t="str">
        <f t="shared" si="1"/>
        <v>Abrir anúncio ↗</v>
      </c>
      <c r="E1196" s="9" t="s">
        <v>8388</v>
      </c>
      <c r="F1196" s="3" t="s">
        <v>29</v>
      </c>
      <c r="G1196" s="9" t="s">
        <v>3709</v>
      </c>
      <c r="H1196" s="9" t="s">
        <v>4141</v>
      </c>
      <c r="I1196" s="3"/>
      <c r="J1196" s="3"/>
      <c r="K1196" s="9"/>
    </row>
    <row r="1197" ht="15.75" customHeight="1">
      <c r="A1197" s="10" t="s">
        <v>12</v>
      </c>
      <c r="B1197" s="10" t="s">
        <v>82</v>
      </c>
      <c r="C1197" s="10" t="s">
        <v>8391</v>
      </c>
      <c r="D1197" s="11" t="str">
        <f t="shared" si="1"/>
        <v>Abrir anúncio ↗</v>
      </c>
      <c r="E1197" s="12" t="s">
        <v>8393</v>
      </c>
      <c r="F1197" s="10" t="s">
        <v>29</v>
      </c>
      <c r="G1197" s="12" t="s">
        <v>3709</v>
      </c>
      <c r="H1197" s="12" t="s">
        <v>6746</v>
      </c>
      <c r="I1197" s="10"/>
      <c r="J1197" s="10"/>
      <c r="K1197" s="12"/>
    </row>
    <row r="1198" ht="15.75" customHeight="1">
      <c r="A1198" s="3" t="s">
        <v>12</v>
      </c>
      <c r="B1198" s="3" t="s">
        <v>82</v>
      </c>
      <c r="C1198" s="3" t="s">
        <v>8396</v>
      </c>
      <c r="D1198" s="8" t="str">
        <f t="shared" si="1"/>
        <v>Abrir anúncio ↗</v>
      </c>
      <c r="E1198" s="9" t="s">
        <v>8397</v>
      </c>
      <c r="F1198" s="3" t="s">
        <v>29</v>
      </c>
      <c r="G1198" s="9" t="s">
        <v>3709</v>
      </c>
      <c r="H1198" s="9" t="s">
        <v>4092</v>
      </c>
      <c r="I1198" s="3"/>
      <c r="J1198" s="3"/>
      <c r="K1198" s="9"/>
    </row>
    <row r="1199" ht="15.75" customHeight="1">
      <c r="A1199" s="10" t="s">
        <v>12</v>
      </c>
      <c r="B1199" s="10" t="s">
        <v>82</v>
      </c>
      <c r="C1199" s="10" t="s">
        <v>8401</v>
      </c>
      <c r="D1199" s="11" t="str">
        <f t="shared" si="1"/>
        <v>Abrir anúncio ↗</v>
      </c>
      <c r="E1199" s="12" t="s">
        <v>8402</v>
      </c>
      <c r="F1199" s="10" t="s">
        <v>29</v>
      </c>
      <c r="G1199" s="12" t="s">
        <v>3709</v>
      </c>
      <c r="H1199" s="12" t="s">
        <v>4245</v>
      </c>
      <c r="I1199" s="10"/>
      <c r="J1199" s="10"/>
      <c r="K1199" s="12"/>
    </row>
    <row r="1200" ht="15.75" customHeight="1">
      <c r="A1200" s="3" t="s">
        <v>12</v>
      </c>
      <c r="B1200" s="3" t="s">
        <v>82</v>
      </c>
      <c r="C1200" s="3" t="s">
        <v>8404</v>
      </c>
      <c r="D1200" s="8" t="str">
        <f t="shared" si="1"/>
        <v>Abrir anúncio ↗</v>
      </c>
      <c r="E1200" s="9" t="s">
        <v>8405</v>
      </c>
      <c r="F1200" s="3" t="s">
        <v>29</v>
      </c>
      <c r="G1200" s="9" t="s">
        <v>3709</v>
      </c>
      <c r="H1200" s="9" t="s">
        <v>4245</v>
      </c>
      <c r="I1200" s="3"/>
      <c r="J1200" s="3"/>
      <c r="K1200" s="9"/>
    </row>
    <row r="1201" ht="15.75" customHeight="1">
      <c r="A1201" s="10" t="s">
        <v>12</v>
      </c>
      <c r="B1201" s="10" t="s">
        <v>82</v>
      </c>
      <c r="C1201" s="10" t="s">
        <v>8406</v>
      </c>
      <c r="D1201" s="11" t="str">
        <f t="shared" si="1"/>
        <v>Abrir anúncio ↗</v>
      </c>
      <c r="E1201" s="12" t="s">
        <v>8407</v>
      </c>
      <c r="F1201" s="10" t="s">
        <v>29</v>
      </c>
      <c r="G1201" s="12" t="s">
        <v>3709</v>
      </c>
      <c r="H1201" s="12" t="s">
        <v>4332</v>
      </c>
      <c r="I1201" s="10"/>
      <c r="J1201" s="10"/>
      <c r="K1201" s="12"/>
    </row>
    <row r="1202" ht="15.75" customHeight="1">
      <c r="A1202" s="3" t="s">
        <v>12</v>
      </c>
      <c r="B1202" s="3" t="s">
        <v>82</v>
      </c>
      <c r="C1202" s="3" t="s">
        <v>8408</v>
      </c>
      <c r="D1202" s="8" t="str">
        <f t="shared" si="1"/>
        <v>Abrir anúncio ↗</v>
      </c>
      <c r="E1202" s="9" t="s">
        <v>8409</v>
      </c>
      <c r="F1202" s="3" t="s">
        <v>29</v>
      </c>
      <c r="G1202" s="9" t="s">
        <v>3709</v>
      </c>
      <c r="H1202" s="9" t="s">
        <v>4590</v>
      </c>
      <c r="I1202" s="3"/>
      <c r="J1202" s="3"/>
      <c r="K1202" s="9"/>
    </row>
    <row r="1203" ht="15.75" customHeight="1">
      <c r="A1203" s="10" t="s">
        <v>12</v>
      </c>
      <c r="B1203" s="10" t="s">
        <v>82</v>
      </c>
      <c r="C1203" s="10" t="s">
        <v>8410</v>
      </c>
      <c r="D1203" s="11" t="str">
        <f t="shared" si="1"/>
        <v>Abrir anúncio ↗</v>
      </c>
      <c r="E1203" s="12" t="s">
        <v>8411</v>
      </c>
      <c r="F1203" s="10" t="s">
        <v>29</v>
      </c>
      <c r="G1203" s="12" t="s">
        <v>3709</v>
      </c>
      <c r="H1203" s="12" t="s">
        <v>4058</v>
      </c>
      <c r="I1203" s="10"/>
      <c r="J1203" s="10"/>
      <c r="K1203" s="12"/>
    </row>
    <row r="1204" ht="15.75" customHeight="1">
      <c r="A1204" s="3" t="s">
        <v>12</v>
      </c>
      <c r="B1204" s="3" t="s">
        <v>82</v>
      </c>
      <c r="C1204" s="3" t="s">
        <v>8412</v>
      </c>
      <c r="D1204" s="8" t="str">
        <f t="shared" si="1"/>
        <v>Abrir anúncio ↗</v>
      </c>
      <c r="E1204" s="9" t="s">
        <v>8413</v>
      </c>
      <c r="F1204" s="3" t="s">
        <v>29</v>
      </c>
      <c r="G1204" s="9" t="s">
        <v>3709</v>
      </c>
      <c r="H1204" s="9" t="s">
        <v>5737</v>
      </c>
      <c r="I1204" s="3"/>
      <c r="J1204" s="3"/>
      <c r="K1204" s="9"/>
    </row>
    <row r="1205" ht="15.75" customHeight="1">
      <c r="A1205" s="10" t="s">
        <v>12</v>
      </c>
      <c r="B1205" s="10" t="s">
        <v>82</v>
      </c>
      <c r="C1205" s="10" t="s">
        <v>8414</v>
      </c>
      <c r="D1205" s="11" t="str">
        <f t="shared" si="1"/>
        <v>Abrir anúncio ↗</v>
      </c>
      <c r="E1205" s="12" t="s">
        <v>8415</v>
      </c>
      <c r="F1205" s="10" t="s">
        <v>29</v>
      </c>
      <c r="G1205" s="12" t="s">
        <v>3709</v>
      </c>
      <c r="H1205" s="12" t="s">
        <v>4590</v>
      </c>
      <c r="I1205" s="10"/>
      <c r="J1205" s="10"/>
      <c r="K1205" s="12"/>
    </row>
    <row r="1206" ht="15.75" customHeight="1">
      <c r="A1206" s="3" t="s">
        <v>12</v>
      </c>
      <c r="B1206" s="3" t="s">
        <v>82</v>
      </c>
      <c r="C1206" s="3" t="s">
        <v>8416</v>
      </c>
      <c r="D1206" s="8" t="str">
        <f t="shared" si="1"/>
        <v>Abrir anúncio ↗</v>
      </c>
      <c r="E1206" s="9" t="s">
        <v>8417</v>
      </c>
      <c r="F1206" s="3" t="s">
        <v>29</v>
      </c>
      <c r="G1206" s="9" t="s">
        <v>2390</v>
      </c>
      <c r="H1206" s="9" t="s">
        <v>2392</v>
      </c>
      <c r="I1206" s="3"/>
      <c r="J1206" s="3"/>
      <c r="K1206" s="9"/>
    </row>
    <row r="1207" ht="15.75" customHeight="1">
      <c r="A1207" s="10" t="s">
        <v>12</v>
      </c>
      <c r="B1207" s="10" t="s">
        <v>82</v>
      </c>
      <c r="C1207" s="10" t="s">
        <v>8418</v>
      </c>
      <c r="D1207" s="11" t="str">
        <f t="shared" si="1"/>
        <v>Abrir anúncio ↗</v>
      </c>
      <c r="E1207" s="12" t="s">
        <v>8419</v>
      </c>
      <c r="F1207" s="10" t="s">
        <v>29</v>
      </c>
      <c r="G1207" s="12" t="s">
        <v>3709</v>
      </c>
      <c r="H1207" s="12" t="s">
        <v>4092</v>
      </c>
      <c r="I1207" s="10"/>
      <c r="J1207" s="10"/>
      <c r="K1207" s="12"/>
    </row>
    <row r="1208" ht="15.75" customHeight="1">
      <c r="A1208" s="3" t="s">
        <v>12</v>
      </c>
      <c r="B1208" s="3" t="s">
        <v>82</v>
      </c>
      <c r="C1208" s="3" t="s">
        <v>8422</v>
      </c>
      <c r="D1208" s="8" t="str">
        <f t="shared" si="1"/>
        <v>Abrir anúncio ↗</v>
      </c>
      <c r="E1208" s="9" t="s">
        <v>8423</v>
      </c>
      <c r="F1208" s="3" t="s">
        <v>29</v>
      </c>
      <c r="G1208" s="9" t="s">
        <v>3709</v>
      </c>
      <c r="H1208" s="9" t="s">
        <v>6260</v>
      </c>
      <c r="I1208" s="3"/>
      <c r="J1208" s="3"/>
      <c r="K1208" s="9"/>
    </row>
    <row r="1209" ht="15.75" customHeight="1">
      <c r="A1209" s="10" t="s">
        <v>12</v>
      </c>
      <c r="B1209" s="10" t="s">
        <v>82</v>
      </c>
      <c r="C1209" s="10" t="s">
        <v>8426</v>
      </c>
      <c r="D1209" s="11" t="str">
        <f t="shared" si="1"/>
        <v>Abrir anúncio ↗</v>
      </c>
      <c r="E1209" s="12" t="s">
        <v>8428</v>
      </c>
      <c r="F1209" s="10" t="s">
        <v>29</v>
      </c>
      <c r="G1209" s="12" t="s">
        <v>3709</v>
      </c>
      <c r="H1209" s="12" t="s">
        <v>3712</v>
      </c>
      <c r="I1209" s="10"/>
      <c r="J1209" s="10"/>
      <c r="K1209" s="12"/>
    </row>
    <row r="1210" ht="15.75" customHeight="1">
      <c r="A1210" s="3" t="s">
        <v>12</v>
      </c>
      <c r="B1210" s="3" t="s">
        <v>82</v>
      </c>
      <c r="C1210" s="3" t="s">
        <v>8430</v>
      </c>
      <c r="D1210" s="8" t="str">
        <f t="shared" si="1"/>
        <v>Abrir anúncio ↗</v>
      </c>
      <c r="E1210" s="9" t="s">
        <v>8431</v>
      </c>
      <c r="F1210" s="3" t="s">
        <v>29</v>
      </c>
      <c r="G1210" s="9" t="s">
        <v>8432</v>
      </c>
      <c r="H1210" s="9" t="s">
        <v>8434</v>
      </c>
      <c r="I1210" s="3"/>
      <c r="J1210" s="3"/>
      <c r="K1210" s="9"/>
    </row>
    <row r="1211" ht="15.75" customHeight="1">
      <c r="A1211" s="10" t="s">
        <v>12</v>
      </c>
      <c r="B1211" s="10" t="s">
        <v>82</v>
      </c>
      <c r="C1211" s="10" t="s">
        <v>8436</v>
      </c>
      <c r="D1211" s="11" t="str">
        <f t="shared" si="1"/>
        <v>Abrir anúncio ↗</v>
      </c>
      <c r="E1211" s="12" t="s">
        <v>8438</v>
      </c>
      <c r="F1211" s="10" t="s">
        <v>29</v>
      </c>
      <c r="G1211" s="12" t="s">
        <v>3709</v>
      </c>
      <c r="H1211" s="12" t="s">
        <v>4284</v>
      </c>
      <c r="I1211" s="10"/>
      <c r="J1211" s="10"/>
      <c r="K1211" s="12"/>
    </row>
    <row r="1212" ht="15.75" customHeight="1">
      <c r="A1212" s="3" t="s">
        <v>12</v>
      </c>
      <c r="B1212" s="3" t="s">
        <v>82</v>
      </c>
      <c r="C1212" s="3" t="s">
        <v>8441</v>
      </c>
      <c r="D1212" s="8" t="str">
        <f t="shared" si="1"/>
        <v>Abrir anúncio ↗</v>
      </c>
      <c r="E1212" s="9" t="s">
        <v>8442</v>
      </c>
      <c r="F1212" s="3" t="s">
        <v>29</v>
      </c>
      <c r="G1212" s="9" t="s">
        <v>3709</v>
      </c>
      <c r="H1212" s="9" t="s">
        <v>4443</v>
      </c>
      <c r="I1212" s="3"/>
      <c r="J1212" s="3"/>
      <c r="K1212" s="9"/>
    </row>
    <row r="1213" ht="15.75" customHeight="1">
      <c r="A1213" s="10" t="s">
        <v>12</v>
      </c>
      <c r="B1213" s="10" t="s">
        <v>82</v>
      </c>
      <c r="C1213" s="10" t="s">
        <v>8444</v>
      </c>
      <c r="D1213" s="11" t="str">
        <f t="shared" si="1"/>
        <v>Abrir anúncio ↗</v>
      </c>
      <c r="E1213" s="12" t="s">
        <v>8446</v>
      </c>
      <c r="F1213" s="10" t="s">
        <v>29</v>
      </c>
      <c r="G1213" s="12" t="s">
        <v>3709</v>
      </c>
      <c r="H1213" s="12" t="s">
        <v>4284</v>
      </c>
      <c r="I1213" s="10"/>
      <c r="J1213" s="10"/>
      <c r="K1213" s="12"/>
    </row>
    <row r="1214" ht="15.75" customHeight="1">
      <c r="A1214" s="3" t="s">
        <v>12</v>
      </c>
      <c r="B1214" s="3" t="s">
        <v>82</v>
      </c>
      <c r="C1214" s="3" t="s">
        <v>8447</v>
      </c>
      <c r="D1214" s="8" t="str">
        <f t="shared" si="1"/>
        <v>Abrir anúncio ↗</v>
      </c>
      <c r="E1214" s="9" t="s">
        <v>8448</v>
      </c>
      <c r="F1214" s="3" t="s">
        <v>29</v>
      </c>
      <c r="G1214" s="9" t="s">
        <v>3709</v>
      </c>
      <c r="H1214" s="9" t="s">
        <v>5737</v>
      </c>
      <c r="I1214" s="3"/>
      <c r="J1214" s="3"/>
      <c r="K1214" s="9"/>
    </row>
    <row r="1215" ht="15.75" customHeight="1">
      <c r="A1215" s="10" t="s">
        <v>12</v>
      </c>
      <c r="B1215" s="10" t="s">
        <v>82</v>
      </c>
      <c r="C1215" s="10" t="s">
        <v>8451</v>
      </c>
      <c r="D1215" s="11" t="str">
        <f t="shared" si="1"/>
        <v>Abrir anúncio ↗</v>
      </c>
      <c r="E1215" s="12" t="s">
        <v>8453</v>
      </c>
      <c r="F1215" s="10" t="s">
        <v>29</v>
      </c>
      <c r="G1215" s="12" t="s">
        <v>3709</v>
      </c>
      <c r="H1215" s="12" t="s">
        <v>4004</v>
      </c>
      <c r="I1215" s="10"/>
      <c r="J1215" s="10"/>
      <c r="K1215" s="12"/>
    </row>
    <row r="1216" ht="15.75" customHeight="1">
      <c r="A1216" s="3" t="s">
        <v>12</v>
      </c>
      <c r="B1216" s="3" t="s">
        <v>82</v>
      </c>
      <c r="C1216" s="3" t="s">
        <v>8456</v>
      </c>
      <c r="D1216" s="8" t="str">
        <f t="shared" si="1"/>
        <v>Abrir anúncio ↗</v>
      </c>
      <c r="E1216" s="9" t="s">
        <v>8457</v>
      </c>
      <c r="F1216" s="3" t="s">
        <v>29</v>
      </c>
      <c r="G1216" s="9" t="s">
        <v>3709</v>
      </c>
      <c r="H1216" s="9" t="s">
        <v>3712</v>
      </c>
      <c r="I1216" s="3"/>
      <c r="J1216" s="3"/>
      <c r="K1216" s="9"/>
    </row>
    <row r="1217" ht="15.75" customHeight="1">
      <c r="A1217" s="10" t="s">
        <v>12</v>
      </c>
      <c r="B1217" s="10" t="s">
        <v>82</v>
      </c>
      <c r="C1217" s="10" t="s">
        <v>8459</v>
      </c>
      <c r="D1217" s="11" t="str">
        <f t="shared" si="1"/>
        <v>Abrir anúncio ↗</v>
      </c>
      <c r="E1217" s="12" t="s">
        <v>8460</v>
      </c>
      <c r="F1217" s="10" t="s">
        <v>29</v>
      </c>
      <c r="G1217" s="12" t="s">
        <v>3709</v>
      </c>
      <c r="H1217" s="12" t="s">
        <v>4332</v>
      </c>
      <c r="I1217" s="10"/>
      <c r="J1217" s="10"/>
      <c r="K1217" s="12"/>
    </row>
    <row r="1218" ht="15.75" customHeight="1">
      <c r="A1218" s="3" t="s">
        <v>12</v>
      </c>
      <c r="B1218" s="3" t="s">
        <v>82</v>
      </c>
      <c r="C1218" s="3" t="s">
        <v>8461</v>
      </c>
      <c r="D1218" s="8" t="str">
        <f t="shared" si="1"/>
        <v>Abrir anúncio ↗</v>
      </c>
      <c r="E1218" s="9" t="s">
        <v>8462</v>
      </c>
      <c r="F1218" s="3" t="s">
        <v>29</v>
      </c>
      <c r="G1218" s="9" t="s">
        <v>3709</v>
      </c>
      <c r="H1218" s="9" t="s">
        <v>3712</v>
      </c>
      <c r="I1218" s="3"/>
      <c r="J1218" s="3"/>
      <c r="K1218" s="9"/>
    </row>
    <row r="1219" ht="15.75" customHeight="1">
      <c r="A1219" s="10" t="s">
        <v>12</v>
      </c>
      <c r="B1219" s="10" t="s">
        <v>82</v>
      </c>
      <c r="C1219" s="10" t="s">
        <v>8464</v>
      </c>
      <c r="D1219" s="11" t="str">
        <f t="shared" si="1"/>
        <v>Abrir anúncio ↗</v>
      </c>
      <c r="E1219" s="12" t="s">
        <v>8465</v>
      </c>
      <c r="F1219" s="10" t="s">
        <v>29</v>
      </c>
      <c r="G1219" s="12" t="s">
        <v>3709</v>
      </c>
      <c r="H1219" s="12" t="s">
        <v>6233</v>
      </c>
      <c r="I1219" s="10"/>
      <c r="J1219" s="10"/>
      <c r="K1219" s="12"/>
    </row>
    <row r="1220" ht="15.75" customHeight="1">
      <c r="A1220" s="3" t="s">
        <v>12</v>
      </c>
      <c r="B1220" s="3" t="s">
        <v>82</v>
      </c>
      <c r="C1220" s="3" t="s">
        <v>8468</v>
      </c>
      <c r="D1220" s="8" t="str">
        <f t="shared" si="1"/>
        <v>Abrir anúncio ↗</v>
      </c>
      <c r="E1220" s="9" t="s">
        <v>8469</v>
      </c>
      <c r="F1220" s="3" t="s">
        <v>29</v>
      </c>
      <c r="G1220" s="9" t="s">
        <v>3709</v>
      </c>
      <c r="H1220" s="9" t="s">
        <v>3725</v>
      </c>
      <c r="I1220" s="3"/>
      <c r="J1220" s="3"/>
      <c r="K1220" s="9"/>
    </row>
    <row r="1221" ht="15.75" customHeight="1">
      <c r="A1221" s="10" t="s">
        <v>12</v>
      </c>
      <c r="B1221" s="10" t="s">
        <v>82</v>
      </c>
      <c r="C1221" s="10" t="s">
        <v>8471</v>
      </c>
      <c r="D1221" s="11" t="str">
        <f t="shared" si="1"/>
        <v>Abrir anúncio ↗</v>
      </c>
      <c r="E1221" s="12" t="s">
        <v>8473</v>
      </c>
      <c r="F1221" s="10" t="s">
        <v>29</v>
      </c>
      <c r="G1221" s="12" t="s">
        <v>3709</v>
      </c>
      <c r="H1221" s="12" t="s">
        <v>4584</v>
      </c>
      <c r="I1221" s="10"/>
      <c r="J1221" s="10"/>
      <c r="K1221" s="12"/>
    </row>
    <row r="1222" ht="15.75" customHeight="1">
      <c r="A1222" s="3" t="s">
        <v>12</v>
      </c>
      <c r="B1222" s="3" t="s">
        <v>82</v>
      </c>
      <c r="C1222" s="3" t="s">
        <v>8476</v>
      </c>
      <c r="D1222" s="8" t="str">
        <f t="shared" si="1"/>
        <v>Abrir anúncio ↗</v>
      </c>
      <c r="E1222" s="9" t="s">
        <v>8477</v>
      </c>
      <c r="F1222" s="3" t="s">
        <v>29</v>
      </c>
      <c r="G1222" s="9" t="s">
        <v>3709</v>
      </c>
      <c r="H1222" s="9" t="s">
        <v>4058</v>
      </c>
      <c r="I1222" s="3"/>
      <c r="J1222" s="3"/>
      <c r="K1222" s="9"/>
    </row>
    <row r="1223" ht="15.75" customHeight="1">
      <c r="A1223" s="10" t="s">
        <v>12</v>
      </c>
      <c r="B1223" s="10" t="s">
        <v>82</v>
      </c>
      <c r="C1223" s="10" t="s">
        <v>8480</v>
      </c>
      <c r="D1223" s="11" t="str">
        <f t="shared" si="1"/>
        <v>Abrir anúncio ↗</v>
      </c>
      <c r="E1223" s="12" t="s">
        <v>8482</v>
      </c>
      <c r="F1223" s="10" t="s">
        <v>29</v>
      </c>
      <c r="G1223" s="12" t="s">
        <v>3709</v>
      </c>
      <c r="H1223" s="12" t="s">
        <v>4084</v>
      </c>
      <c r="I1223" s="10"/>
      <c r="J1223" s="10"/>
      <c r="K1223" s="12"/>
    </row>
    <row r="1224" ht="15.75" customHeight="1">
      <c r="A1224" s="3" t="s">
        <v>12</v>
      </c>
      <c r="B1224" s="3" t="s">
        <v>82</v>
      </c>
      <c r="C1224" s="3" t="s">
        <v>8483</v>
      </c>
      <c r="D1224" s="8" t="str">
        <f t="shared" si="1"/>
        <v>Abrir anúncio ↗</v>
      </c>
      <c r="E1224" s="9" t="s">
        <v>8484</v>
      </c>
      <c r="F1224" s="3" t="s">
        <v>29</v>
      </c>
      <c r="G1224" s="9" t="s">
        <v>3709</v>
      </c>
      <c r="H1224" s="9" t="s">
        <v>4084</v>
      </c>
      <c r="I1224" s="3"/>
      <c r="J1224" s="3"/>
      <c r="K1224" s="9"/>
    </row>
    <row r="1225" ht="15.75" customHeight="1">
      <c r="A1225" s="10" t="s">
        <v>12</v>
      </c>
      <c r="B1225" s="10" t="s">
        <v>82</v>
      </c>
      <c r="C1225" s="10" t="s">
        <v>8485</v>
      </c>
      <c r="D1225" s="11" t="str">
        <f t="shared" si="1"/>
        <v>Abrir anúncio ↗</v>
      </c>
      <c r="E1225" s="12" t="s">
        <v>8488</v>
      </c>
      <c r="F1225" s="10" t="s">
        <v>29</v>
      </c>
      <c r="G1225" s="12" t="s">
        <v>3709</v>
      </c>
      <c r="H1225" s="12" t="s">
        <v>3904</v>
      </c>
      <c r="I1225" s="10"/>
      <c r="J1225" s="10"/>
      <c r="K1225" s="12"/>
    </row>
    <row r="1226" ht="15.75" customHeight="1">
      <c r="A1226" s="3" t="s">
        <v>12</v>
      </c>
      <c r="B1226" s="3" t="s">
        <v>82</v>
      </c>
      <c r="C1226" s="3" t="s">
        <v>8490</v>
      </c>
      <c r="D1226" s="8" t="str">
        <f t="shared" si="1"/>
        <v>Abrir anúncio ↗</v>
      </c>
      <c r="E1226" s="9" t="s">
        <v>8491</v>
      </c>
      <c r="F1226" s="3" t="s">
        <v>29</v>
      </c>
      <c r="G1226" s="9" t="s">
        <v>3709</v>
      </c>
      <c r="H1226" s="9" t="s">
        <v>3904</v>
      </c>
      <c r="I1226" s="3"/>
      <c r="J1226" s="3"/>
      <c r="K1226" s="9"/>
    </row>
    <row r="1227" ht="15.75" customHeight="1">
      <c r="A1227" s="10" t="s">
        <v>12</v>
      </c>
      <c r="B1227" s="10" t="s">
        <v>82</v>
      </c>
      <c r="C1227" s="10" t="s">
        <v>8493</v>
      </c>
      <c r="D1227" s="11" t="str">
        <f t="shared" si="1"/>
        <v>Abrir anúncio ↗</v>
      </c>
      <c r="E1227" s="12" t="s">
        <v>8494</v>
      </c>
      <c r="F1227" s="10" t="s">
        <v>29</v>
      </c>
      <c r="G1227" s="12" t="s">
        <v>3709</v>
      </c>
      <c r="H1227" s="12" t="s">
        <v>3999</v>
      </c>
      <c r="I1227" s="10"/>
      <c r="J1227" s="10"/>
      <c r="K1227" s="12"/>
    </row>
    <row r="1228" ht="15.75" customHeight="1">
      <c r="A1228" s="3" t="s">
        <v>12</v>
      </c>
      <c r="B1228" s="3" t="s">
        <v>82</v>
      </c>
      <c r="C1228" s="3" t="s">
        <v>8495</v>
      </c>
      <c r="D1228" s="8" t="str">
        <f t="shared" si="1"/>
        <v>Abrir anúncio ↗</v>
      </c>
      <c r="E1228" s="9" t="s">
        <v>8497</v>
      </c>
      <c r="F1228" s="3" t="s">
        <v>29</v>
      </c>
      <c r="G1228" s="9" t="s">
        <v>2390</v>
      </c>
      <c r="H1228" s="9" t="s">
        <v>2392</v>
      </c>
      <c r="I1228" s="3"/>
      <c r="J1228" s="3"/>
      <c r="K1228" s="9"/>
    </row>
    <row r="1229" ht="15.75" customHeight="1">
      <c r="A1229" s="10" t="s">
        <v>12</v>
      </c>
      <c r="B1229" s="10" t="s">
        <v>82</v>
      </c>
      <c r="C1229" s="10" t="s">
        <v>8498</v>
      </c>
      <c r="D1229" s="11" t="str">
        <f t="shared" si="1"/>
        <v>Abrir anúncio ↗</v>
      </c>
      <c r="E1229" s="12" t="s">
        <v>8499</v>
      </c>
      <c r="F1229" s="10" t="s">
        <v>29</v>
      </c>
      <c r="G1229" s="12" t="s">
        <v>3709</v>
      </c>
      <c r="H1229" s="12" t="s">
        <v>3712</v>
      </c>
      <c r="I1229" s="10"/>
      <c r="J1229" s="10"/>
      <c r="K1229" s="12"/>
    </row>
    <row r="1230" ht="15.75" customHeight="1">
      <c r="A1230" s="3" t="s">
        <v>12</v>
      </c>
      <c r="B1230" s="3" t="s">
        <v>82</v>
      </c>
      <c r="C1230" s="3" t="s">
        <v>8500</v>
      </c>
      <c r="D1230" s="8" t="str">
        <f t="shared" si="1"/>
        <v>Abrir anúncio ↗</v>
      </c>
      <c r="E1230" s="9" t="s">
        <v>8501</v>
      </c>
      <c r="F1230" s="3" t="s">
        <v>29</v>
      </c>
      <c r="G1230" s="9" t="s">
        <v>3709</v>
      </c>
      <c r="H1230" s="9" t="s">
        <v>4590</v>
      </c>
      <c r="I1230" s="3"/>
      <c r="J1230" s="3"/>
      <c r="K1230" s="9"/>
    </row>
    <row r="1231" ht="15.75" customHeight="1">
      <c r="A1231" s="10" t="s">
        <v>12</v>
      </c>
      <c r="B1231" s="10" t="s">
        <v>82</v>
      </c>
      <c r="C1231" s="10" t="s">
        <v>8504</v>
      </c>
      <c r="D1231" s="11" t="str">
        <f t="shared" si="1"/>
        <v>Abrir anúncio ↗</v>
      </c>
      <c r="E1231" s="12" t="s">
        <v>8505</v>
      </c>
      <c r="F1231" s="10" t="s">
        <v>29</v>
      </c>
      <c r="G1231" s="12" t="s">
        <v>3709</v>
      </c>
      <c r="H1231" s="12" t="s">
        <v>3725</v>
      </c>
      <c r="I1231" s="10"/>
      <c r="J1231" s="10"/>
      <c r="K1231" s="12"/>
    </row>
    <row r="1232" ht="15.75" customHeight="1">
      <c r="A1232" s="3" t="s">
        <v>12</v>
      </c>
      <c r="B1232" s="3" t="s">
        <v>82</v>
      </c>
      <c r="C1232" s="3" t="s">
        <v>8507</v>
      </c>
      <c r="D1232" s="8" t="str">
        <f t="shared" si="1"/>
        <v>Abrir anúncio ↗</v>
      </c>
      <c r="E1232" s="9" t="s">
        <v>8510</v>
      </c>
      <c r="F1232" s="3" t="s">
        <v>29</v>
      </c>
      <c r="G1232" s="9" t="s">
        <v>3709</v>
      </c>
      <c r="H1232" s="9" t="s">
        <v>3712</v>
      </c>
      <c r="I1232" s="3"/>
      <c r="J1232" s="3"/>
      <c r="K1232" s="9"/>
    </row>
    <row r="1233" ht="15.75" customHeight="1">
      <c r="A1233" s="10" t="s">
        <v>12</v>
      </c>
      <c r="B1233" s="10" t="s">
        <v>82</v>
      </c>
      <c r="C1233" s="10" t="s">
        <v>8512</v>
      </c>
      <c r="D1233" s="11" t="str">
        <f t="shared" si="1"/>
        <v>Abrir anúncio ↗</v>
      </c>
      <c r="E1233" s="12" t="s">
        <v>8513</v>
      </c>
      <c r="F1233" s="10" t="s">
        <v>29</v>
      </c>
      <c r="G1233" s="12" t="s">
        <v>3709</v>
      </c>
      <c r="H1233" s="12" t="s">
        <v>4075</v>
      </c>
      <c r="I1233" s="10"/>
      <c r="J1233" s="10"/>
      <c r="K1233" s="12"/>
    </row>
    <row r="1234" ht="15.75" customHeight="1">
      <c r="A1234" s="3" t="s">
        <v>12</v>
      </c>
      <c r="B1234" s="3" t="s">
        <v>82</v>
      </c>
      <c r="C1234" s="3" t="s">
        <v>8514</v>
      </c>
      <c r="D1234" s="8" t="str">
        <f t="shared" si="1"/>
        <v>Abrir anúncio ↗</v>
      </c>
      <c r="E1234" s="9" t="s">
        <v>8516</v>
      </c>
      <c r="F1234" s="3" t="s">
        <v>29</v>
      </c>
      <c r="G1234" s="9" t="s">
        <v>3709</v>
      </c>
      <c r="H1234" s="9" t="s">
        <v>4146</v>
      </c>
      <c r="I1234" s="3"/>
      <c r="J1234" s="3"/>
      <c r="K1234" s="9"/>
    </row>
    <row r="1235" ht="15.75" customHeight="1">
      <c r="A1235" s="10" t="s">
        <v>12</v>
      </c>
      <c r="B1235" s="10" t="s">
        <v>82</v>
      </c>
      <c r="C1235" s="10" t="s">
        <v>8517</v>
      </c>
      <c r="D1235" s="11" t="str">
        <f t="shared" si="1"/>
        <v>Abrir anúncio ↗</v>
      </c>
      <c r="E1235" s="12" t="s">
        <v>8518</v>
      </c>
      <c r="F1235" s="10" t="s">
        <v>29</v>
      </c>
      <c r="G1235" s="12" t="s">
        <v>3709</v>
      </c>
      <c r="H1235" s="12" t="s">
        <v>4004</v>
      </c>
      <c r="I1235" s="10"/>
      <c r="J1235" s="10"/>
      <c r="K1235" s="12"/>
    </row>
    <row r="1236" ht="15.75" customHeight="1">
      <c r="A1236" s="3" t="s">
        <v>12</v>
      </c>
      <c r="B1236" s="3" t="s">
        <v>82</v>
      </c>
      <c r="C1236" s="3" t="s">
        <v>8520</v>
      </c>
      <c r="D1236" s="8" t="str">
        <f t="shared" si="1"/>
        <v>Abrir anúncio ↗</v>
      </c>
      <c r="E1236" s="9" t="s">
        <v>8521</v>
      </c>
      <c r="F1236" s="3" t="s">
        <v>29</v>
      </c>
      <c r="G1236" s="9" t="s">
        <v>3709</v>
      </c>
      <c r="H1236" s="9" t="s">
        <v>3999</v>
      </c>
      <c r="I1236" s="3"/>
      <c r="J1236" s="3"/>
      <c r="K1236" s="9"/>
    </row>
    <row r="1237" ht="15.75" customHeight="1">
      <c r="A1237" s="10" t="s">
        <v>12</v>
      </c>
      <c r="B1237" s="10" t="s">
        <v>82</v>
      </c>
      <c r="C1237" s="10" t="s">
        <v>8522</v>
      </c>
      <c r="D1237" s="11" t="str">
        <f t="shared" si="1"/>
        <v>Abrir anúncio ↗</v>
      </c>
      <c r="E1237" s="12" t="s">
        <v>8523</v>
      </c>
      <c r="F1237" s="10" t="s">
        <v>29</v>
      </c>
      <c r="G1237" s="12" t="s">
        <v>3709</v>
      </c>
      <c r="H1237" s="12" t="s">
        <v>4443</v>
      </c>
      <c r="I1237" s="10"/>
      <c r="J1237" s="10"/>
      <c r="K1237" s="12"/>
    </row>
    <row r="1238" ht="15.75" customHeight="1">
      <c r="A1238" s="3" t="s">
        <v>12</v>
      </c>
      <c r="B1238" s="3" t="s">
        <v>82</v>
      </c>
      <c r="C1238" s="3" t="s">
        <v>8524</v>
      </c>
      <c r="D1238" s="8" t="str">
        <f t="shared" si="1"/>
        <v>Abrir anúncio ↗</v>
      </c>
      <c r="E1238" s="9" t="s">
        <v>8525</v>
      </c>
      <c r="F1238" s="3" t="s">
        <v>29</v>
      </c>
      <c r="G1238" s="9" t="s">
        <v>3709</v>
      </c>
      <c r="H1238" s="9" t="s">
        <v>5737</v>
      </c>
      <c r="I1238" s="3"/>
      <c r="J1238" s="3"/>
      <c r="K1238" s="9"/>
    </row>
    <row r="1239" ht="15.75" customHeight="1">
      <c r="A1239" s="10" t="s">
        <v>12</v>
      </c>
      <c r="B1239" s="10" t="s">
        <v>82</v>
      </c>
      <c r="C1239" s="10" t="s">
        <v>8526</v>
      </c>
      <c r="D1239" s="11" t="str">
        <f t="shared" si="1"/>
        <v>Abrir anúncio ↗</v>
      </c>
      <c r="E1239" s="12" t="s">
        <v>8527</v>
      </c>
      <c r="F1239" s="10" t="s">
        <v>29</v>
      </c>
      <c r="G1239" s="12" t="s">
        <v>3709</v>
      </c>
      <c r="H1239" s="12" t="s">
        <v>4245</v>
      </c>
      <c r="I1239" s="10"/>
      <c r="J1239" s="10"/>
      <c r="K1239" s="12"/>
    </row>
    <row r="1240" ht="15.75" customHeight="1">
      <c r="A1240" s="3" t="s">
        <v>12</v>
      </c>
      <c r="B1240" s="3" t="s">
        <v>82</v>
      </c>
      <c r="C1240" s="3" t="s">
        <v>8528</v>
      </c>
      <c r="D1240" s="8" t="str">
        <f t="shared" si="1"/>
        <v>Abrir anúncio ↗</v>
      </c>
      <c r="E1240" s="9" t="s">
        <v>8529</v>
      </c>
      <c r="F1240" s="3" t="s">
        <v>29</v>
      </c>
      <c r="G1240" s="9" t="s">
        <v>3709</v>
      </c>
      <c r="H1240" s="9" t="s">
        <v>4332</v>
      </c>
      <c r="I1240" s="3"/>
      <c r="J1240" s="3"/>
      <c r="K1240" s="9"/>
    </row>
    <row r="1241" ht="15.75" customHeight="1">
      <c r="A1241" s="10" t="s">
        <v>12</v>
      </c>
      <c r="B1241" s="10" t="s">
        <v>82</v>
      </c>
      <c r="C1241" s="10" t="s">
        <v>8530</v>
      </c>
      <c r="D1241" s="11" t="str">
        <f t="shared" si="1"/>
        <v>Abrir anúncio ↗</v>
      </c>
      <c r="E1241" s="12" t="s">
        <v>8531</v>
      </c>
      <c r="F1241" s="10" t="s">
        <v>29</v>
      </c>
      <c r="G1241" s="12" t="s">
        <v>3709</v>
      </c>
      <c r="H1241" s="12" t="s">
        <v>4284</v>
      </c>
      <c r="I1241" s="10"/>
      <c r="J1241" s="10"/>
      <c r="K1241" s="12"/>
    </row>
    <row r="1242" ht="15.75" customHeight="1">
      <c r="A1242" s="3" t="s">
        <v>12</v>
      </c>
      <c r="B1242" s="3" t="s">
        <v>82</v>
      </c>
      <c r="C1242" s="3" t="s">
        <v>8532</v>
      </c>
      <c r="D1242" s="8" t="str">
        <f t="shared" si="1"/>
        <v>Abrir anúncio ↗</v>
      </c>
      <c r="E1242" s="9" t="s">
        <v>8533</v>
      </c>
      <c r="F1242" s="3" t="s">
        <v>29</v>
      </c>
      <c r="G1242" s="9" t="s">
        <v>3709</v>
      </c>
      <c r="H1242" s="9" t="s">
        <v>4284</v>
      </c>
      <c r="I1242" s="3"/>
      <c r="J1242" s="3"/>
      <c r="K1242" s="9"/>
    </row>
    <row r="1243" ht="15.75" customHeight="1">
      <c r="A1243" s="10" t="s">
        <v>12</v>
      </c>
      <c r="B1243" s="10" t="s">
        <v>82</v>
      </c>
      <c r="C1243" s="10" t="s">
        <v>8534</v>
      </c>
      <c r="D1243" s="11" t="str">
        <f t="shared" si="1"/>
        <v>Abrir anúncio ↗</v>
      </c>
      <c r="E1243" s="12" t="s">
        <v>8535</v>
      </c>
      <c r="F1243" s="10" t="s">
        <v>29</v>
      </c>
      <c r="G1243" s="12" t="s">
        <v>3709</v>
      </c>
      <c r="H1243" s="12" t="s">
        <v>4058</v>
      </c>
      <c r="I1243" s="10"/>
      <c r="J1243" s="10"/>
      <c r="K1243" s="12"/>
    </row>
    <row r="1244" ht="15.75" customHeight="1">
      <c r="A1244" s="3" t="s">
        <v>12</v>
      </c>
      <c r="B1244" s="3" t="s">
        <v>82</v>
      </c>
      <c r="C1244" s="3" t="s">
        <v>8536</v>
      </c>
      <c r="D1244" s="8" t="str">
        <f t="shared" si="1"/>
        <v>Abrir anúncio ↗</v>
      </c>
      <c r="E1244" s="9" t="s">
        <v>8537</v>
      </c>
      <c r="F1244" s="3" t="s">
        <v>29</v>
      </c>
      <c r="G1244" s="9" t="s">
        <v>3709</v>
      </c>
      <c r="H1244" s="9" t="s">
        <v>3999</v>
      </c>
      <c r="I1244" s="3"/>
      <c r="J1244" s="3"/>
      <c r="K1244" s="9"/>
    </row>
    <row r="1245" ht="15.75" customHeight="1">
      <c r="A1245" s="10" t="s">
        <v>12</v>
      </c>
      <c r="B1245" s="10" t="s">
        <v>82</v>
      </c>
      <c r="C1245" s="10" t="s">
        <v>8538</v>
      </c>
      <c r="D1245" s="11" t="str">
        <f t="shared" si="1"/>
        <v>Abrir anúncio ↗</v>
      </c>
      <c r="E1245" s="12" t="s">
        <v>8539</v>
      </c>
      <c r="F1245" s="10" t="s">
        <v>29</v>
      </c>
      <c r="G1245" s="12" t="s">
        <v>3709</v>
      </c>
      <c r="H1245" s="12" t="s">
        <v>4092</v>
      </c>
      <c r="I1245" s="10"/>
      <c r="J1245" s="10"/>
      <c r="K1245" s="12"/>
    </row>
    <row r="1246" ht="15.75" customHeight="1">
      <c r="A1246" s="3" t="s">
        <v>12</v>
      </c>
      <c r="B1246" s="3" t="s">
        <v>82</v>
      </c>
      <c r="C1246" s="3" t="s">
        <v>8540</v>
      </c>
      <c r="D1246" s="8" t="str">
        <f t="shared" si="1"/>
        <v>Abrir anúncio ↗</v>
      </c>
      <c r="E1246" s="9" t="s">
        <v>8541</v>
      </c>
      <c r="F1246" s="3" t="s">
        <v>29</v>
      </c>
      <c r="G1246" s="9" t="s">
        <v>3709</v>
      </c>
      <c r="H1246" s="9" t="s">
        <v>4245</v>
      </c>
      <c r="I1246" s="3"/>
      <c r="J1246" s="3"/>
      <c r="K1246" s="9"/>
    </row>
    <row r="1247" ht="15.75" customHeight="1">
      <c r="A1247" s="10" t="s">
        <v>12</v>
      </c>
      <c r="B1247" s="10" t="s">
        <v>82</v>
      </c>
      <c r="C1247" s="10" t="s">
        <v>8542</v>
      </c>
      <c r="D1247" s="11" t="str">
        <f t="shared" si="1"/>
        <v>Abrir anúncio ↗</v>
      </c>
      <c r="E1247" s="12" t="s">
        <v>8543</v>
      </c>
      <c r="F1247" s="10" t="s">
        <v>29</v>
      </c>
      <c r="G1247" s="12" t="s">
        <v>3709</v>
      </c>
      <c r="H1247" s="12" t="s">
        <v>4092</v>
      </c>
      <c r="I1247" s="10"/>
      <c r="J1247" s="10"/>
      <c r="K1247" s="12"/>
    </row>
    <row r="1248" ht="15.75" customHeight="1">
      <c r="A1248" s="3" t="s">
        <v>12</v>
      </c>
      <c r="B1248" s="3" t="s">
        <v>82</v>
      </c>
      <c r="C1248" s="3" t="s">
        <v>8544</v>
      </c>
      <c r="D1248" s="8" t="str">
        <f t="shared" si="1"/>
        <v>Abrir anúncio ↗</v>
      </c>
      <c r="E1248" s="9" t="s">
        <v>8545</v>
      </c>
      <c r="F1248" s="3" t="s">
        <v>29</v>
      </c>
      <c r="G1248" s="9" t="s">
        <v>3709</v>
      </c>
      <c r="H1248" s="9" t="s">
        <v>4075</v>
      </c>
      <c r="I1248" s="3"/>
      <c r="J1248" s="3"/>
      <c r="K1248" s="9"/>
    </row>
    <row r="1249" ht="15.75" customHeight="1">
      <c r="A1249" s="10" t="s">
        <v>12</v>
      </c>
      <c r="B1249" s="10" t="s">
        <v>82</v>
      </c>
      <c r="C1249" s="10" t="s">
        <v>8424</v>
      </c>
      <c r="D1249" s="11" t="str">
        <f t="shared" si="1"/>
        <v>Abrir anúncio ↗</v>
      </c>
      <c r="E1249" s="12" t="s">
        <v>8420</v>
      </c>
      <c r="F1249" s="10" t="s">
        <v>29</v>
      </c>
      <c r="G1249" s="12" t="s">
        <v>2390</v>
      </c>
      <c r="H1249" s="12" t="s">
        <v>2392</v>
      </c>
      <c r="I1249" s="10"/>
      <c r="J1249" s="10"/>
      <c r="K1249" s="12"/>
    </row>
    <row r="1250" ht="15.75" customHeight="1">
      <c r="A1250" s="3" t="s">
        <v>12</v>
      </c>
      <c r="B1250" s="3" t="s">
        <v>82</v>
      </c>
      <c r="C1250" s="3" t="s">
        <v>8546</v>
      </c>
      <c r="D1250" s="8" t="str">
        <f t="shared" si="1"/>
        <v>Abrir anúncio ↗</v>
      </c>
      <c r="E1250" s="9" t="s">
        <v>8547</v>
      </c>
      <c r="F1250" s="3" t="s">
        <v>86</v>
      </c>
      <c r="G1250" s="9" t="s">
        <v>3892</v>
      </c>
      <c r="H1250" s="9" t="s">
        <v>5175</v>
      </c>
      <c r="I1250" s="3"/>
      <c r="J1250" s="3"/>
      <c r="K1250" s="9"/>
    </row>
    <row r="1251" ht="15.75" customHeight="1">
      <c r="A1251" s="10" t="s">
        <v>12</v>
      </c>
      <c r="B1251" s="10" t="s">
        <v>82</v>
      </c>
      <c r="C1251" s="10" t="s">
        <v>8450</v>
      </c>
      <c r="D1251" s="11" t="str">
        <f t="shared" si="1"/>
        <v>Abrir anúncio ↗</v>
      </c>
      <c r="E1251" s="12" t="s">
        <v>8449</v>
      </c>
      <c r="F1251" s="10" t="s">
        <v>29</v>
      </c>
      <c r="G1251" s="12" t="s">
        <v>2390</v>
      </c>
      <c r="H1251" s="12" t="s">
        <v>2392</v>
      </c>
      <c r="I1251" s="10"/>
      <c r="J1251" s="10"/>
      <c r="K1251" s="12"/>
    </row>
    <row r="1252" ht="15.75" customHeight="1">
      <c r="A1252" s="3" t="s">
        <v>12</v>
      </c>
      <c r="B1252" s="3" t="s">
        <v>82</v>
      </c>
      <c r="C1252" s="3" t="s">
        <v>8550</v>
      </c>
      <c r="D1252" s="8" t="str">
        <f t="shared" si="1"/>
        <v>Abrir anúncio ↗</v>
      </c>
      <c r="E1252" s="9" t="s">
        <v>8552</v>
      </c>
      <c r="F1252" s="3" t="s">
        <v>29</v>
      </c>
      <c r="G1252" s="9" t="s">
        <v>2390</v>
      </c>
      <c r="H1252" s="9" t="s">
        <v>2392</v>
      </c>
      <c r="I1252" s="3"/>
      <c r="J1252" s="3"/>
      <c r="K1252" s="9"/>
    </row>
    <row r="1253" ht="15.75" customHeight="1">
      <c r="A1253" s="10" t="s">
        <v>12</v>
      </c>
      <c r="B1253" s="10" t="s">
        <v>82</v>
      </c>
      <c r="C1253" s="10" t="s">
        <v>8555</v>
      </c>
      <c r="D1253" s="11" t="str">
        <f t="shared" si="1"/>
        <v>Abrir anúncio ↗</v>
      </c>
      <c r="E1253" s="12" t="s">
        <v>8557</v>
      </c>
      <c r="F1253" s="10" t="s">
        <v>29</v>
      </c>
      <c r="G1253" s="12" t="s">
        <v>6220</v>
      </c>
      <c r="H1253" s="12" t="s">
        <v>8558</v>
      </c>
      <c r="I1253" s="10"/>
      <c r="J1253" s="10"/>
      <c r="K1253" s="12"/>
    </row>
    <row r="1254" ht="15.75" customHeight="1">
      <c r="A1254" s="3" t="s">
        <v>12</v>
      </c>
      <c r="B1254" s="3" t="s">
        <v>82</v>
      </c>
      <c r="C1254" s="3" t="s">
        <v>8455</v>
      </c>
      <c r="D1254" s="8" t="str">
        <f t="shared" si="1"/>
        <v>Abrir anúncio ↗</v>
      </c>
      <c r="E1254" s="9" t="s">
        <v>8454</v>
      </c>
      <c r="F1254" s="3" t="s">
        <v>29</v>
      </c>
      <c r="G1254" s="9" t="s">
        <v>2390</v>
      </c>
      <c r="H1254" s="9" t="s">
        <v>2392</v>
      </c>
      <c r="I1254" s="3"/>
      <c r="J1254" s="3"/>
      <c r="K1254" s="9"/>
    </row>
    <row r="1255" ht="15.75" customHeight="1">
      <c r="A1255" s="10" t="s">
        <v>12</v>
      </c>
      <c r="B1255" s="10" t="s">
        <v>82</v>
      </c>
      <c r="C1255" s="10" t="s">
        <v>8329</v>
      </c>
      <c r="D1255" s="11" t="str">
        <f t="shared" si="1"/>
        <v>Abrir anúncio ↗</v>
      </c>
      <c r="E1255" s="12" t="s">
        <v>8325</v>
      </c>
      <c r="F1255" s="10" t="s">
        <v>29</v>
      </c>
      <c r="G1255" s="12" t="s">
        <v>2390</v>
      </c>
      <c r="H1255" s="12" t="s">
        <v>2392</v>
      </c>
      <c r="I1255" s="10"/>
      <c r="J1255" s="10"/>
      <c r="K1255" s="12"/>
    </row>
    <row r="1256" ht="15.75" customHeight="1">
      <c r="A1256" s="3" t="s">
        <v>12</v>
      </c>
      <c r="B1256" s="3" t="s">
        <v>82</v>
      </c>
      <c r="C1256" s="3" t="s">
        <v>8567</v>
      </c>
      <c r="D1256" s="8" t="str">
        <f t="shared" si="1"/>
        <v>Abrir anúncio ↗</v>
      </c>
      <c r="E1256" s="9" t="s">
        <v>6705</v>
      </c>
      <c r="F1256" s="3" t="s">
        <v>29</v>
      </c>
      <c r="G1256" s="9" t="s">
        <v>4538</v>
      </c>
      <c r="H1256" s="9" t="s">
        <v>8569</v>
      </c>
      <c r="I1256" s="3"/>
      <c r="J1256" s="3"/>
      <c r="K1256" s="9"/>
    </row>
    <row r="1257" ht="15.75" customHeight="1">
      <c r="A1257" s="10" t="s">
        <v>12</v>
      </c>
      <c r="B1257" s="10" t="s">
        <v>82</v>
      </c>
      <c r="C1257" s="10" t="s">
        <v>8572</v>
      </c>
      <c r="D1257" s="11" t="str">
        <f t="shared" si="1"/>
        <v>Abrir anúncio ↗</v>
      </c>
      <c r="E1257" s="12" t="s">
        <v>8573</v>
      </c>
      <c r="F1257" s="10" t="s">
        <v>86</v>
      </c>
      <c r="G1257" s="12" t="s">
        <v>4786</v>
      </c>
      <c r="H1257" s="12" t="s">
        <v>4788</v>
      </c>
      <c r="I1257" s="10"/>
      <c r="J1257" s="10"/>
      <c r="K1257" s="12"/>
    </row>
    <row r="1258" ht="15.75" customHeight="1">
      <c r="A1258" s="3" t="s">
        <v>12</v>
      </c>
      <c r="B1258" s="3" t="s">
        <v>82</v>
      </c>
      <c r="C1258" s="3" t="s">
        <v>8437</v>
      </c>
      <c r="D1258" s="8" t="str">
        <f t="shared" si="1"/>
        <v>Abrir anúncio ↗</v>
      </c>
      <c r="E1258" s="9" t="s">
        <v>8433</v>
      </c>
      <c r="F1258" s="3" t="s">
        <v>29</v>
      </c>
      <c r="G1258" s="9" t="s">
        <v>2390</v>
      </c>
      <c r="H1258" s="9" t="s">
        <v>2392</v>
      </c>
      <c r="I1258" s="3"/>
      <c r="J1258" s="3"/>
      <c r="K1258" s="9"/>
    </row>
    <row r="1259" ht="15.75" customHeight="1">
      <c r="A1259" s="10" t="s">
        <v>12</v>
      </c>
      <c r="B1259" s="10" t="s">
        <v>82</v>
      </c>
      <c r="C1259" s="10" t="s">
        <v>8578</v>
      </c>
      <c r="D1259" s="11" t="str">
        <f t="shared" si="1"/>
        <v>Abrir anúncio ↗</v>
      </c>
      <c r="E1259" s="12" t="s">
        <v>8581</v>
      </c>
      <c r="F1259" s="10" t="s">
        <v>29</v>
      </c>
      <c r="G1259" s="12" t="s">
        <v>3709</v>
      </c>
      <c r="H1259" s="12" t="s">
        <v>4105</v>
      </c>
      <c r="I1259" s="10"/>
      <c r="J1259" s="10"/>
      <c r="K1259" s="12"/>
    </row>
    <row r="1260" ht="15.75" customHeight="1">
      <c r="A1260" s="3" t="s">
        <v>12</v>
      </c>
      <c r="B1260" s="3" t="s">
        <v>82</v>
      </c>
      <c r="C1260" s="3" t="s">
        <v>8583</v>
      </c>
      <c r="D1260" s="8" t="str">
        <f t="shared" si="1"/>
        <v>Abrir anúncio ↗</v>
      </c>
      <c r="E1260" s="9" t="s">
        <v>8585</v>
      </c>
      <c r="F1260" s="3" t="s">
        <v>29</v>
      </c>
      <c r="G1260" s="9" t="s">
        <v>3709</v>
      </c>
      <c r="H1260" s="9" t="s">
        <v>3725</v>
      </c>
      <c r="I1260" s="3"/>
      <c r="J1260" s="3"/>
      <c r="K1260" s="9"/>
    </row>
    <row r="1261" ht="15.75" customHeight="1">
      <c r="A1261" s="10" t="s">
        <v>12</v>
      </c>
      <c r="B1261" s="10" t="s">
        <v>82</v>
      </c>
      <c r="C1261" s="10" t="s">
        <v>8588</v>
      </c>
      <c r="D1261" s="11" t="str">
        <f t="shared" si="1"/>
        <v>Abrir anúncio ↗</v>
      </c>
      <c r="E1261" s="12" t="s">
        <v>8590</v>
      </c>
      <c r="F1261" s="10" t="s">
        <v>29</v>
      </c>
      <c r="G1261" s="12" t="s">
        <v>6220</v>
      </c>
      <c r="H1261" s="12" t="s">
        <v>8592</v>
      </c>
      <c r="I1261" s="10"/>
      <c r="J1261" s="10"/>
      <c r="K1261" s="12"/>
    </row>
    <row r="1262" ht="15.75" customHeight="1">
      <c r="A1262" s="3" t="s">
        <v>12</v>
      </c>
      <c r="B1262" s="3" t="s">
        <v>82</v>
      </c>
      <c r="C1262" s="3" t="s">
        <v>8594</v>
      </c>
      <c r="D1262" s="8" t="str">
        <f t="shared" si="1"/>
        <v>Abrir anúncio ↗</v>
      </c>
      <c r="E1262" s="9" t="s">
        <v>8597</v>
      </c>
      <c r="F1262" s="3" t="s">
        <v>29</v>
      </c>
      <c r="G1262" s="9" t="s">
        <v>2390</v>
      </c>
      <c r="H1262" s="9" t="s">
        <v>2392</v>
      </c>
      <c r="I1262" s="3"/>
      <c r="J1262" s="3"/>
      <c r="K1262" s="9"/>
    </row>
    <row r="1263" ht="15.75" customHeight="1">
      <c r="A1263" s="10" t="s">
        <v>12</v>
      </c>
      <c r="B1263" s="10" t="s">
        <v>82</v>
      </c>
      <c r="C1263" s="10" t="s">
        <v>8599</v>
      </c>
      <c r="D1263" s="11" t="str">
        <f t="shared" si="1"/>
        <v>Abrir anúncio ↗</v>
      </c>
      <c r="E1263" s="12" t="s">
        <v>8600</v>
      </c>
      <c r="F1263" s="10" t="s">
        <v>29</v>
      </c>
      <c r="G1263" s="12" t="s">
        <v>3709</v>
      </c>
      <c r="H1263" s="12" t="s">
        <v>3904</v>
      </c>
      <c r="I1263" s="10"/>
      <c r="J1263" s="10"/>
      <c r="K1263" s="12"/>
    </row>
    <row r="1264" ht="15.75" customHeight="1">
      <c r="A1264" s="3" t="s">
        <v>12</v>
      </c>
      <c r="B1264" s="3" t="s">
        <v>82</v>
      </c>
      <c r="C1264" s="3" t="s">
        <v>8334</v>
      </c>
      <c r="D1264" s="8" t="str">
        <f t="shared" si="1"/>
        <v>Abrir anúncio ↗</v>
      </c>
      <c r="E1264" s="9" t="s">
        <v>8331</v>
      </c>
      <c r="F1264" s="3" t="s">
        <v>29</v>
      </c>
      <c r="G1264" s="9" t="s">
        <v>2390</v>
      </c>
      <c r="H1264" s="9" t="s">
        <v>2392</v>
      </c>
      <c r="I1264" s="3"/>
      <c r="J1264" s="3"/>
      <c r="K1264" s="9"/>
    </row>
    <row r="1265" ht="15.75" customHeight="1">
      <c r="A1265" s="10" t="s">
        <v>12</v>
      </c>
      <c r="B1265" s="10" t="s">
        <v>82</v>
      </c>
      <c r="C1265" s="10" t="s">
        <v>8601</v>
      </c>
      <c r="D1265" s="11" t="str">
        <f t="shared" si="1"/>
        <v>Abrir anúncio ↗</v>
      </c>
      <c r="E1265" s="12" t="s">
        <v>8602</v>
      </c>
      <c r="F1265" s="10" t="s">
        <v>29</v>
      </c>
      <c r="G1265" s="12" t="s">
        <v>3709</v>
      </c>
      <c r="H1265" s="12" t="s">
        <v>4092</v>
      </c>
      <c r="I1265" s="10"/>
      <c r="J1265" s="10"/>
      <c r="K1265" s="12"/>
    </row>
    <row r="1266" ht="15.75" customHeight="1">
      <c r="A1266" s="3" t="s">
        <v>12</v>
      </c>
      <c r="B1266" s="3" t="s">
        <v>82</v>
      </c>
      <c r="C1266" s="3" t="s">
        <v>8603</v>
      </c>
      <c r="D1266" s="8" t="str">
        <f t="shared" si="1"/>
        <v>Abrir anúncio ↗</v>
      </c>
      <c r="E1266" s="9" t="s">
        <v>8604</v>
      </c>
      <c r="F1266" s="3" t="s">
        <v>29</v>
      </c>
      <c r="G1266" s="9" t="s">
        <v>3709</v>
      </c>
      <c r="H1266" s="9" t="s">
        <v>4058</v>
      </c>
      <c r="I1266" s="3"/>
      <c r="J1266" s="3"/>
      <c r="K1266" s="9"/>
    </row>
    <row r="1267" ht="15.75" customHeight="1">
      <c r="A1267" s="10" t="s">
        <v>12</v>
      </c>
      <c r="B1267" s="10" t="s">
        <v>82</v>
      </c>
      <c r="C1267" s="10" t="s">
        <v>8605</v>
      </c>
      <c r="D1267" s="11" t="str">
        <f t="shared" si="1"/>
        <v>Abrir anúncio ↗</v>
      </c>
      <c r="E1267" s="12" t="s">
        <v>8606</v>
      </c>
      <c r="F1267" s="10" t="s">
        <v>29</v>
      </c>
      <c r="G1267" s="12" t="s">
        <v>3709</v>
      </c>
      <c r="H1267" s="12" t="s">
        <v>4332</v>
      </c>
      <c r="I1267" s="10"/>
      <c r="J1267" s="10"/>
      <c r="K1267" s="12"/>
    </row>
    <row r="1268" ht="15.75" customHeight="1">
      <c r="A1268" s="3" t="s">
        <v>12</v>
      </c>
      <c r="B1268" s="3" t="s">
        <v>82</v>
      </c>
      <c r="C1268" s="3" t="s">
        <v>8607</v>
      </c>
      <c r="D1268" s="8" t="str">
        <f t="shared" si="1"/>
        <v>Abrir anúncio ↗</v>
      </c>
      <c r="E1268" s="9" t="s">
        <v>8608</v>
      </c>
      <c r="F1268" s="3" t="s">
        <v>29</v>
      </c>
      <c r="G1268" s="9" t="s">
        <v>3709</v>
      </c>
      <c r="H1268" s="9" t="s">
        <v>5956</v>
      </c>
      <c r="I1268" s="3"/>
      <c r="J1268" s="3"/>
      <c r="K1268" s="9"/>
    </row>
    <row r="1269" ht="15.75" customHeight="1">
      <c r="A1269" s="10" t="s">
        <v>12</v>
      </c>
      <c r="B1269" s="10" t="s">
        <v>82</v>
      </c>
      <c r="C1269" s="10" t="s">
        <v>8609</v>
      </c>
      <c r="D1269" s="11" t="str">
        <f t="shared" si="1"/>
        <v>Abrir anúncio ↗</v>
      </c>
      <c r="E1269" s="12" t="s">
        <v>8610</v>
      </c>
      <c r="F1269" s="10" t="s">
        <v>29</v>
      </c>
      <c r="G1269" s="12" t="s">
        <v>3709</v>
      </c>
      <c r="H1269" s="12" t="s">
        <v>4284</v>
      </c>
      <c r="I1269" s="10"/>
      <c r="J1269" s="10"/>
      <c r="K1269" s="12"/>
    </row>
    <row r="1270" ht="15.75" customHeight="1">
      <c r="A1270" s="3" t="s">
        <v>12</v>
      </c>
      <c r="B1270" s="3" t="s">
        <v>82</v>
      </c>
      <c r="C1270" s="3" t="s">
        <v>8611</v>
      </c>
      <c r="D1270" s="8" t="str">
        <f t="shared" si="1"/>
        <v>Abrir anúncio ↗</v>
      </c>
      <c r="E1270" s="9" t="s">
        <v>8612</v>
      </c>
      <c r="F1270" s="3" t="s">
        <v>29</v>
      </c>
      <c r="G1270" s="9" t="s">
        <v>2390</v>
      </c>
      <c r="H1270" s="9" t="s">
        <v>2392</v>
      </c>
      <c r="I1270" s="3"/>
      <c r="J1270" s="3"/>
      <c r="K1270" s="9"/>
    </row>
    <row r="1271" ht="15.75" customHeight="1">
      <c r="A1271" s="10" t="s">
        <v>12</v>
      </c>
      <c r="B1271" s="10" t="s">
        <v>82</v>
      </c>
      <c r="C1271" s="10" t="s">
        <v>8613</v>
      </c>
      <c r="D1271" s="11" t="str">
        <f t="shared" si="1"/>
        <v>Abrir anúncio ↗</v>
      </c>
      <c r="E1271" s="12" t="s">
        <v>8614</v>
      </c>
      <c r="F1271" s="10" t="s">
        <v>29</v>
      </c>
      <c r="G1271" s="12" t="s">
        <v>2390</v>
      </c>
      <c r="H1271" s="12" t="s">
        <v>2392</v>
      </c>
      <c r="I1271" s="10"/>
      <c r="J1271" s="10"/>
      <c r="K1271" s="12"/>
    </row>
    <row r="1272" ht="15.75" customHeight="1">
      <c r="A1272" s="3" t="s">
        <v>12</v>
      </c>
      <c r="B1272" s="3" t="s">
        <v>82</v>
      </c>
      <c r="C1272" s="3" t="s">
        <v>8615</v>
      </c>
      <c r="D1272" s="8" t="str">
        <f t="shared" si="1"/>
        <v>Abrir anúncio ↗</v>
      </c>
      <c r="E1272" s="9" t="s">
        <v>8616</v>
      </c>
      <c r="F1272" s="3" t="s">
        <v>29</v>
      </c>
      <c r="G1272" s="9" t="s">
        <v>3709</v>
      </c>
      <c r="H1272" s="9" t="s">
        <v>6746</v>
      </c>
      <c r="I1272" s="3"/>
      <c r="J1272" s="3"/>
      <c r="K1272" s="9"/>
    </row>
    <row r="1273" ht="15.75" customHeight="1">
      <c r="A1273" s="10" t="s">
        <v>12</v>
      </c>
      <c r="B1273" s="10" t="s">
        <v>82</v>
      </c>
      <c r="C1273" s="10" t="s">
        <v>8617</v>
      </c>
      <c r="D1273" s="11" t="str">
        <f t="shared" si="1"/>
        <v>Abrir anúncio ↗</v>
      </c>
      <c r="E1273" s="12" t="s">
        <v>8618</v>
      </c>
      <c r="F1273" s="10" t="s">
        <v>29</v>
      </c>
      <c r="G1273" s="12" t="s">
        <v>3709</v>
      </c>
      <c r="H1273" s="12" t="s">
        <v>4332</v>
      </c>
      <c r="I1273" s="10"/>
      <c r="J1273" s="10"/>
      <c r="K1273" s="12"/>
    </row>
    <row r="1274" ht="15.75" customHeight="1">
      <c r="A1274" s="3" t="s">
        <v>12</v>
      </c>
      <c r="B1274" s="3" t="s">
        <v>82</v>
      </c>
      <c r="C1274" s="3" t="s">
        <v>8619</v>
      </c>
      <c r="D1274" s="8" t="str">
        <f t="shared" si="1"/>
        <v>Abrir anúncio ↗</v>
      </c>
      <c r="E1274" s="9" t="s">
        <v>8620</v>
      </c>
      <c r="F1274" s="3" t="s">
        <v>29</v>
      </c>
      <c r="G1274" s="9" t="s">
        <v>2390</v>
      </c>
      <c r="H1274" s="9" t="s">
        <v>2392</v>
      </c>
      <c r="I1274" s="3"/>
      <c r="J1274" s="3"/>
      <c r="K1274" s="9"/>
    </row>
    <row r="1275" ht="15.75" customHeight="1">
      <c r="A1275" s="10" t="s">
        <v>12</v>
      </c>
      <c r="B1275" s="10" t="s">
        <v>82</v>
      </c>
      <c r="C1275" s="10" t="s">
        <v>8621</v>
      </c>
      <c r="D1275" s="11" t="str">
        <f t="shared" si="1"/>
        <v>Abrir anúncio ↗</v>
      </c>
      <c r="E1275" s="12" t="s">
        <v>8622</v>
      </c>
      <c r="F1275" s="10" t="s">
        <v>29</v>
      </c>
      <c r="G1275" s="12" t="s">
        <v>3709</v>
      </c>
      <c r="H1275" s="12" t="s">
        <v>5737</v>
      </c>
      <c r="I1275" s="10"/>
      <c r="J1275" s="10"/>
      <c r="K1275" s="12"/>
    </row>
    <row r="1276" ht="15.75" customHeight="1">
      <c r="A1276" s="3" t="s">
        <v>12</v>
      </c>
      <c r="B1276" s="3" t="s">
        <v>82</v>
      </c>
      <c r="C1276" s="3" t="s">
        <v>8623</v>
      </c>
      <c r="D1276" s="8" t="str">
        <f t="shared" si="1"/>
        <v>Abrir anúncio ↗</v>
      </c>
      <c r="E1276" s="9" t="s">
        <v>8624</v>
      </c>
      <c r="F1276" s="3" t="s">
        <v>29</v>
      </c>
      <c r="G1276" s="9" t="s">
        <v>3709</v>
      </c>
      <c r="H1276" s="9" t="s">
        <v>3712</v>
      </c>
      <c r="I1276" s="3"/>
      <c r="J1276" s="3"/>
      <c r="K1276" s="9"/>
    </row>
    <row r="1277" ht="15.75" customHeight="1">
      <c r="A1277" s="10" t="s">
        <v>12</v>
      </c>
      <c r="B1277" s="10" t="s">
        <v>82</v>
      </c>
      <c r="C1277" s="10" t="s">
        <v>8625</v>
      </c>
      <c r="D1277" s="11" t="str">
        <f t="shared" si="1"/>
        <v>Abrir anúncio ↗</v>
      </c>
      <c r="E1277" s="12" t="s">
        <v>8626</v>
      </c>
      <c r="F1277" s="10" t="s">
        <v>29</v>
      </c>
      <c r="G1277" s="12" t="s">
        <v>3709</v>
      </c>
      <c r="H1277" s="12" t="s">
        <v>4443</v>
      </c>
      <c r="I1277" s="10"/>
      <c r="J1277" s="10"/>
      <c r="K1277" s="12"/>
    </row>
    <row r="1278" ht="15.75" customHeight="1">
      <c r="A1278" s="3" t="s">
        <v>12</v>
      </c>
      <c r="B1278" s="3" t="s">
        <v>82</v>
      </c>
      <c r="C1278" s="3" t="s">
        <v>8627</v>
      </c>
      <c r="D1278" s="8" t="str">
        <f t="shared" si="1"/>
        <v>Abrir anúncio ↗</v>
      </c>
      <c r="E1278" s="9" t="s">
        <v>8628</v>
      </c>
      <c r="F1278" s="3" t="s">
        <v>29</v>
      </c>
      <c r="G1278" s="9" t="s">
        <v>3709</v>
      </c>
      <c r="H1278" s="9" t="s">
        <v>4004</v>
      </c>
      <c r="I1278" s="3"/>
      <c r="J1278" s="3"/>
      <c r="K1278" s="9"/>
    </row>
    <row r="1279" ht="15.75" customHeight="1">
      <c r="A1279" s="10" t="s">
        <v>12</v>
      </c>
      <c r="B1279" s="10" t="s">
        <v>82</v>
      </c>
      <c r="C1279" s="10" t="s">
        <v>8629</v>
      </c>
      <c r="D1279" s="11" t="str">
        <f t="shared" si="1"/>
        <v>Abrir anúncio ↗</v>
      </c>
      <c r="E1279" s="12" t="s">
        <v>8632</v>
      </c>
      <c r="F1279" s="10" t="s">
        <v>29</v>
      </c>
      <c r="G1279" s="12" t="s">
        <v>3709</v>
      </c>
      <c r="H1279" s="12" t="s">
        <v>4092</v>
      </c>
      <c r="I1279" s="10"/>
      <c r="J1279" s="10"/>
      <c r="K1279" s="12"/>
    </row>
    <row r="1280" ht="15.75" customHeight="1">
      <c r="A1280" s="3" t="s">
        <v>12</v>
      </c>
      <c r="B1280" s="3" t="s">
        <v>82</v>
      </c>
      <c r="C1280" s="3" t="s">
        <v>8634</v>
      </c>
      <c r="D1280" s="8" t="str">
        <f t="shared" si="1"/>
        <v>Abrir anúncio ↗</v>
      </c>
      <c r="E1280" s="9" t="s">
        <v>8635</v>
      </c>
      <c r="F1280" s="3" t="s">
        <v>29</v>
      </c>
      <c r="G1280" s="9" t="s">
        <v>2390</v>
      </c>
      <c r="H1280" s="9" t="s">
        <v>2392</v>
      </c>
      <c r="I1280" s="3"/>
      <c r="J1280" s="3"/>
      <c r="K1280" s="9"/>
    </row>
    <row r="1281" ht="15.75" customHeight="1">
      <c r="A1281" s="10" t="s">
        <v>12</v>
      </c>
      <c r="B1281" s="10" t="s">
        <v>82</v>
      </c>
      <c r="C1281" s="10" t="s">
        <v>8638</v>
      </c>
      <c r="D1281" s="11" t="str">
        <f t="shared" si="1"/>
        <v>Abrir anúncio ↗</v>
      </c>
      <c r="E1281" s="12" t="s">
        <v>8640</v>
      </c>
      <c r="F1281" s="10" t="s">
        <v>29</v>
      </c>
      <c r="G1281" s="12" t="s">
        <v>3709</v>
      </c>
      <c r="H1281" s="12" t="s">
        <v>3999</v>
      </c>
      <c r="I1281" s="10"/>
      <c r="J1281" s="10"/>
      <c r="K1281" s="12"/>
    </row>
    <row r="1282" ht="15.75" customHeight="1">
      <c r="A1282" s="3" t="s">
        <v>12</v>
      </c>
      <c r="B1282" s="3" t="s">
        <v>82</v>
      </c>
      <c r="C1282" s="3" t="s">
        <v>8641</v>
      </c>
      <c r="D1282" s="8" t="str">
        <f t="shared" si="1"/>
        <v>Abrir anúncio ↗</v>
      </c>
      <c r="E1282" s="9" t="s">
        <v>8642</v>
      </c>
      <c r="F1282" s="3" t="s">
        <v>29</v>
      </c>
      <c r="G1282" s="9" t="s">
        <v>2390</v>
      </c>
      <c r="H1282" s="9" t="s">
        <v>2392</v>
      </c>
      <c r="I1282" s="3"/>
      <c r="J1282" s="3"/>
      <c r="K1282" s="9"/>
    </row>
    <row r="1283" ht="15.75" customHeight="1">
      <c r="A1283" s="10" t="s">
        <v>12</v>
      </c>
      <c r="B1283" s="10" t="s">
        <v>82</v>
      </c>
      <c r="C1283" s="10" t="s">
        <v>8643</v>
      </c>
      <c r="D1283" s="11" t="str">
        <f t="shared" si="1"/>
        <v>Abrir anúncio ↗</v>
      </c>
      <c r="E1283" s="12" t="s">
        <v>8644</v>
      </c>
      <c r="F1283" s="10" t="s">
        <v>29</v>
      </c>
      <c r="G1283" s="12" t="s">
        <v>2390</v>
      </c>
      <c r="H1283" s="12" t="s">
        <v>2392</v>
      </c>
      <c r="I1283" s="10"/>
      <c r="J1283" s="10"/>
      <c r="K1283" s="12"/>
    </row>
    <row r="1284" ht="15.75" customHeight="1">
      <c r="A1284" s="3" t="s">
        <v>12</v>
      </c>
      <c r="B1284" s="3" t="s">
        <v>82</v>
      </c>
      <c r="C1284" s="3" t="s">
        <v>8645</v>
      </c>
      <c r="D1284" s="8" t="str">
        <f t="shared" si="1"/>
        <v>Abrir anúncio ↗</v>
      </c>
      <c r="E1284" s="9" t="s">
        <v>8646</v>
      </c>
      <c r="F1284" s="3" t="s">
        <v>29</v>
      </c>
      <c r="G1284" s="9" t="s">
        <v>3709</v>
      </c>
      <c r="H1284" s="9" t="s">
        <v>4004</v>
      </c>
      <c r="I1284" s="3"/>
      <c r="J1284" s="3"/>
      <c r="K1284" s="9"/>
    </row>
    <row r="1285" ht="15.75" customHeight="1">
      <c r="A1285" s="10" t="s">
        <v>12</v>
      </c>
      <c r="B1285" s="10" t="s">
        <v>82</v>
      </c>
      <c r="C1285" s="10" t="s">
        <v>8647</v>
      </c>
      <c r="D1285" s="11" t="str">
        <f t="shared" si="1"/>
        <v>Abrir anúncio ↗</v>
      </c>
      <c r="E1285" s="12" t="s">
        <v>8648</v>
      </c>
      <c r="F1285" s="10" t="s">
        <v>29</v>
      </c>
      <c r="G1285" s="12" t="s">
        <v>2390</v>
      </c>
      <c r="H1285" s="12" t="s">
        <v>2392</v>
      </c>
      <c r="I1285" s="10"/>
      <c r="J1285" s="10"/>
      <c r="K1285" s="12"/>
    </row>
    <row r="1286" ht="15.75" customHeight="1">
      <c r="A1286" s="3" t="s">
        <v>12</v>
      </c>
      <c r="B1286" s="3" t="s">
        <v>82</v>
      </c>
      <c r="C1286" s="3" t="s">
        <v>8649</v>
      </c>
      <c r="D1286" s="8" t="str">
        <f t="shared" si="1"/>
        <v>Abrir anúncio ↗</v>
      </c>
      <c r="E1286" s="9" t="s">
        <v>8650</v>
      </c>
      <c r="F1286" s="3" t="s">
        <v>29</v>
      </c>
      <c r="G1286" s="9" t="s">
        <v>3709</v>
      </c>
      <c r="H1286" s="9" t="s">
        <v>4075</v>
      </c>
      <c r="I1286" s="3"/>
      <c r="J1286" s="3"/>
      <c r="K1286" s="9"/>
    </row>
    <row r="1287" ht="15.75" customHeight="1">
      <c r="A1287" s="10" t="s">
        <v>12</v>
      </c>
      <c r="B1287" s="10" t="s">
        <v>82</v>
      </c>
      <c r="C1287" s="10" t="s">
        <v>8651</v>
      </c>
      <c r="D1287" s="11" t="str">
        <f t="shared" si="1"/>
        <v>Abrir anúncio ↗</v>
      </c>
      <c r="E1287" s="12" t="s">
        <v>8652</v>
      </c>
      <c r="F1287" s="10" t="s">
        <v>29</v>
      </c>
      <c r="G1287" s="12" t="s">
        <v>2390</v>
      </c>
      <c r="H1287" s="12" t="s">
        <v>2392</v>
      </c>
      <c r="I1287" s="10"/>
      <c r="J1287" s="10"/>
      <c r="K1287" s="12"/>
    </row>
    <row r="1288" ht="15.75" customHeight="1">
      <c r="A1288" s="3" t="s">
        <v>12</v>
      </c>
      <c r="B1288" s="3" t="s">
        <v>82</v>
      </c>
      <c r="C1288" s="3" t="s">
        <v>8653</v>
      </c>
      <c r="D1288" s="8" t="str">
        <f t="shared" si="1"/>
        <v>Abrir anúncio ↗</v>
      </c>
      <c r="E1288" s="9" t="s">
        <v>8654</v>
      </c>
      <c r="F1288" s="3" t="s">
        <v>29</v>
      </c>
      <c r="G1288" s="9" t="s">
        <v>3709</v>
      </c>
      <c r="H1288" s="9" t="s">
        <v>4584</v>
      </c>
      <c r="I1288" s="3"/>
      <c r="J1288" s="3"/>
      <c r="K1288" s="9"/>
    </row>
    <row r="1289" ht="15.75" customHeight="1">
      <c r="A1289" s="10" t="s">
        <v>12</v>
      </c>
      <c r="B1289" s="10" t="s">
        <v>82</v>
      </c>
      <c r="C1289" s="10" t="s">
        <v>8655</v>
      </c>
      <c r="D1289" s="11" t="str">
        <f t="shared" si="1"/>
        <v>Abrir anúncio ↗</v>
      </c>
      <c r="E1289" s="12" t="s">
        <v>8656</v>
      </c>
      <c r="F1289" s="10" t="s">
        <v>29</v>
      </c>
      <c r="G1289" s="12" t="s">
        <v>3709</v>
      </c>
      <c r="H1289" s="12" t="s">
        <v>6233</v>
      </c>
      <c r="I1289" s="10"/>
      <c r="J1289" s="10"/>
      <c r="K1289" s="12"/>
    </row>
    <row r="1290" ht="15.75" customHeight="1">
      <c r="A1290" s="3" t="s">
        <v>12</v>
      </c>
      <c r="B1290" s="3" t="s">
        <v>82</v>
      </c>
      <c r="C1290" s="3" t="s">
        <v>8657</v>
      </c>
      <c r="D1290" s="8" t="str">
        <f t="shared" si="1"/>
        <v>Abrir anúncio ↗</v>
      </c>
      <c r="E1290" s="9" t="s">
        <v>8658</v>
      </c>
      <c r="F1290" s="3" t="s">
        <v>29</v>
      </c>
      <c r="G1290" s="9" t="s">
        <v>3709</v>
      </c>
      <c r="H1290" s="9" t="s">
        <v>4245</v>
      </c>
      <c r="I1290" s="3"/>
      <c r="J1290" s="3"/>
      <c r="K1290" s="9"/>
    </row>
    <row r="1291" ht="15.75" customHeight="1">
      <c r="A1291" s="10" t="s">
        <v>12</v>
      </c>
      <c r="B1291" s="10" t="s">
        <v>82</v>
      </c>
      <c r="C1291" s="10" t="s">
        <v>8659</v>
      </c>
      <c r="D1291" s="11" t="str">
        <f t="shared" si="1"/>
        <v>Abrir anúncio ↗</v>
      </c>
      <c r="E1291" s="12" t="s">
        <v>8660</v>
      </c>
      <c r="F1291" s="10" t="s">
        <v>29</v>
      </c>
      <c r="G1291" s="12" t="s">
        <v>2390</v>
      </c>
      <c r="H1291" s="12" t="s">
        <v>2392</v>
      </c>
      <c r="I1291" s="10"/>
      <c r="J1291" s="10"/>
      <c r="K1291" s="12"/>
    </row>
    <row r="1292" ht="15.75" customHeight="1">
      <c r="A1292" s="3" t="s">
        <v>12</v>
      </c>
      <c r="B1292" s="3" t="s">
        <v>82</v>
      </c>
      <c r="C1292" s="3" t="s">
        <v>8661</v>
      </c>
      <c r="D1292" s="8" t="str">
        <f t="shared" si="1"/>
        <v>Abrir anúncio ↗</v>
      </c>
      <c r="E1292" s="9" t="s">
        <v>8662</v>
      </c>
      <c r="F1292" s="3" t="s">
        <v>29</v>
      </c>
      <c r="G1292" s="9" t="s">
        <v>2390</v>
      </c>
      <c r="H1292" s="9" t="s">
        <v>2392</v>
      </c>
      <c r="I1292" s="3"/>
      <c r="J1292" s="3"/>
      <c r="K1292" s="9"/>
    </row>
    <row r="1293" ht="15.75" customHeight="1">
      <c r="A1293" s="10" t="s">
        <v>12</v>
      </c>
      <c r="B1293" s="10" t="s">
        <v>82</v>
      </c>
      <c r="C1293" s="10" t="s">
        <v>8665</v>
      </c>
      <c r="D1293" s="11" t="str">
        <f t="shared" si="1"/>
        <v>Abrir anúncio ↗</v>
      </c>
      <c r="E1293" s="12" t="s">
        <v>8667</v>
      </c>
      <c r="F1293" s="10" t="s">
        <v>29</v>
      </c>
      <c r="G1293" s="12" t="s">
        <v>3709</v>
      </c>
      <c r="H1293" s="12" t="s">
        <v>4141</v>
      </c>
      <c r="I1293" s="10"/>
      <c r="J1293" s="10"/>
      <c r="K1293" s="12"/>
    </row>
    <row r="1294" ht="15.75" customHeight="1">
      <c r="A1294" s="3" t="s">
        <v>12</v>
      </c>
      <c r="B1294" s="3" t="s">
        <v>82</v>
      </c>
      <c r="C1294" s="3" t="s">
        <v>8668</v>
      </c>
      <c r="D1294" s="8" t="str">
        <f t="shared" si="1"/>
        <v>Abrir anúncio ↗</v>
      </c>
      <c r="E1294" s="9" t="s">
        <v>8669</v>
      </c>
      <c r="F1294" s="3" t="s">
        <v>29</v>
      </c>
      <c r="G1294" s="9" t="s">
        <v>3709</v>
      </c>
      <c r="H1294" s="9" t="s">
        <v>8141</v>
      </c>
      <c r="I1294" s="3"/>
      <c r="J1294" s="3"/>
      <c r="K1294" s="9"/>
    </row>
    <row r="1295" ht="15.75" customHeight="1">
      <c r="A1295" s="10" t="s">
        <v>12</v>
      </c>
      <c r="B1295" s="10" t="s">
        <v>82</v>
      </c>
      <c r="C1295" s="10" t="s">
        <v>7517</v>
      </c>
      <c r="D1295" s="11" t="str">
        <f t="shared" si="1"/>
        <v>Abrir anúncio ↗</v>
      </c>
      <c r="E1295" s="12" t="s">
        <v>7516</v>
      </c>
      <c r="F1295" s="10" t="s">
        <v>29</v>
      </c>
      <c r="G1295" s="12" t="s">
        <v>2390</v>
      </c>
      <c r="H1295" s="12" t="s">
        <v>2392</v>
      </c>
      <c r="I1295" s="10"/>
      <c r="J1295" s="10"/>
      <c r="K1295" s="12"/>
    </row>
    <row r="1296" ht="15.75" customHeight="1">
      <c r="A1296" s="3" t="s">
        <v>12</v>
      </c>
      <c r="B1296" s="3" t="s">
        <v>82</v>
      </c>
      <c r="C1296" s="3" t="s">
        <v>8670</v>
      </c>
      <c r="D1296" s="8" t="str">
        <f t="shared" si="1"/>
        <v>Abrir anúncio ↗</v>
      </c>
      <c r="E1296" s="9" t="s">
        <v>8671</v>
      </c>
      <c r="F1296" s="3" t="s">
        <v>29</v>
      </c>
      <c r="G1296" s="9" t="s">
        <v>2390</v>
      </c>
      <c r="H1296" s="9" t="s">
        <v>2392</v>
      </c>
      <c r="I1296" s="3"/>
      <c r="J1296" s="3"/>
      <c r="K1296" s="9"/>
    </row>
    <row r="1297" ht="15.75" customHeight="1">
      <c r="A1297" s="10" t="s">
        <v>12</v>
      </c>
      <c r="B1297" s="10" t="s">
        <v>82</v>
      </c>
      <c r="C1297" s="10" t="s">
        <v>8672</v>
      </c>
      <c r="D1297" s="11" t="str">
        <f t="shared" si="1"/>
        <v>Abrir anúncio ↗</v>
      </c>
      <c r="E1297" s="12" t="s">
        <v>8673</v>
      </c>
      <c r="F1297" s="10" t="s">
        <v>29</v>
      </c>
      <c r="G1297" s="12" t="s">
        <v>2390</v>
      </c>
      <c r="H1297" s="12" t="s">
        <v>2392</v>
      </c>
      <c r="I1297" s="10"/>
      <c r="J1297" s="10"/>
      <c r="K1297" s="12"/>
    </row>
    <row r="1298" ht="15.75" customHeight="1">
      <c r="A1298" s="3" t="s">
        <v>12</v>
      </c>
      <c r="B1298" s="3" t="s">
        <v>82</v>
      </c>
      <c r="C1298" s="3" t="s">
        <v>8674</v>
      </c>
      <c r="D1298" s="8" t="str">
        <f t="shared" si="1"/>
        <v>Abrir anúncio ↗</v>
      </c>
      <c r="E1298" s="9" t="s">
        <v>8675</v>
      </c>
      <c r="F1298" s="3" t="s">
        <v>29</v>
      </c>
      <c r="G1298" s="9" t="s">
        <v>2390</v>
      </c>
      <c r="H1298" s="9" t="s">
        <v>2392</v>
      </c>
      <c r="I1298" s="3"/>
      <c r="J1298" s="3"/>
      <c r="K1298" s="9"/>
    </row>
    <row r="1299" ht="15.75" customHeight="1">
      <c r="A1299" s="10" t="s">
        <v>12</v>
      </c>
      <c r="B1299" s="10" t="s">
        <v>82</v>
      </c>
      <c r="C1299" s="10" t="s">
        <v>8676</v>
      </c>
      <c r="D1299" s="11" t="str">
        <f t="shared" si="1"/>
        <v>Abrir anúncio ↗</v>
      </c>
      <c r="E1299" s="12" t="s">
        <v>8677</v>
      </c>
      <c r="F1299" s="10" t="s">
        <v>29</v>
      </c>
      <c r="G1299" s="12" t="s">
        <v>2390</v>
      </c>
      <c r="H1299" s="12" t="s">
        <v>2392</v>
      </c>
      <c r="I1299" s="10"/>
      <c r="J1299" s="10"/>
      <c r="K1299" s="12"/>
    </row>
    <row r="1300" ht="15.75" customHeight="1">
      <c r="A1300" s="3" t="s">
        <v>12</v>
      </c>
      <c r="B1300" s="3" t="s">
        <v>82</v>
      </c>
      <c r="C1300" s="3" t="s">
        <v>8443</v>
      </c>
      <c r="D1300" s="8" t="str">
        <f t="shared" si="1"/>
        <v>Abrir anúncio ↗</v>
      </c>
      <c r="E1300" s="9" t="s">
        <v>8439</v>
      </c>
      <c r="F1300" s="3" t="s">
        <v>29</v>
      </c>
      <c r="G1300" s="9" t="s">
        <v>2390</v>
      </c>
      <c r="H1300" s="9" t="s">
        <v>2392</v>
      </c>
      <c r="I1300" s="3"/>
      <c r="J1300" s="3"/>
      <c r="K1300" s="9"/>
    </row>
    <row r="1301" ht="15.75" customHeight="1">
      <c r="A1301" s="10" t="s">
        <v>12</v>
      </c>
      <c r="B1301" s="10" t="s">
        <v>82</v>
      </c>
      <c r="C1301" s="10" t="s">
        <v>8678</v>
      </c>
      <c r="D1301" s="11" t="str">
        <f t="shared" si="1"/>
        <v>Abrir anúncio ↗</v>
      </c>
      <c r="E1301" s="12" t="s">
        <v>8679</v>
      </c>
      <c r="F1301" s="10" t="s">
        <v>29</v>
      </c>
      <c r="G1301" s="12" t="s">
        <v>3422</v>
      </c>
      <c r="H1301" s="12" t="s">
        <v>7998</v>
      </c>
      <c r="I1301" s="10"/>
      <c r="J1301" s="10"/>
      <c r="K1301" s="12"/>
    </row>
    <row r="1302" ht="15.75" customHeight="1">
      <c r="A1302" s="3" t="s">
        <v>12</v>
      </c>
      <c r="B1302" s="3" t="s">
        <v>82</v>
      </c>
      <c r="C1302" s="3" t="s">
        <v>8680</v>
      </c>
      <c r="D1302" s="8" t="str">
        <f t="shared" si="1"/>
        <v>Abrir anúncio ↗</v>
      </c>
      <c r="E1302" s="9" t="s">
        <v>8681</v>
      </c>
      <c r="F1302" s="3" t="s">
        <v>29</v>
      </c>
      <c r="G1302" s="9" t="s">
        <v>3685</v>
      </c>
      <c r="H1302" s="9" t="s">
        <v>3809</v>
      </c>
      <c r="I1302" s="3"/>
      <c r="J1302" s="3"/>
      <c r="K1302" s="9"/>
    </row>
    <row r="1303" ht="15.75" customHeight="1">
      <c r="A1303" s="10" t="s">
        <v>12</v>
      </c>
      <c r="B1303" s="10" t="s">
        <v>82</v>
      </c>
      <c r="C1303" s="10" t="s">
        <v>8682</v>
      </c>
      <c r="D1303" s="11" t="str">
        <f t="shared" si="1"/>
        <v>Abrir anúncio ↗</v>
      </c>
      <c r="E1303" s="12" t="s">
        <v>8683</v>
      </c>
      <c r="F1303" s="10" t="s">
        <v>29</v>
      </c>
      <c r="G1303" s="12" t="s">
        <v>3685</v>
      </c>
      <c r="H1303" s="12" t="s">
        <v>3687</v>
      </c>
      <c r="I1303" s="10"/>
      <c r="J1303" s="10"/>
      <c r="K1303" s="12"/>
    </row>
    <row r="1304" ht="15.75" customHeight="1">
      <c r="A1304" s="3" t="s">
        <v>12</v>
      </c>
      <c r="B1304" s="3" t="s">
        <v>82</v>
      </c>
      <c r="C1304" s="3" t="s">
        <v>8684</v>
      </c>
      <c r="D1304" s="8" t="str">
        <f t="shared" si="1"/>
        <v>Abrir anúncio ↗</v>
      </c>
      <c r="E1304" s="9" t="s">
        <v>8685</v>
      </c>
      <c r="F1304" s="3" t="s">
        <v>29</v>
      </c>
      <c r="G1304" s="9" t="s">
        <v>3685</v>
      </c>
      <c r="H1304" s="9" t="s">
        <v>4315</v>
      </c>
      <c r="I1304" s="3"/>
      <c r="J1304" s="3"/>
      <c r="K1304" s="9"/>
    </row>
    <row r="1305" ht="15.75" customHeight="1">
      <c r="A1305" s="10" t="s">
        <v>12</v>
      </c>
      <c r="B1305" s="10" t="s">
        <v>82</v>
      </c>
      <c r="C1305" s="10" t="s">
        <v>8082</v>
      </c>
      <c r="D1305" s="11" t="str">
        <f t="shared" si="1"/>
        <v>Abrir anúncio ↗</v>
      </c>
      <c r="E1305" s="12" t="s">
        <v>8081</v>
      </c>
      <c r="F1305" s="10" t="s">
        <v>29</v>
      </c>
      <c r="G1305" s="12" t="s">
        <v>2390</v>
      </c>
      <c r="H1305" s="12" t="s">
        <v>2392</v>
      </c>
      <c r="I1305" s="10"/>
      <c r="J1305" s="10"/>
      <c r="K1305" s="12"/>
    </row>
    <row r="1306" ht="15.75" customHeight="1">
      <c r="A1306" s="3" t="s">
        <v>12</v>
      </c>
      <c r="B1306" s="3" t="s">
        <v>82</v>
      </c>
      <c r="C1306" s="3" t="s">
        <v>8686</v>
      </c>
      <c r="D1306" s="8" t="str">
        <f t="shared" si="1"/>
        <v>Abrir anúncio ↗</v>
      </c>
      <c r="E1306" s="9" t="s">
        <v>8687</v>
      </c>
      <c r="F1306" s="3" t="s">
        <v>29</v>
      </c>
      <c r="G1306" s="9" t="s">
        <v>3709</v>
      </c>
      <c r="H1306" s="9" t="s">
        <v>4084</v>
      </c>
      <c r="I1306" s="3"/>
      <c r="J1306" s="3"/>
      <c r="K1306" s="9"/>
    </row>
    <row r="1307" ht="15.75" customHeight="1">
      <c r="A1307" s="10" t="s">
        <v>12</v>
      </c>
      <c r="B1307" s="10" t="s">
        <v>82</v>
      </c>
      <c r="C1307" s="10" t="s">
        <v>8688</v>
      </c>
      <c r="D1307" s="11" t="str">
        <f t="shared" si="1"/>
        <v>Abrir anúncio ↗</v>
      </c>
      <c r="E1307" s="12" t="s">
        <v>8689</v>
      </c>
      <c r="F1307" s="10" t="s">
        <v>29</v>
      </c>
      <c r="G1307" s="12" t="s">
        <v>3709</v>
      </c>
      <c r="H1307" s="12" t="s">
        <v>6260</v>
      </c>
      <c r="I1307" s="10"/>
      <c r="J1307" s="10"/>
      <c r="K1307" s="12"/>
    </row>
    <row r="1308" ht="15.75" customHeight="1">
      <c r="A1308" s="3" t="s">
        <v>12</v>
      </c>
      <c r="B1308" s="3" t="s">
        <v>82</v>
      </c>
      <c r="C1308" s="3" t="s">
        <v>8690</v>
      </c>
      <c r="D1308" s="8" t="str">
        <f t="shared" si="1"/>
        <v>Abrir anúncio ↗</v>
      </c>
      <c r="E1308" s="9" t="s">
        <v>8691</v>
      </c>
      <c r="F1308" s="3" t="s">
        <v>29</v>
      </c>
      <c r="G1308" s="9" t="s">
        <v>3709</v>
      </c>
      <c r="H1308" s="9" t="s">
        <v>5962</v>
      </c>
      <c r="I1308" s="3"/>
      <c r="J1308" s="3"/>
      <c r="K1308" s="9"/>
    </row>
    <row r="1309" ht="15.75" customHeight="1">
      <c r="A1309" s="10" t="s">
        <v>12</v>
      </c>
      <c r="B1309" s="10" t="s">
        <v>82</v>
      </c>
      <c r="C1309" s="10" t="s">
        <v>8692</v>
      </c>
      <c r="D1309" s="11" t="str">
        <f t="shared" si="1"/>
        <v>Abrir anúncio ↗</v>
      </c>
      <c r="E1309" s="12" t="s">
        <v>8693</v>
      </c>
      <c r="F1309" s="10" t="s">
        <v>29</v>
      </c>
      <c r="G1309" s="12" t="s">
        <v>2390</v>
      </c>
      <c r="H1309" s="12" t="s">
        <v>2392</v>
      </c>
      <c r="I1309" s="10"/>
      <c r="J1309" s="10"/>
      <c r="K1309" s="12"/>
    </row>
    <row r="1310" ht="15.75" customHeight="1">
      <c r="A1310" s="3" t="s">
        <v>12</v>
      </c>
      <c r="B1310" s="3" t="s">
        <v>82</v>
      </c>
      <c r="C1310" s="3" t="s">
        <v>8694</v>
      </c>
      <c r="D1310" s="8" t="str">
        <f t="shared" si="1"/>
        <v>Abrir anúncio ↗</v>
      </c>
      <c r="E1310" s="9" t="s">
        <v>8695</v>
      </c>
      <c r="F1310" s="3" t="s">
        <v>29</v>
      </c>
      <c r="G1310" s="9" t="s">
        <v>3709</v>
      </c>
      <c r="H1310" s="9" t="s">
        <v>6260</v>
      </c>
      <c r="I1310" s="3"/>
      <c r="J1310" s="3"/>
      <c r="K1310" s="9"/>
    </row>
    <row r="1311" ht="15.75" customHeight="1">
      <c r="A1311" s="10" t="s">
        <v>12</v>
      </c>
      <c r="B1311" s="10" t="s">
        <v>82</v>
      </c>
      <c r="C1311" s="10" t="s">
        <v>8696</v>
      </c>
      <c r="D1311" s="11" t="str">
        <f t="shared" si="1"/>
        <v>Abrir anúncio ↗</v>
      </c>
      <c r="E1311" s="12" t="s">
        <v>8697</v>
      </c>
      <c r="F1311" s="10" t="s">
        <v>29</v>
      </c>
      <c r="G1311" s="12" t="s">
        <v>3709</v>
      </c>
      <c r="H1311" s="12" t="s">
        <v>3712</v>
      </c>
      <c r="I1311" s="10"/>
      <c r="J1311" s="10"/>
      <c r="K1311" s="12"/>
    </row>
    <row r="1312" ht="15.75" customHeight="1">
      <c r="A1312" s="3" t="s">
        <v>12</v>
      </c>
      <c r="B1312" s="3" t="s">
        <v>82</v>
      </c>
      <c r="C1312" s="3" t="s">
        <v>8698</v>
      </c>
      <c r="D1312" s="8" t="str">
        <f t="shared" si="1"/>
        <v>Abrir anúncio ↗</v>
      </c>
      <c r="E1312" s="9" t="s">
        <v>8699</v>
      </c>
      <c r="F1312" s="3" t="s">
        <v>29</v>
      </c>
      <c r="G1312" s="9" t="s">
        <v>3709</v>
      </c>
      <c r="H1312" s="9" t="s">
        <v>3904</v>
      </c>
      <c r="I1312" s="3"/>
      <c r="J1312" s="3"/>
      <c r="K1312" s="9"/>
    </row>
    <row r="1313" ht="15.75" customHeight="1">
      <c r="A1313" s="10" t="s">
        <v>12</v>
      </c>
      <c r="B1313" s="10" t="s">
        <v>82</v>
      </c>
      <c r="C1313" s="10" t="s">
        <v>8700</v>
      </c>
      <c r="D1313" s="11" t="str">
        <f t="shared" si="1"/>
        <v>Abrir anúncio ↗</v>
      </c>
      <c r="E1313" s="12" t="s">
        <v>8701</v>
      </c>
      <c r="F1313" s="10" t="s">
        <v>29</v>
      </c>
      <c r="G1313" s="12" t="s">
        <v>2390</v>
      </c>
      <c r="H1313" s="12" t="s">
        <v>2392</v>
      </c>
      <c r="I1313" s="10"/>
      <c r="J1313" s="10"/>
      <c r="K1313" s="12"/>
    </row>
    <row r="1314" ht="15.75" customHeight="1">
      <c r="A1314" s="3" t="s">
        <v>12</v>
      </c>
      <c r="B1314" s="3" t="s">
        <v>82</v>
      </c>
      <c r="C1314" s="3" t="s">
        <v>8702</v>
      </c>
      <c r="D1314" s="8" t="str">
        <f t="shared" si="1"/>
        <v>Abrir anúncio ↗</v>
      </c>
      <c r="E1314" s="9" t="s">
        <v>8703</v>
      </c>
      <c r="F1314" s="3" t="s">
        <v>29</v>
      </c>
      <c r="G1314" s="9" t="s">
        <v>2390</v>
      </c>
      <c r="H1314" s="9" t="s">
        <v>2392</v>
      </c>
      <c r="I1314" s="3"/>
      <c r="J1314" s="3"/>
      <c r="K1314" s="9"/>
    </row>
    <row r="1315" ht="15.75" customHeight="1">
      <c r="A1315" s="10" t="s">
        <v>12</v>
      </c>
      <c r="B1315" s="10" t="s">
        <v>82</v>
      </c>
      <c r="C1315" s="10" t="s">
        <v>8704</v>
      </c>
      <c r="D1315" s="11" t="str">
        <f t="shared" si="1"/>
        <v>Abrir anúncio ↗</v>
      </c>
      <c r="E1315" s="12" t="s">
        <v>8705</v>
      </c>
      <c r="F1315" s="10" t="s">
        <v>29</v>
      </c>
      <c r="G1315" s="12" t="s">
        <v>3709</v>
      </c>
      <c r="H1315" s="12" t="s">
        <v>4084</v>
      </c>
      <c r="I1315" s="10"/>
      <c r="J1315" s="10"/>
      <c r="K1315" s="12"/>
    </row>
    <row r="1316" ht="15.75" customHeight="1">
      <c r="A1316" s="3" t="s">
        <v>12</v>
      </c>
      <c r="B1316" s="3" t="s">
        <v>82</v>
      </c>
      <c r="C1316" s="3" t="s">
        <v>8706</v>
      </c>
      <c r="D1316" s="8" t="str">
        <f t="shared" si="1"/>
        <v>Abrir anúncio ↗</v>
      </c>
      <c r="E1316" s="9" t="s">
        <v>8707</v>
      </c>
      <c r="F1316" s="3" t="s">
        <v>29</v>
      </c>
      <c r="G1316" s="9" t="s">
        <v>3709</v>
      </c>
      <c r="H1316" s="9" t="s">
        <v>4233</v>
      </c>
      <c r="I1316" s="3"/>
      <c r="J1316" s="3"/>
      <c r="K1316" s="9"/>
    </row>
    <row r="1317" ht="15.75" customHeight="1">
      <c r="A1317" s="10" t="s">
        <v>12</v>
      </c>
      <c r="B1317" s="10" t="s">
        <v>82</v>
      </c>
      <c r="C1317" s="10" t="s">
        <v>8708</v>
      </c>
      <c r="D1317" s="11" t="str">
        <f t="shared" si="1"/>
        <v>Abrir anúncio ↗</v>
      </c>
      <c r="E1317" s="12" t="s">
        <v>8709</v>
      </c>
      <c r="F1317" s="10" t="s">
        <v>29</v>
      </c>
      <c r="G1317" s="12" t="s">
        <v>3709</v>
      </c>
      <c r="H1317" s="12" t="s">
        <v>4443</v>
      </c>
      <c r="I1317" s="10"/>
      <c r="J1317" s="10"/>
      <c r="K1317" s="12"/>
    </row>
    <row r="1318" ht="15.75" customHeight="1">
      <c r="A1318" s="3" t="s">
        <v>12</v>
      </c>
      <c r="B1318" s="3" t="s">
        <v>82</v>
      </c>
      <c r="C1318" s="3" t="s">
        <v>8710</v>
      </c>
      <c r="D1318" s="8" t="str">
        <f t="shared" si="1"/>
        <v>Abrir anúncio ↗</v>
      </c>
      <c r="E1318" s="9" t="s">
        <v>8711</v>
      </c>
      <c r="F1318" s="3" t="s">
        <v>29</v>
      </c>
      <c r="G1318" s="9" t="s">
        <v>3709</v>
      </c>
      <c r="H1318" s="9" t="s">
        <v>4058</v>
      </c>
      <c r="I1318" s="3"/>
      <c r="J1318" s="3"/>
      <c r="K1318" s="9"/>
    </row>
    <row r="1319" ht="15.75" customHeight="1">
      <c r="A1319" s="10" t="s">
        <v>12</v>
      </c>
      <c r="B1319" s="10" t="s">
        <v>82</v>
      </c>
      <c r="C1319" s="10" t="s">
        <v>8163</v>
      </c>
      <c r="D1319" s="11" t="str">
        <f t="shared" si="1"/>
        <v>Abrir anúncio ↗</v>
      </c>
      <c r="E1319" s="12" t="s">
        <v>8159</v>
      </c>
      <c r="F1319" s="10" t="s">
        <v>29</v>
      </c>
      <c r="G1319" s="12" t="s">
        <v>5946</v>
      </c>
      <c r="H1319" s="12" t="s">
        <v>5948</v>
      </c>
      <c r="I1319" s="10"/>
      <c r="J1319" s="10"/>
      <c r="K1319" s="12"/>
    </row>
    <row r="1320" ht="15.75" customHeight="1">
      <c r="A1320" s="3" t="s">
        <v>12</v>
      </c>
      <c r="B1320" s="3" t="s">
        <v>82</v>
      </c>
      <c r="C1320" s="3" t="s">
        <v>8712</v>
      </c>
      <c r="D1320" s="8" t="str">
        <f t="shared" si="1"/>
        <v>Abrir anúncio ↗</v>
      </c>
      <c r="E1320" s="9" t="s">
        <v>8713</v>
      </c>
      <c r="F1320" s="3" t="s">
        <v>29</v>
      </c>
      <c r="G1320" s="9" t="s">
        <v>2390</v>
      </c>
      <c r="H1320" s="9" t="s">
        <v>2392</v>
      </c>
      <c r="I1320" s="3"/>
      <c r="J1320" s="3"/>
      <c r="K1320" s="9"/>
    </row>
    <row r="1321" ht="15.75" customHeight="1">
      <c r="A1321" s="10" t="s">
        <v>12</v>
      </c>
      <c r="B1321" s="10" t="s">
        <v>82</v>
      </c>
      <c r="C1321" s="10" t="s">
        <v>8714</v>
      </c>
      <c r="D1321" s="11" t="str">
        <f t="shared" si="1"/>
        <v>Abrir anúncio ↗</v>
      </c>
      <c r="E1321" s="12" t="s">
        <v>8715</v>
      </c>
      <c r="F1321" s="10" t="s">
        <v>29</v>
      </c>
      <c r="G1321" s="12" t="s">
        <v>3709</v>
      </c>
      <c r="H1321" s="12" t="s">
        <v>4245</v>
      </c>
      <c r="I1321" s="10"/>
      <c r="J1321" s="10"/>
      <c r="K1321" s="12"/>
    </row>
    <row r="1322" ht="15.75" customHeight="1">
      <c r="A1322" s="3" t="s">
        <v>12</v>
      </c>
      <c r="B1322" s="3" t="s">
        <v>82</v>
      </c>
      <c r="C1322" s="3" t="s">
        <v>8716</v>
      </c>
      <c r="D1322" s="8" t="str">
        <f t="shared" si="1"/>
        <v>Abrir anúncio ↗</v>
      </c>
      <c r="E1322" s="9" t="s">
        <v>8717</v>
      </c>
      <c r="F1322" s="3" t="s">
        <v>29</v>
      </c>
      <c r="G1322" s="9" t="s">
        <v>3709</v>
      </c>
      <c r="H1322" s="9" t="s">
        <v>4245</v>
      </c>
      <c r="I1322" s="3"/>
      <c r="J1322" s="3"/>
      <c r="K1322" s="9"/>
    </row>
    <row r="1323" ht="15.75" customHeight="1">
      <c r="A1323" s="10" t="s">
        <v>12</v>
      </c>
      <c r="B1323" s="10" t="s">
        <v>82</v>
      </c>
      <c r="C1323" s="10" t="s">
        <v>8718</v>
      </c>
      <c r="D1323" s="11" t="str">
        <f t="shared" si="1"/>
        <v>Abrir anúncio ↗</v>
      </c>
      <c r="E1323" s="12" t="s">
        <v>8719</v>
      </c>
      <c r="F1323" s="10" t="s">
        <v>29</v>
      </c>
      <c r="G1323" s="12" t="s">
        <v>3709</v>
      </c>
      <c r="H1323" s="12" t="s">
        <v>4075</v>
      </c>
      <c r="I1323" s="10"/>
      <c r="J1323" s="10"/>
      <c r="K1323" s="12"/>
    </row>
    <row r="1324" ht="15.75" customHeight="1">
      <c r="A1324" s="3" t="s">
        <v>12</v>
      </c>
      <c r="B1324" s="3" t="s">
        <v>82</v>
      </c>
      <c r="C1324" s="3" t="s">
        <v>8720</v>
      </c>
      <c r="D1324" s="8" t="str">
        <f t="shared" si="1"/>
        <v>Abrir anúncio ↗</v>
      </c>
      <c r="E1324" s="9" t="s">
        <v>8721</v>
      </c>
      <c r="F1324" s="3" t="s">
        <v>29</v>
      </c>
      <c r="G1324" s="9" t="s">
        <v>3709</v>
      </c>
      <c r="H1324" s="9" t="s">
        <v>4141</v>
      </c>
      <c r="I1324" s="3"/>
      <c r="J1324" s="3"/>
      <c r="K1324" s="9"/>
    </row>
    <row r="1325" ht="15.75" customHeight="1">
      <c r="A1325" s="10" t="s">
        <v>12</v>
      </c>
      <c r="B1325" s="10" t="s">
        <v>82</v>
      </c>
      <c r="C1325" s="10" t="s">
        <v>8722</v>
      </c>
      <c r="D1325" s="11" t="str">
        <f t="shared" si="1"/>
        <v>Abrir anúncio ↗</v>
      </c>
      <c r="E1325" s="12" t="s">
        <v>8723</v>
      </c>
      <c r="F1325" s="10" t="s">
        <v>29</v>
      </c>
      <c r="G1325" s="12" t="s">
        <v>3709</v>
      </c>
      <c r="H1325" s="12" t="s">
        <v>3999</v>
      </c>
      <c r="I1325" s="10"/>
      <c r="J1325" s="10"/>
      <c r="K1325" s="12"/>
    </row>
    <row r="1326" ht="15.75" customHeight="1">
      <c r="A1326" s="3" t="s">
        <v>12</v>
      </c>
      <c r="B1326" s="3" t="s">
        <v>82</v>
      </c>
      <c r="C1326" s="3" t="s">
        <v>8724</v>
      </c>
      <c r="D1326" s="8" t="str">
        <f t="shared" si="1"/>
        <v>Abrir anúncio ↗</v>
      </c>
      <c r="E1326" s="9" t="s">
        <v>8725</v>
      </c>
      <c r="F1326" s="3" t="s">
        <v>29</v>
      </c>
      <c r="G1326" s="9" t="s">
        <v>3709</v>
      </c>
      <c r="H1326" s="9" t="s">
        <v>4443</v>
      </c>
      <c r="I1326" s="3"/>
      <c r="J1326" s="3"/>
      <c r="K1326" s="9"/>
    </row>
    <row r="1327" ht="15.75" customHeight="1">
      <c r="A1327" s="10" t="s">
        <v>12</v>
      </c>
      <c r="B1327" s="10" t="s">
        <v>82</v>
      </c>
      <c r="C1327" s="10" t="s">
        <v>8726</v>
      </c>
      <c r="D1327" s="11" t="str">
        <f t="shared" si="1"/>
        <v>Abrir anúncio ↗</v>
      </c>
      <c r="E1327" s="12" t="s">
        <v>8727</v>
      </c>
      <c r="F1327" s="10" t="s">
        <v>29</v>
      </c>
      <c r="G1327" s="12" t="s">
        <v>3709</v>
      </c>
      <c r="H1327" s="12" t="s">
        <v>4284</v>
      </c>
      <c r="I1327" s="10"/>
      <c r="J1327" s="10"/>
      <c r="K1327" s="12"/>
    </row>
    <row r="1328" ht="15.75" customHeight="1">
      <c r="A1328" s="3" t="s">
        <v>12</v>
      </c>
      <c r="B1328" s="3" t="s">
        <v>82</v>
      </c>
      <c r="C1328" s="3" t="s">
        <v>8728</v>
      </c>
      <c r="D1328" s="8" t="str">
        <f t="shared" si="1"/>
        <v>Abrir anúncio ↗</v>
      </c>
      <c r="E1328" s="9" t="s">
        <v>8729</v>
      </c>
      <c r="F1328" s="3" t="s">
        <v>29</v>
      </c>
      <c r="G1328" s="9" t="s">
        <v>5774</v>
      </c>
      <c r="H1328" s="9" t="s">
        <v>8730</v>
      </c>
      <c r="I1328" s="3"/>
      <c r="J1328" s="3"/>
      <c r="K1328" s="9"/>
    </row>
    <row r="1329" ht="15.75" customHeight="1">
      <c r="A1329" s="10" t="s">
        <v>12</v>
      </c>
      <c r="B1329" s="10" t="s">
        <v>82</v>
      </c>
      <c r="C1329" s="10" t="s">
        <v>8731</v>
      </c>
      <c r="D1329" s="11" t="str">
        <f t="shared" si="1"/>
        <v>Abrir anúncio ↗</v>
      </c>
      <c r="E1329" s="12" t="s">
        <v>8732</v>
      </c>
      <c r="F1329" s="10" t="s">
        <v>29</v>
      </c>
      <c r="G1329" s="12" t="s">
        <v>3685</v>
      </c>
      <c r="H1329" s="12" t="s">
        <v>3917</v>
      </c>
      <c r="I1329" s="10"/>
      <c r="J1329" s="10"/>
      <c r="K1329" s="12"/>
    </row>
    <row r="1330" ht="15.75" customHeight="1">
      <c r="A1330" s="3" t="s">
        <v>12</v>
      </c>
      <c r="B1330" s="3" t="s">
        <v>82</v>
      </c>
      <c r="C1330" s="3" t="s">
        <v>8733</v>
      </c>
      <c r="D1330" s="8" t="str">
        <f t="shared" si="1"/>
        <v>Abrir anúncio ↗</v>
      </c>
      <c r="E1330" s="9" t="s">
        <v>8734</v>
      </c>
      <c r="F1330" s="3" t="s">
        <v>29</v>
      </c>
      <c r="G1330" s="9" t="s">
        <v>3709</v>
      </c>
      <c r="H1330" s="9" t="s">
        <v>3904</v>
      </c>
      <c r="I1330" s="3"/>
      <c r="J1330" s="3"/>
      <c r="K1330" s="9"/>
    </row>
    <row r="1331" ht="15.75" customHeight="1">
      <c r="A1331" s="10" t="s">
        <v>12</v>
      </c>
      <c r="B1331" s="10" t="s">
        <v>82</v>
      </c>
      <c r="C1331" s="10" t="s">
        <v>8735</v>
      </c>
      <c r="D1331" s="11" t="str">
        <f t="shared" si="1"/>
        <v>Abrir anúncio ↗</v>
      </c>
      <c r="E1331" s="12" t="s">
        <v>8736</v>
      </c>
      <c r="F1331" s="10" t="s">
        <v>29</v>
      </c>
      <c r="G1331" s="12" t="s">
        <v>3709</v>
      </c>
      <c r="H1331" s="12" t="s">
        <v>4075</v>
      </c>
      <c r="I1331" s="10"/>
      <c r="J1331" s="10"/>
      <c r="K1331" s="12"/>
    </row>
    <row r="1332" ht="15.75" customHeight="1">
      <c r="A1332" s="3" t="s">
        <v>12</v>
      </c>
      <c r="B1332" s="3" t="s">
        <v>82</v>
      </c>
      <c r="C1332" s="3" t="s">
        <v>8737</v>
      </c>
      <c r="D1332" s="8" t="str">
        <f t="shared" si="1"/>
        <v>Abrir anúncio ↗</v>
      </c>
      <c r="E1332" s="9" t="s">
        <v>8738</v>
      </c>
      <c r="F1332" s="3" t="s">
        <v>29</v>
      </c>
      <c r="G1332" s="9" t="s">
        <v>2390</v>
      </c>
      <c r="H1332" s="9" t="s">
        <v>2392</v>
      </c>
      <c r="I1332" s="3"/>
      <c r="J1332" s="3"/>
      <c r="K1332" s="9"/>
    </row>
    <row r="1333" ht="15.75" customHeight="1">
      <c r="A1333" s="10" t="s">
        <v>12</v>
      </c>
      <c r="B1333" s="10" t="s">
        <v>82</v>
      </c>
      <c r="C1333" s="10" t="s">
        <v>8739</v>
      </c>
      <c r="D1333" s="11" t="str">
        <f t="shared" si="1"/>
        <v>Abrir anúncio ↗</v>
      </c>
      <c r="E1333" s="12" t="s">
        <v>8740</v>
      </c>
      <c r="F1333" s="10" t="s">
        <v>29</v>
      </c>
      <c r="G1333" s="12" t="s">
        <v>3709</v>
      </c>
      <c r="H1333" s="12" t="s">
        <v>4284</v>
      </c>
      <c r="I1333" s="10"/>
      <c r="J1333" s="10"/>
      <c r="K1333" s="12"/>
    </row>
    <row r="1334" ht="15.75" customHeight="1">
      <c r="A1334" s="3" t="s">
        <v>12</v>
      </c>
      <c r="B1334" s="3" t="s">
        <v>82</v>
      </c>
      <c r="C1334" s="3" t="s">
        <v>8741</v>
      </c>
      <c r="D1334" s="8" t="str">
        <f t="shared" si="1"/>
        <v>Abrir anúncio ↗</v>
      </c>
      <c r="E1334" s="9" t="s">
        <v>8742</v>
      </c>
      <c r="F1334" s="3" t="s">
        <v>29</v>
      </c>
      <c r="G1334" s="9" t="s">
        <v>3709</v>
      </c>
      <c r="H1334" s="9" t="s">
        <v>5737</v>
      </c>
      <c r="I1334" s="3"/>
      <c r="J1334" s="3"/>
      <c r="K1334" s="9"/>
    </row>
    <row r="1335" ht="15.75" customHeight="1">
      <c r="A1335" s="10" t="s">
        <v>12</v>
      </c>
      <c r="B1335" s="10" t="s">
        <v>82</v>
      </c>
      <c r="C1335" s="10" t="s">
        <v>8743</v>
      </c>
      <c r="D1335" s="11" t="str">
        <f t="shared" si="1"/>
        <v>Abrir anúncio ↗</v>
      </c>
      <c r="E1335" s="12" t="s">
        <v>8744</v>
      </c>
      <c r="F1335" s="10" t="s">
        <v>29</v>
      </c>
      <c r="G1335" s="12" t="s">
        <v>3709</v>
      </c>
      <c r="H1335" s="12" t="s">
        <v>4141</v>
      </c>
      <c r="I1335" s="10"/>
      <c r="J1335" s="10"/>
      <c r="K1335" s="12"/>
    </row>
    <row r="1336" ht="15.75" customHeight="1">
      <c r="A1336" s="3" t="s">
        <v>12</v>
      </c>
      <c r="B1336" s="3" t="s">
        <v>82</v>
      </c>
      <c r="C1336" s="3" t="s">
        <v>8745</v>
      </c>
      <c r="D1336" s="8" t="str">
        <f t="shared" si="1"/>
        <v>Abrir anúncio ↗</v>
      </c>
      <c r="E1336" s="9" t="s">
        <v>8746</v>
      </c>
      <c r="F1336" s="3" t="s">
        <v>29</v>
      </c>
      <c r="G1336" s="9" t="s">
        <v>3709</v>
      </c>
      <c r="H1336" s="9" t="s">
        <v>3904</v>
      </c>
      <c r="I1336" s="3"/>
      <c r="J1336" s="3"/>
      <c r="K1336" s="9"/>
    </row>
    <row r="1337" ht="15.75" customHeight="1">
      <c r="A1337" s="10" t="s">
        <v>12</v>
      </c>
      <c r="B1337" s="10" t="s">
        <v>82</v>
      </c>
      <c r="C1337" s="10" t="s">
        <v>8747</v>
      </c>
      <c r="D1337" s="11" t="str">
        <f t="shared" si="1"/>
        <v>Abrir anúncio ↗</v>
      </c>
      <c r="E1337" s="12" t="s">
        <v>8748</v>
      </c>
      <c r="F1337" s="10" t="s">
        <v>29</v>
      </c>
      <c r="G1337" s="12" t="s">
        <v>3709</v>
      </c>
      <c r="H1337" s="12" t="s">
        <v>4245</v>
      </c>
      <c r="I1337" s="10"/>
      <c r="J1337" s="10"/>
      <c r="K1337" s="12"/>
    </row>
    <row r="1338" ht="15.75" customHeight="1">
      <c r="A1338" s="3" t="s">
        <v>12</v>
      </c>
      <c r="B1338" s="3" t="s">
        <v>82</v>
      </c>
      <c r="C1338" s="3" t="s">
        <v>8749</v>
      </c>
      <c r="D1338" s="8" t="str">
        <f t="shared" si="1"/>
        <v>Abrir anúncio ↗</v>
      </c>
      <c r="E1338" s="9" t="s">
        <v>8750</v>
      </c>
      <c r="F1338" s="3" t="s">
        <v>29</v>
      </c>
      <c r="G1338" s="9" t="s">
        <v>3709</v>
      </c>
      <c r="H1338" s="9" t="s">
        <v>3725</v>
      </c>
      <c r="I1338" s="3"/>
      <c r="J1338" s="3"/>
      <c r="K1338" s="9"/>
    </row>
    <row r="1339" ht="15.75" customHeight="1">
      <c r="A1339" s="10" t="s">
        <v>12</v>
      </c>
      <c r="B1339" s="10" t="s">
        <v>82</v>
      </c>
      <c r="C1339" s="10" t="s">
        <v>8751</v>
      </c>
      <c r="D1339" s="11" t="str">
        <f t="shared" si="1"/>
        <v>Abrir anúncio ↗</v>
      </c>
      <c r="E1339" s="12" t="s">
        <v>8752</v>
      </c>
      <c r="F1339" s="10" t="s">
        <v>29</v>
      </c>
      <c r="G1339" s="12" t="s">
        <v>3709</v>
      </c>
      <c r="H1339" s="12" t="s">
        <v>4245</v>
      </c>
      <c r="I1339" s="10"/>
      <c r="J1339" s="10"/>
      <c r="K1339" s="12"/>
    </row>
    <row r="1340" ht="15.75" customHeight="1">
      <c r="A1340" s="3" t="s">
        <v>12</v>
      </c>
      <c r="B1340" s="3" t="s">
        <v>82</v>
      </c>
      <c r="C1340" s="3" t="s">
        <v>8753</v>
      </c>
      <c r="D1340" s="8" t="str">
        <f t="shared" si="1"/>
        <v>Abrir anúncio ↗</v>
      </c>
      <c r="E1340" s="9" t="s">
        <v>8754</v>
      </c>
      <c r="F1340" s="3" t="s">
        <v>29</v>
      </c>
      <c r="G1340" s="9" t="s">
        <v>3709</v>
      </c>
      <c r="H1340" s="9" t="s">
        <v>4590</v>
      </c>
      <c r="I1340" s="3"/>
      <c r="J1340" s="3"/>
      <c r="K1340" s="9"/>
    </row>
    <row r="1341" ht="15.75" customHeight="1">
      <c r="A1341" s="10" t="s">
        <v>12</v>
      </c>
      <c r="B1341" s="10" t="s">
        <v>82</v>
      </c>
      <c r="C1341" s="10" t="s">
        <v>8756</v>
      </c>
      <c r="D1341" s="11" t="str">
        <f t="shared" si="1"/>
        <v>Abrir anúncio ↗</v>
      </c>
      <c r="E1341" s="12" t="s">
        <v>8757</v>
      </c>
      <c r="F1341" s="10" t="s">
        <v>29</v>
      </c>
      <c r="G1341" s="12" t="s">
        <v>3709</v>
      </c>
      <c r="H1341" s="12" t="s">
        <v>3712</v>
      </c>
      <c r="I1341" s="10"/>
      <c r="J1341" s="10"/>
      <c r="K1341" s="12"/>
    </row>
    <row r="1342" ht="15.75" customHeight="1">
      <c r="A1342" s="3" t="s">
        <v>12</v>
      </c>
      <c r="B1342" s="3" t="s">
        <v>82</v>
      </c>
      <c r="C1342" s="3" t="s">
        <v>8758</v>
      </c>
      <c r="D1342" s="8" t="str">
        <f t="shared" si="1"/>
        <v>Abrir anúncio ↗</v>
      </c>
      <c r="E1342" s="9" t="s">
        <v>8760</v>
      </c>
      <c r="F1342" s="3" t="s">
        <v>29</v>
      </c>
      <c r="G1342" s="9" t="s">
        <v>3709</v>
      </c>
      <c r="H1342" s="9" t="s">
        <v>4245</v>
      </c>
      <c r="I1342" s="3"/>
      <c r="J1342" s="3"/>
      <c r="K1342" s="9"/>
    </row>
    <row r="1343" ht="15.75" customHeight="1">
      <c r="A1343" s="10" t="s">
        <v>12</v>
      </c>
      <c r="B1343" s="10" t="s">
        <v>82</v>
      </c>
      <c r="C1343" s="10" t="s">
        <v>8761</v>
      </c>
      <c r="D1343" s="11" t="str">
        <f t="shared" si="1"/>
        <v>Abrir anúncio ↗</v>
      </c>
      <c r="E1343" s="12" t="s">
        <v>8762</v>
      </c>
      <c r="F1343" s="10" t="s">
        <v>29</v>
      </c>
      <c r="G1343" s="12" t="s">
        <v>3709</v>
      </c>
      <c r="H1343" s="12" t="s">
        <v>4092</v>
      </c>
      <c r="I1343" s="10"/>
      <c r="J1343" s="10"/>
      <c r="K1343" s="12"/>
    </row>
    <row r="1344" ht="15.75" customHeight="1">
      <c r="A1344" s="3" t="s">
        <v>12</v>
      </c>
      <c r="B1344" s="3" t="s">
        <v>82</v>
      </c>
      <c r="C1344" s="3" t="s">
        <v>8764</v>
      </c>
      <c r="D1344" s="8" t="str">
        <f t="shared" si="1"/>
        <v>Abrir anúncio ↗</v>
      </c>
      <c r="E1344" s="9" t="s">
        <v>8765</v>
      </c>
      <c r="F1344" s="3" t="s">
        <v>29</v>
      </c>
      <c r="G1344" s="9" t="s">
        <v>3709</v>
      </c>
      <c r="H1344" s="9" t="s">
        <v>4004</v>
      </c>
      <c r="I1344" s="3"/>
      <c r="J1344" s="3"/>
      <c r="K1344" s="9"/>
    </row>
    <row r="1345" ht="15.75" customHeight="1">
      <c r="A1345" s="10" t="s">
        <v>12</v>
      </c>
      <c r="B1345" s="10" t="s">
        <v>82</v>
      </c>
      <c r="C1345" s="10" t="s">
        <v>8767</v>
      </c>
      <c r="D1345" s="11" t="str">
        <f t="shared" si="1"/>
        <v>Abrir anúncio ↗</v>
      </c>
      <c r="E1345" s="12" t="s">
        <v>8768</v>
      </c>
      <c r="F1345" s="10" t="s">
        <v>29</v>
      </c>
      <c r="G1345" s="12" t="s">
        <v>3709</v>
      </c>
      <c r="H1345" s="12" t="s">
        <v>4141</v>
      </c>
      <c r="I1345" s="10"/>
      <c r="J1345" s="10"/>
      <c r="K1345" s="12"/>
    </row>
    <row r="1346" ht="15.75" customHeight="1">
      <c r="A1346" s="3" t="s">
        <v>12</v>
      </c>
      <c r="B1346" s="3" t="s">
        <v>82</v>
      </c>
      <c r="C1346" s="3" t="s">
        <v>8771</v>
      </c>
      <c r="D1346" s="8" t="str">
        <f t="shared" si="1"/>
        <v>Abrir anúncio ↗</v>
      </c>
      <c r="E1346" s="9" t="s">
        <v>8772</v>
      </c>
      <c r="F1346" s="3" t="s">
        <v>29</v>
      </c>
      <c r="G1346" s="9" t="s">
        <v>3709</v>
      </c>
      <c r="H1346" s="9" t="s">
        <v>4284</v>
      </c>
      <c r="I1346" s="3"/>
      <c r="J1346" s="3"/>
      <c r="K1346" s="9"/>
    </row>
    <row r="1347" ht="15.75" customHeight="1">
      <c r="A1347" s="10" t="s">
        <v>12</v>
      </c>
      <c r="B1347" s="10" t="s">
        <v>82</v>
      </c>
      <c r="C1347" s="10" t="s">
        <v>8774</v>
      </c>
      <c r="D1347" s="11" t="str">
        <f t="shared" si="1"/>
        <v>Abrir anúncio ↗</v>
      </c>
      <c r="E1347" s="12" t="s">
        <v>8775</v>
      </c>
      <c r="F1347" s="10" t="s">
        <v>29</v>
      </c>
      <c r="G1347" s="12" t="s">
        <v>3709</v>
      </c>
      <c r="H1347" s="12" t="s">
        <v>4146</v>
      </c>
      <c r="I1347" s="10"/>
      <c r="J1347" s="10"/>
      <c r="K1347" s="12"/>
    </row>
    <row r="1348" ht="15.75" customHeight="1">
      <c r="A1348" s="3" t="s">
        <v>12</v>
      </c>
      <c r="B1348" s="3" t="s">
        <v>82</v>
      </c>
      <c r="C1348" s="3" t="s">
        <v>8777</v>
      </c>
      <c r="D1348" s="8" t="str">
        <f t="shared" si="1"/>
        <v>Abrir anúncio ↗</v>
      </c>
      <c r="E1348" s="9" t="s">
        <v>8778</v>
      </c>
      <c r="F1348" s="3" t="s">
        <v>29</v>
      </c>
      <c r="G1348" s="9" t="s">
        <v>3709</v>
      </c>
      <c r="H1348" s="9" t="s">
        <v>5737</v>
      </c>
      <c r="I1348" s="3"/>
      <c r="J1348" s="3"/>
      <c r="K1348" s="9"/>
    </row>
    <row r="1349" ht="15.75" customHeight="1">
      <c r="A1349" s="10" t="s">
        <v>12</v>
      </c>
      <c r="B1349" s="10" t="s">
        <v>82</v>
      </c>
      <c r="C1349" s="10" t="s">
        <v>8780</v>
      </c>
      <c r="D1349" s="11" t="str">
        <f t="shared" si="1"/>
        <v>Abrir anúncio ↗</v>
      </c>
      <c r="E1349" s="12" t="s">
        <v>8781</v>
      </c>
      <c r="F1349" s="10" t="s">
        <v>29</v>
      </c>
      <c r="G1349" s="12" t="s">
        <v>3709</v>
      </c>
      <c r="H1349" s="12" t="s">
        <v>5737</v>
      </c>
      <c r="I1349" s="10"/>
      <c r="J1349" s="10"/>
      <c r="K1349" s="12"/>
    </row>
    <row r="1350" ht="15.75" customHeight="1">
      <c r="A1350" s="3" t="s">
        <v>12</v>
      </c>
      <c r="B1350" s="3" t="s">
        <v>82</v>
      </c>
      <c r="C1350" s="3" t="s">
        <v>8783</v>
      </c>
      <c r="D1350" s="8" t="str">
        <f t="shared" si="1"/>
        <v>Abrir anúncio ↗</v>
      </c>
      <c r="E1350" s="9" t="s">
        <v>8784</v>
      </c>
      <c r="F1350" s="3" t="s">
        <v>29</v>
      </c>
      <c r="G1350" s="9" t="s">
        <v>3709</v>
      </c>
      <c r="H1350" s="9" t="s">
        <v>4092</v>
      </c>
      <c r="I1350" s="3"/>
      <c r="J1350" s="3"/>
      <c r="K1350" s="9"/>
    </row>
    <row r="1351" ht="15.75" customHeight="1">
      <c r="A1351" s="10" t="s">
        <v>12</v>
      </c>
      <c r="B1351" s="10" t="s">
        <v>82</v>
      </c>
      <c r="C1351" s="10" t="s">
        <v>8786</v>
      </c>
      <c r="D1351" s="11" t="str">
        <f t="shared" si="1"/>
        <v>Abrir anúncio ↗</v>
      </c>
      <c r="E1351" s="12" t="s">
        <v>8787</v>
      </c>
      <c r="F1351" s="10" t="s">
        <v>29</v>
      </c>
      <c r="G1351" s="12" t="s">
        <v>3709</v>
      </c>
      <c r="H1351" s="12" t="s">
        <v>4245</v>
      </c>
      <c r="I1351" s="10"/>
      <c r="J1351" s="10"/>
      <c r="K1351" s="12"/>
    </row>
    <row r="1352" ht="15.75" customHeight="1">
      <c r="A1352" s="3" t="s">
        <v>12</v>
      </c>
      <c r="B1352" s="3" t="s">
        <v>82</v>
      </c>
      <c r="C1352" s="3" t="s">
        <v>8788</v>
      </c>
      <c r="D1352" s="8" t="str">
        <f t="shared" si="1"/>
        <v>Abrir anúncio ↗</v>
      </c>
      <c r="E1352" s="9" t="s">
        <v>8789</v>
      </c>
      <c r="F1352" s="3" t="s">
        <v>29</v>
      </c>
      <c r="G1352" s="9" t="s">
        <v>3709</v>
      </c>
      <c r="H1352" s="9" t="s">
        <v>4245</v>
      </c>
      <c r="I1352" s="3"/>
      <c r="J1352" s="3"/>
      <c r="K1352" s="9"/>
    </row>
    <row r="1353" ht="15.75" customHeight="1">
      <c r="A1353" s="10" t="s">
        <v>12</v>
      </c>
      <c r="B1353" s="10" t="s">
        <v>82</v>
      </c>
      <c r="C1353" s="10" t="s">
        <v>8791</v>
      </c>
      <c r="D1353" s="11" t="str">
        <f t="shared" si="1"/>
        <v>Abrir anúncio ↗</v>
      </c>
      <c r="E1353" s="12" t="s">
        <v>8792</v>
      </c>
      <c r="F1353" s="10" t="s">
        <v>29</v>
      </c>
      <c r="G1353" s="12" t="s">
        <v>3709</v>
      </c>
      <c r="H1353" s="12" t="s">
        <v>4443</v>
      </c>
      <c r="I1353" s="10"/>
      <c r="J1353" s="10"/>
      <c r="K1353" s="12"/>
    </row>
    <row r="1354" ht="15.75" customHeight="1">
      <c r="A1354" s="3" t="s">
        <v>12</v>
      </c>
      <c r="B1354" s="3" t="s">
        <v>82</v>
      </c>
      <c r="C1354" s="3" t="s">
        <v>8794</v>
      </c>
      <c r="D1354" s="8" t="str">
        <f t="shared" si="1"/>
        <v>Abrir anúncio ↗</v>
      </c>
      <c r="E1354" s="9" t="s">
        <v>8795</v>
      </c>
      <c r="F1354" s="3" t="s">
        <v>29</v>
      </c>
      <c r="G1354" s="9" t="s">
        <v>3709</v>
      </c>
      <c r="H1354" s="9" t="s">
        <v>4146</v>
      </c>
      <c r="I1354" s="3"/>
      <c r="J1354" s="3"/>
      <c r="K1354" s="9"/>
    </row>
    <row r="1355" ht="15.75" customHeight="1">
      <c r="A1355" s="10" t="s">
        <v>12</v>
      </c>
      <c r="B1355" s="10" t="s">
        <v>82</v>
      </c>
      <c r="C1355" s="10" t="s">
        <v>8797</v>
      </c>
      <c r="D1355" s="11" t="str">
        <f t="shared" si="1"/>
        <v>Abrir anúncio ↗</v>
      </c>
      <c r="E1355" s="12" t="s">
        <v>8798</v>
      </c>
      <c r="F1355" s="10" t="s">
        <v>29</v>
      </c>
      <c r="G1355" s="12" t="s">
        <v>3709</v>
      </c>
      <c r="H1355" s="12" t="s">
        <v>6746</v>
      </c>
      <c r="I1355" s="10"/>
      <c r="J1355" s="10"/>
      <c r="K1355" s="12"/>
    </row>
    <row r="1356" ht="15.75" customHeight="1">
      <c r="A1356" s="3" t="s">
        <v>12</v>
      </c>
      <c r="B1356" s="3" t="s">
        <v>82</v>
      </c>
      <c r="C1356" s="3" t="s">
        <v>8800</v>
      </c>
      <c r="D1356" s="8" t="str">
        <f t="shared" si="1"/>
        <v>Abrir anúncio ↗</v>
      </c>
      <c r="E1356" s="9" t="s">
        <v>8801</v>
      </c>
      <c r="F1356" s="3" t="s">
        <v>29</v>
      </c>
      <c r="G1356" s="9" t="s">
        <v>3709</v>
      </c>
      <c r="H1356" s="9" t="s">
        <v>3725</v>
      </c>
      <c r="I1356" s="3"/>
      <c r="J1356" s="3"/>
      <c r="K1356" s="9"/>
    </row>
    <row r="1357" ht="15.75" customHeight="1">
      <c r="A1357" s="10" t="s">
        <v>12</v>
      </c>
      <c r="B1357" s="10" t="s">
        <v>82</v>
      </c>
      <c r="C1357" s="10" t="s">
        <v>8803</v>
      </c>
      <c r="D1357" s="11" t="str">
        <f t="shared" si="1"/>
        <v>Abrir anúncio ↗</v>
      </c>
      <c r="E1357" s="12" t="s">
        <v>8805</v>
      </c>
      <c r="F1357" s="10" t="s">
        <v>29</v>
      </c>
      <c r="G1357" s="12" t="s">
        <v>3709</v>
      </c>
      <c r="H1357" s="12" t="s">
        <v>4284</v>
      </c>
      <c r="I1357" s="10"/>
      <c r="J1357" s="10"/>
      <c r="K1357" s="12"/>
    </row>
    <row r="1358" ht="15.75" customHeight="1">
      <c r="A1358" s="3" t="s">
        <v>12</v>
      </c>
      <c r="B1358" s="3" t="s">
        <v>82</v>
      </c>
      <c r="C1358" s="3" t="s">
        <v>8807</v>
      </c>
      <c r="D1358" s="8" t="str">
        <f t="shared" si="1"/>
        <v>Abrir anúncio ↗</v>
      </c>
      <c r="E1358" s="9" t="s">
        <v>8808</v>
      </c>
      <c r="F1358" s="3" t="s">
        <v>29</v>
      </c>
      <c r="G1358" s="9" t="s">
        <v>3709</v>
      </c>
      <c r="H1358" s="9" t="s">
        <v>4058</v>
      </c>
      <c r="I1358" s="3"/>
      <c r="J1358" s="3"/>
      <c r="K1358" s="9"/>
    </row>
    <row r="1359" ht="15.75" customHeight="1">
      <c r="A1359" s="10" t="s">
        <v>12</v>
      </c>
      <c r="B1359" s="10" t="s">
        <v>82</v>
      </c>
      <c r="C1359" s="10" t="s">
        <v>8810</v>
      </c>
      <c r="D1359" s="11" t="str">
        <f t="shared" si="1"/>
        <v>Abrir anúncio ↗</v>
      </c>
      <c r="E1359" s="12" t="s">
        <v>8811</v>
      </c>
      <c r="F1359" s="10" t="s">
        <v>29</v>
      </c>
      <c r="G1359" s="12" t="s">
        <v>3709</v>
      </c>
      <c r="H1359" s="12" t="s">
        <v>3725</v>
      </c>
      <c r="I1359" s="10"/>
      <c r="J1359" s="10"/>
      <c r="K1359" s="12"/>
    </row>
    <row r="1360" ht="15.75" customHeight="1">
      <c r="A1360" s="3" t="s">
        <v>12</v>
      </c>
      <c r="B1360" s="3" t="s">
        <v>82</v>
      </c>
      <c r="C1360" s="3" t="s">
        <v>8814</v>
      </c>
      <c r="D1360" s="8" t="str">
        <f t="shared" si="1"/>
        <v>Abrir anúncio ↗</v>
      </c>
      <c r="E1360" s="9" t="s">
        <v>8815</v>
      </c>
      <c r="F1360" s="3" t="s">
        <v>29</v>
      </c>
      <c r="G1360" s="9" t="s">
        <v>6220</v>
      </c>
      <c r="H1360" s="9" t="s">
        <v>8817</v>
      </c>
      <c r="I1360" s="3"/>
      <c r="J1360" s="3"/>
      <c r="K1360" s="9"/>
    </row>
    <row r="1361" ht="15.75" customHeight="1">
      <c r="A1361" s="10" t="s">
        <v>12</v>
      </c>
      <c r="B1361" s="10" t="s">
        <v>82</v>
      </c>
      <c r="C1361" s="10" t="s">
        <v>8818</v>
      </c>
      <c r="D1361" s="11" t="str">
        <f t="shared" si="1"/>
        <v>Abrir anúncio ↗</v>
      </c>
      <c r="E1361" s="12" t="s">
        <v>8820</v>
      </c>
      <c r="F1361" s="10" t="s">
        <v>29</v>
      </c>
      <c r="G1361" s="12" t="s">
        <v>3709</v>
      </c>
      <c r="H1361" s="12" t="s">
        <v>4141</v>
      </c>
      <c r="I1361" s="10"/>
      <c r="J1361" s="10"/>
      <c r="K1361" s="12"/>
    </row>
    <row r="1362" ht="15.75" customHeight="1">
      <c r="A1362" s="3" t="s">
        <v>12</v>
      </c>
      <c r="B1362" s="3" t="s">
        <v>82</v>
      </c>
      <c r="C1362" s="3" t="s">
        <v>8821</v>
      </c>
      <c r="D1362" s="8" t="str">
        <f t="shared" si="1"/>
        <v>Abrir anúncio ↗</v>
      </c>
      <c r="E1362" s="9" t="s">
        <v>8822</v>
      </c>
      <c r="F1362" s="3" t="s">
        <v>29</v>
      </c>
      <c r="G1362" s="9" t="s">
        <v>3709</v>
      </c>
      <c r="H1362" s="9" t="s">
        <v>4284</v>
      </c>
      <c r="I1362" s="3"/>
      <c r="J1362" s="3"/>
      <c r="K1362" s="9"/>
    </row>
    <row r="1363" ht="15.75" customHeight="1">
      <c r="A1363" s="10" t="s">
        <v>12</v>
      </c>
      <c r="B1363" s="10" t="s">
        <v>82</v>
      </c>
      <c r="C1363" s="10" t="s">
        <v>8824</v>
      </c>
      <c r="D1363" s="11" t="str">
        <f t="shared" si="1"/>
        <v>Abrir anúncio ↗</v>
      </c>
      <c r="E1363" s="12" t="s">
        <v>8825</v>
      </c>
      <c r="F1363" s="10" t="s">
        <v>29</v>
      </c>
      <c r="G1363" s="12" t="s">
        <v>2390</v>
      </c>
      <c r="H1363" s="12" t="s">
        <v>2392</v>
      </c>
      <c r="I1363" s="10"/>
      <c r="J1363" s="10"/>
      <c r="K1363" s="12"/>
    </row>
    <row r="1364" ht="15.75" customHeight="1">
      <c r="A1364" s="3" t="s">
        <v>12</v>
      </c>
      <c r="B1364" s="3" t="s">
        <v>82</v>
      </c>
      <c r="C1364" s="3" t="s">
        <v>8827</v>
      </c>
      <c r="D1364" s="8" t="str">
        <f t="shared" si="1"/>
        <v>Abrir anúncio ↗</v>
      </c>
      <c r="E1364" s="9" t="s">
        <v>8828</v>
      </c>
      <c r="F1364" s="3" t="s">
        <v>29</v>
      </c>
      <c r="G1364" s="9" t="s">
        <v>2390</v>
      </c>
      <c r="H1364" s="9" t="s">
        <v>2392</v>
      </c>
      <c r="I1364" s="3"/>
      <c r="J1364" s="3"/>
      <c r="K1364" s="9"/>
    </row>
    <row r="1365" ht="15.75" customHeight="1">
      <c r="A1365" s="10" t="s">
        <v>12</v>
      </c>
      <c r="B1365" s="10" t="s">
        <v>82</v>
      </c>
      <c r="C1365" s="10" t="s">
        <v>8830</v>
      </c>
      <c r="D1365" s="11" t="str">
        <f t="shared" si="1"/>
        <v>Abrir anúncio ↗</v>
      </c>
      <c r="E1365" s="12" t="s">
        <v>8831</v>
      </c>
      <c r="F1365" s="10" t="s">
        <v>29</v>
      </c>
      <c r="G1365" s="12" t="s">
        <v>3709</v>
      </c>
      <c r="H1365" s="12" t="s">
        <v>3904</v>
      </c>
      <c r="I1365" s="10"/>
      <c r="J1365" s="10"/>
      <c r="K1365" s="12"/>
    </row>
    <row r="1366" ht="15.75" customHeight="1">
      <c r="A1366" s="3" t="s">
        <v>12</v>
      </c>
      <c r="B1366" s="3" t="s">
        <v>82</v>
      </c>
      <c r="C1366" s="3" t="s">
        <v>8832</v>
      </c>
      <c r="D1366" s="8" t="str">
        <f t="shared" si="1"/>
        <v>Abrir anúncio ↗</v>
      </c>
      <c r="E1366" s="9" t="s">
        <v>8833</v>
      </c>
      <c r="F1366" s="3" t="s">
        <v>29</v>
      </c>
      <c r="G1366" s="9" t="s">
        <v>3709</v>
      </c>
      <c r="H1366" s="9" t="s">
        <v>4146</v>
      </c>
      <c r="I1366" s="3"/>
      <c r="J1366" s="3"/>
      <c r="K1366" s="9"/>
    </row>
    <row r="1367" ht="15.75" customHeight="1">
      <c r="A1367" s="10" t="s">
        <v>12</v>
      </c>
      <c r="B1367" s="10" t="s">
        <v>82</v>
      </c>
      <c r="C1367" s="10" t="s">
        <v>8835</v>
      </c>
      <c r="D1367" s="11" t="str">
        <f t="shared" si="1"/>
        <v>Abrir anúncio ↗</v>
      </c>
      <c r="E1367" s="12" t="s">
        <v>8836</v>
      </c>
      <c r="F1367" s="10" t="s">
        <v>29</v>
      </c>
      <c r="G1367" s="12" t="s">
        <v>3709</v>
      </c>
      <c r="H1367" s="12" t="s">
        <v>4075</v>
      </c>
      <c r="I1367" s="10"/>
      <c r="J1367" s="10"/>
      <c r="K1367" s="12"/>
    </row>
    <row r="1368" ht="15.75" customHeight="1">
      <c r="A1368" s="3" t="s">
        <v>12</v>
      </c>
      <c r="B1368" s="3" t="s">
        <v>82</v>
      </c>
      <c r="C1368" s="3" t="s">
        <v>8838</v>
      </c>
      <c r="D1368" s="8" t="str">
        <f t="shared" si="1"/>
        <v>Abrir anúncio ↗</v>
      </c>
      <c r="E1368" s="9" t="s">
        <v>8839</v>
      </c>
      <c r="F1368" s="3" t="s">
        <v>29</v>
      </c>
      <c r="G1368" s="9" t="s">
        <v>3709</v>
      </c>
      <c r="H1368" s="9" t="s">
        <v>4075</v>
      </c>
      <c r="I1368" s="3"/>
      <c r="J1368" s="3"/>
      <c r="K1368" s="9"/>
    </row>
    <row r="1369" ht="15.75" customHeight="1">
      <c r="A1369" s="10" t="s">
        <v>12</v>
      </c>
      <c r="B1369" s="10" t="s">
        <v>82</v>
      </c>
      <c r="C1369" s="10" t="s">
        <v>8840</v>
      </c>
      <c r="D1369" s="11" t="str">
        <f t="shared" si="1"/>
        <v>Abrir anúncio ↗</v>
      </c>
      <c r="E1369" s="12" t="s">
        <v>8842</v>
      </c>
      <c r="F1369" s="10" t="s">
        <v>29</v>
      </c>
      <c r="G1369" s="12" t="s">
        <v>2390</v>
      </c>
      <c r="H1369" s="12" t="s">
        <v>2392</v>
      </c>
      <c r="I1369" s="10"/>
      <c r="J1369" s="10"/>
      <c r="K1369" s="12"/>
    </row>
    <row r="1370" ht="15.75" customHeight="1">
      <c r="A1370" s="3" t="s">
        <v>12</v>
      </c>
      <c r="B1370" s="3" t="s">
        <v>82</v>
      </c>
      <c r="C1370" s="3" t="s">
        <v>8843</v>
      </c>
      <c r="D1370" s="8" t="str">
        <f t="shared" si="1"/>
        <v>Abrir anúncio ↗</v>
      </c>
      <c r="E1370" s="9" t="s">
        <v>8844</v>
      </c>
      <c r="F1370" s="3" t="s">
        <v>29</v>
      </c>
      <c r="G1370" s="9" t="s">
        <v>3709</v>
      </c>
      <c r="H1370" s="9" t="s">
        <v>4141</v>
      </c>
      <c r="I1370" s="3"/>
      <c r="J1370" s="3"/>
      <c r="K1370" s="9"/>
    </row>
    <row r="1371" ht="15.75" customHeight="1">
      <c r="A1371" s="10" t="s">
        <v>12</v>
      </c>
      <c r="B1371" s="10" t="s">
        <v>82</v>
      </c>
      <c r="C1371" s="10" t="s">
        <v>8846</v>
      </c>
      <c r="D1371" s="11" t="str">
        <f t="shared" si="1"/>
        <v>Abrir anúncio ↗</v>
      </c>
      <c r="E1371" s="12" t="s">
        <v>8847</v>
      </c>
      <c r="F1371" s="10" t="s">
        <v>29</v>
      </c>
      <c r="G1371" s="12" t="s">
        <v>3709</v>
      </c>
      <c r="H1371" s="12" t="s">
        <v>3712</v>
      </c>
      <c r="I1371" s="10"/>
      <c r="J1371" s="10"/>
      <c r="K1371" s="12"/>
    </row>
    <row r="1372" ht="15.75" customHeight="1">
      <c r="A1372" s="3" t="s">
        <v>12</v>
      </c>
      <c r="B1372" s="3" t="s">
        <v>82</v>
      </c>
      <c r="C1372" s="3" t="s">
        <v>8849</v>
      </c>
      <c r="D1372" s="8" t="str">
        <f t="shared" si="1"/>
        <v>Abrir anúncio ↗</v>
      </c>
      <c r="E1372" s="9" t="s">
        <v>8850</v>
      </c>
      <c r="F1372" s="3" t="s">
        <v>29</v>
      </c>
      <c r="G1372" s="9" t="s">
        <v>3709</v>
      </c>
      <c r="H1372" s="9" t="s">
        <v>4084</v>
      </c>
      <c r="I1372" s="3"/>
      <c r="J1372" s="3"/>
      <c r="K1372" s="9"/>
    </row>
    <row r="1373" ht="15.75" customHeight="1">
      <c r="A1373" s="10" t="s">
        <v>12</v>
      </c>
      <c r="B1373" s="10" t="s">
        <v>82</v>
      </c>
      <c r="C1373" s="10" t="s">
        <v>8851</v>
      </c>
      <c r="D1373" s="11" t="str">
        <f t="shared" si="1"/>
        <v>Abrir anúncio ↗</v>
      </c>
      <c r="E1373" s="12" t="s">
        <v>8853</v>
      </c>
      <c r="F1373" s="10" t="s">
        <v>29</v>
      </c>
      <c r="G1373" s="12" t="s">
        <v>3709</v>
      </c>
      <c r="H1373" s="12" t="s">
        <v>3725</v>
      </c>
      <c r="I1373" s="10"/>
      <c r="J1373" s="10"/>
      <c r="K1373" s="12"/>
    </row>
    <row r="1374" ht="15.75" customHeight="1">
      <c r="A1374" s="3" t="s">
        <v>12</v>
      </c>
      <c r="B1374" s="3" t="s">
        <v>82</v>
      </c>
      <c r="C1374" s="3" t="s">
        <v>8854</v>
      </c>
      <c r="D1374" s="8" t="str">
        <f t="shared" si="1"/>
        <v>Abrir anúncio ↗</v>
      </c>
      <c r="E1374" s="9" t="s">
        <v>8855</v>
      </c>
      <c r="F1374" s="3" t="s">
        <v>29</v>
      </c>
      <c r="G1374" s="9" t="s">
        <v>3709</v>
      </c>
      <c r="H1374" s="9" t="s">
        <v>4075</v>
      </c>
      <c r="I1374" s="3"/>
      <c r="J1374" s="3"/>
      <c r="K1374" s="9"/>
    </row>
    <row r="1375" ht="15.75" customHeight="1">
      <c r="A1375" s="10" t="s">
        <v>12</v>
      </c>
      <c r="B1375" s="10" t="s">
        <v>82</v>
      </c>
      <c r="C1375" s="10" t="s">
        <v>8857</v>
      </c>
      <c r="D1375" s="11" t="str">
        <f t="shared" si="1"/>
        <v>Abrir anúncio ↗</v>
      </c>
      <c r="E1375" s="12" t="s">
        <v>8858</v>
      </c>
      <c r="F1375" s="10" t="s">
        <v>29</v>
      </c>
      <c r="G1375" s="12" t="s">
        <v>3709</v>
      </c>
      <c r="H1375" s="12" t="s">
        <v>4245</v>
      </c>
      <c r="I1375" s="10"/>
      <c r="J1375" s="10"/>
      <c r="K1375" s="12"/>
    </row>
    <row r="1376" ht="15.75" customHeight="1">
      <c r="A1376" s="3" t="s">
        <v>12</v>
      </c>
      <c r="B1376" s="3" t="s">
        <v>82</v>
      </c>
      <c r="C1376" s="3" t="s">
        <v>8860</v>
      </c>
      <c r="D1376" s="8" t="str">
        <f t="shared" si="1"/>
        <v>Abrir anúncio ↗</v>
      </c>
      <c r="E1376" s="9" t="s">
        <v>8861</v>
      </c>
      <c r="F1376" s="3" t="s">
        <v>29</v>
      </c>
      <c r="G1376" s="9" t="s">
        <v>3709</v>
      </c>
      <c r="H1376" s="9" t="s">
        <v>4284</v>
      </c>
      <c r="I1376" s="3"/>
      <c r="J1376" s="3"/>
      <c r="K1376" s="9"/>
    </row>
    <row r="1377" ht="15.75" customHeight="1">
      <c r="A1377" s="10" t="s">
        <v>12</v>
      </c>
      <c r="B1377" s="10" t="s">
        <v>82</v>
      </c>
      <c r="C1377" s="10" t="s">
        <v>8862</v>
      </c>
      <c r="D1377" s="11" t="str">
        <f t="shared" si="1"/>
        <v>Abrir anúncio ↗</v>
      </c>
      <c r="E1377" s="12" t="s">
        <v>8863</v>
      </c>
      <c r="F1377" s="10" t="s">
        <v>29</v>
      </c>
      <c r="G1377" s="12" t="s">
        <v>3709</v>
      </c>
      <c r="H1377" s="12" t="s">
        <v>4332</v>
      </c>
      <c r="I1377" s="10"/>
      <c r="J1377" s="10"/>
      <c r="K1377" s="12"/>
    </row>
    <row r="1378" ht="15.75" customHeight="1">
      <c r="A1378" s="3" t="s">
        <v>12</v>
      </c>
      <c r="B1378" s="3" t="s">
        <v>82</v>
      </c>
      <c r="C1378" s="3" t="s">
        <v>8865</v>
      </c>
      <c r="D1378" s="8" t="str">
        <f t="shared" si="1"/>
        <v>Abrir anúncio ↗</v>
      </c>
      <c r="E1378" s="9" t="s">
        <v>8866</v>
      </c>
      <c r="F1378" s="3" t="s">
        <v>29</v>
      </c>
      <c r="G1378" s="9" t="s">
        <v>6220</v>
      </c>
      <c r="H1378" s="9" t="s">
        <v>6371</v>
      </c>
      <c r="I1378" s="3"/>
      <c r="J1378" s="3"/>
      <c r="K1378" s="9"/>
    </row>
    <row r="1379" ht="15.75" customHeight="1">
      <c r="A1379" s="10" t="s">
        <v>12</v>
      </c>
      <c r="B1379" s="10" t="s">
        <v>82</v>
      </c>
      <c r="C1379" s="10" t="s">
        <v>8868</v>
      </c>
      <c r="D1379" s="11" t="str">
        <f t="shared" si="1"/>
        <v>Abrir anúncio ↗</v>
      </c>
      <c r="E1379" s="12" t="s">
        <v>8869</v>
      </c>
      <c r="F1379" s="10" t="s">
        <v>29</v>
      </c>
      <c r="G1379" s="12" t="s">
        <v>8088</v>
      </c>
      <c r="H1379" s="12" t="s">
        <v>8870</v>
      </c>
      <c r="I1379" s="10"/>
      <c r="J1379" s="10"/>
      <c r="K1379" s="12"/>
    </row>
    <row r="1380" ht="15.75" customHeight="1">
      <c r="A1380" s="3" t="s">
        <v>12</v>
      </c>
      <c r="B1380" s="3" t="s">
        <v>82</v>
      </c>
      <c r="C1380" s="3" t="s">
        <v>8873</v>
      </c>
      <c r="D1380" s="8" t="str">
        <f t="shared" si="1"/>
        <v>Abrir anúncio ↗</v>
      </c>
      <c r="E1380" s="9" t="s">
        <v>8874</v>
      </c>
      <c r="F1380" s="3" t="s">
        <v>86</v>
      </c>
      <c r="G1380" s="9" t="s">
        <v>3709</v>
      </c>
      <c r="H1380" s="9" t="s">
        <v>5956</v>
      </c>
      <c r="I1380" s="3"/>
      <c r="J1380" s="3"/>
      <c r="K1380" s="9"/>
    </row>
    <row r="1381" ht="15.75" customHeight="1">
      <c r="A1381" s="10" t="s">
        <v>12</v>
      </c>
      <c r="B1381" s="10" t="s">
        <v>82</v>
      </c>
      <c r="C1381" s="10" t="s">
        <v>7930</v>
      </c>
      <c r="D1381" s="11" t="str">
        <f t="shared" si="1"/>
        <v>Abrir anúncio ↗</v>
      </c>
      <c r="E1381" s="12" t="s">
        <v>7927</v>
      </c>
      <c r="F1381" s="10" t="s">
        <v>29</v>
      </c>
      <c r="G1381" s="12" t="s">
        <v>2390</v>
      </c>
      <c r="H1381" s="12" t="s">
        <v>2392</v>
      </c>
      <c r="I1381" s="10"/>
      <c r="J1381" s="10"/>
      <c r="K1381" s="12"/>
    </row>
    <row r="1382" ht="15.75" customHeight="1">
      <c r="A1382" s="3" t="s">
        <v>12</v>
      </c>
      <c r="B1382" s="3" t="s">
        <v>82</v>
      </c>
      <c r="C1382" s="3" t="s">
        <v>7897</v>
      </c>
      <c r="D1382" s="8" t="str">
        <f t="shared" si="1"/>
        <v>Abrir anúncio ↗</v>
      </c>
      <c r="E1382" s="9" t="s">
        <v>113</v>
      </c>
      <c r="F1382" s="3" t="s">
        <v>29</v>
      </c>
      <c r="G1382" s="9" t="s">
        <v>2390</v>
      </c>
      <c r="H1382" s="9" t="s">
        <v>2392</v>
      </c>
      <c r="I1382" s="3"/>
      <c r="J1382" s="3"/>
      <c r="K1382" s="9"/>
    </row>
    <row r="1383" ht="15.75" customHeight="1">
      <c r="A1383" s="10" t="s">
        <v>12</v>
      </c>
      <c r="B1383" s="10" t="s">
        <v>82</v>
      </c>
      <c r="C1383" s="10" t="s">
        <v>8877</v>
      </c>
      <c r="D1383" s="11" t="str">
        <f t="shared" si="1"/>
        <v>Abrir anúncio ↗</v>
      </c>
      <c r="E1383" s="12" t="s">
        <v>8878</v>
      </c>
      <c r="F1383" s="10" t="s">
        <v>29</v>
      </c>
      <c r="G1383" s="12" t="s">
        <v>6220</v>
      </c>
      <c r="H1383" s="12" t="s">
        <v>7179</v>
      </c>
      <c r="I1383" s="10"/>
      <c r="J1383" s="10"/>
      <c r="K1383" s="12"/>
    </row>
    <row r="1384" ht="15.75" customHeight="1">
      <c r="A1384" s="3" t="s">
        <v>12</v>
      </c>
      <c r="B1384" s="3" t="s">
        <v>82</v>
      </c>
      <c r="C1384" s="3" t="s">
        <v>8880</v>
      </c>
      <c r="D1384" s="8" t="str">
        <f t="shared" si="1"/>
        <v>Abrir anúncio ↗</v>
      </c>
      <c r="E1384" s="9" t="s">
        <v>8881</v>
      </c>
      <c r="F1384" s="3" t="s">
        <v>29</v>
      </c>
      <c r="G1384" s="9" t="s">
        <v>3709</v>
      </c>
      <c r="H1384" s="9" t="s">
        <v>4084</v>
      </c>
      <c r="I1384" s="3"/>
      <c r="J1384" s="3"/>
      <c r="K1384" s="9"/>
    </row>
    <row r="1385" ht="15.75" customHeight="1">
      <c r="A1385" s="10" t="s">
        <v>12</v>
      </c>
      <c r="B1385" s="10" t="s">
        <v>82</v>
      </c>
      <c r="C1385" s="10" t="s">
        <v>8883</v>
      </c>
      <c r="D1385" s="11" t="str">
        <f t="shared" si="1"/>
        <v>Abrir anúncio ↗</v>
      </c>
      <c r="E1385" s="12" t="s">
        <v>8885</v>
      </c>
      <c r="F1385" s="10" t="s">
        <v>29</v>
      </c>
      <c r="G1385" s="12" t="s">
        <v>6472</v>
      </c>
      <c r="H1385" s="12" t="s">
        <v>8887</v>
      </c>
      <c r="I1385" s="10"/>
      <c r="J1385" s="10"/>
      <c r="K1385" s="12"/>
    </row>
    <row r="1386" ht="15.75" customHeight="1">
      <c r="A1386" s="3" t="s">
        <v>12</v>
      </c>
      <c r="B1386" s="3" t="s">
        <v>82</v>
      </c>
      <c r="C1386" s="3" t="s">
        <v>8889</v>
      </c>
      <c r="D1386" s="8" t="str">
        <f t="shared" si="1"/>
        <v>Abrir anúncio ↗</v>
      </c>
      <c r="E1386" s="9" t="s">
        <v>8890</v>
      </c>
      <c r="F1386" s="3" t="s">
        <v>29</v>
      </c>
      <c r="G1386" s="9" t="s">
        <v>3709</v>
      </c>
      <c r="H1386" s="9" t="s">
        <v>4584</v>
      </c>
      <c r="I1386" s="3"/>
      <c r="J1386" s="3"/>
      <c r="K1386" s="9"/>
    </row>
    <row r="1387" ht="15.75" customHeight="1">
      <c r="A1387" s="10" t="s">
        <v>12</v>
      </c>
      <c r="B1387" s="10" t="s">
        <v>82</v>
      </c>
      <c r="C1387" s="10" t="s">
        <v>8891</v>
      </c>
      <c r="D1387" s="11" t="str">
        <f t="shared" si="1"/>
        <v>Abrir anúncio ↗</v>
      </c>
      <c r="E1387" s="12" t="s">
        <v>8892</v>
      </c>
      <c r="F1387" s="10" t="s">
        <v>29</v>
      </c>
      <c r="G1387" s="12" t="s">
        <v>3709</v>
      </c>
      <c r="H1387" s="12" t="s">
        <v>3904</v>
      </c>
      <c r="I1387" s="10"/>
      <c r="J1387" s="10"/>
      <c r="K1387" s="12"/>
    </row>
    <row r="1388" ht="15.75" customHeight="1">
      <c r="A1388" s="3" t="s">
        <v>12</v>
      </c>
      <c r="B1388" s="3" t="s">
        <v>82</v>
      </c>
      <c r="C1388" s="3" t="s">
        <v>8894</v>
      </c>
      <c r="D1388" s="8" t="str">
        <f t="shared" si="1"/>
        <v>Abrir anúncio ↗</v>
      </c>
      <c r="E1388" s="9" t="s">
        <v>8895</v>
      </c>
      <c r="F1388" s="3" t="s">
        <v>29</v>
      </c>
      <c r="G1388" s="9" t="s">
        <v>5946</v>
      </c>
      <c r="H1388" s="9" t="s">
        <v>5948</v>
      </c>
      <c r="I1388" s="3"/>
      <c r="J1388" s="3"/>
      <c r="K1388" s="9"/>
    </row>
    <row r="1389" ht="15.75" customHeight="1">
      <c r="A1389" s="10" t="s">
        <v>12</v>
      </c>
      <c r="B1389" s="10" t="s">
        <v>82</v>
      </c>
      <c r="C1389" s="10" t="s">
        <v>8896</v>
      </c>
      <c r="D1389" s="11" t="str">
        <f t="shared" si="1"/>
        <v>Abrir anúncio ↗</v>
      </c>
      <c r="E1389" s="12" t="s">
        <v>8897</v>
      </c>
      <c r="F1389" s="10" t="s">
        <v>29</v>
      </c>
      <c r="G1389" s="12" t="s">
        <v>3709</v>
      </c>
      <c r="H1389" s="12" t="s">
        <v>4097</v>
      </c>
      <c r="I1389" s="10"/>
      <c r="J1389" s="10"/>
      <c r="K1389" s="12"/>
    </row>
    <row r="1390" ht="15.75" customHeight="1">
      <c r="A1390" s="3" t="s">
        <v>12</v>
      </c>
      <c r="B1390" s="3" t="s">
        <v>82</v>
      </c>
      <c r="C1390" s="3" t="s">
        <v>8898</v>
      </c>
      <c r="D1390" s="8" t="str">
        <f t="shared" si="1"/>
        <v>Abrir anúncio ↗</v>
      </c>
      <c r="E1390" s="9" t="s">
        <v>8899</v>
      </c>
      <c r="F1390" s="3" t="s">
        <v>29</v>
      </c>
      <c r="G1390" s="9" t="s">
        <v>2390</v>
      </c>
      <c r="H1390" s="9" t="s">
        <v>2392</v>
      </c>
      <c r="I1390" s="3"/>
      <c r="J1390" s="3"/>
      <c r="K1390" s="9"/>
    </row>
    <row r="1391" ht="15.75" customHeight="1">
      <c r="A1391" s="10" t="s">
        <v>12</v>
      </c>
      <c r="B1391" s="10" t="s">
        <v>82</v>
      </c>
      <c r="C1391" s="10" t="s">
        <v>8900</v>
      </c>
      <c r="D1391" s="11" t="str">
        <f t="shared" si="1"/>
        <v>Abrir anúncio ↗</v>
      </c>
      <c r="E1391" s="12" t="s">
        <v>8901</v>
      </c>
      <c r="F1391" s="10" t="s">
        <v>29</v>
      </c>
      <c r="G1391" s="12" t="s">
        <v>5339</v>
      </c>
      <c r="H1391" s="12" t="s">
        <v>8903</v>
      </c>
      <c r="I1391" s="10"/>
      <c r="J1391" s="10"/>
      <c r="K1391" s="12"/>
    </row>
    <row r="1392" ht="15.75" customHeight="1">
      <c r="A1392" s="3" t="s">
        <v>12</v>
      </c>
      <c r="B1392" s="3" t="s">
        <v>82</v>
      </c>
      <c r="C1392" s="3" t="s">
        <v>8904</v>
      </c>
      <c r="D1392" s="8" t="str">
        <f t="shared" si="1"/>
        <v>Abrir anúncio ↗</v>
      </c>
      <c r="E1392" s="9" t="s">
        <v>8905</v>
      </c>
      <c r="F1392" s="3" t="s">
        <v>29</v>
      </c>
      <c r="G1392" s="9" t="s">
        <v>5339</v>
      </c>
      <c r="H1392" s="9" t="s">
        <v>8906</v>
      </c>
      <c r="I1392" s="3"/>
      <c r="J1392" s="3"/>
      <c r="K1392" s="9"/>
    </row>
    <row r="1393" ht="15.75" customHeight="1">
      <c r="A1393" s="10" t="s">
        <v>12</v>
      </c>
      <c r="B1393" s="10" t="s">
        <v>82</v>
      </c>
      <c r="C1393" s="10" t="s">
        <v>8907</v>
      </c>
      <c r="D1393" s="11" t="str">
        <f t="shared" si="1"/>
        <v>Abrir anúncio ↗</v>
      </c>
      <c r="E1393" s="12" t="s">
        <v>8908</v>
      </c>
      <c r="F1393" s="10" t="s">
        <v>29</v>
      </c>
      <c r="G1393" s="12" t="s">
        <v>3709</v>
      </c>
      <c r="H1393" s="12" t="s">
        <v>3904</v>
      </c>
      <c r="I1393" s="10"/>
      <c r="J1393" s="10"/>
      <c r="K1393" s="12"/>
    </row>
    <row r="1394" ht="15.75" customHeight="1">
      <c r="A1394" s="3" t="s">
        <v>12</v>
      </c>
      <c r="B1394" s="3" t="s">
        <v>82</v>
      </c>
      <c r="C1394" s="3" t="s">
        <v>8909</v>
      </c>
      <c r="D1394" s="8" t="str">
        <f t="shared" si="1"/>
        <v>Abrir anúncio ↗</v>
      </c>
      <c r="E1394" s="9" t="s">
        <v>8910</v>
      </c>
      <c r="F1394" s="3" t="s">
        <v>29</v>
      </c>
      <c r="G1394" s="9" t="s">
        <v>5339</v>
      </c>
      <c r="H1394" s="9" t="s">
        <v>8911</v>
      </c>
      <c r="I1394" s="3"/>
      <c r="J1394" s="3"/>
      <c r="K1394" s="9"/>
    </row>
    <row r="1395" ht="15.75" customHeight="1">
      <c r="A1395" s="10" t="s">
        <v>12</v>
      </c>
      <c r="B1395" s="10" t="s">
        <v>82</v>
      </c>
      <c r="C1395" s="10" t="s">
        <v>8912</v>
      </c>
      <c r="D1395" s="11" t="str">
        <f t="shared" si="1"/>
        <v>Abrir anúncio ↗</v>
      </c>
      <c r="E1395" s="12" t="s">
        <v>8914</v>
      </c>
      <c r="F1395" s="10" t="s">
        <v>29</v>
      </c>
      <c r="G1395" s="12" t="s">
        <v>5339</v>
      </c>
      <c r="H1395" s="12" t="s">
        <v>8915</v>
      </c>
      <c r="I1395" s="10"/>
      <c r="J1395" s="10"/>
      <c r="K1395" s="12"/>
    </row>
    <row r="1396" ht="15.75" customHeight="1">
      <c r="A1396" s="3" t="s">
        <v>12</v>
      </c>
      <c r="B1396" s="3" t="s">
        <v>82</v>
      </c>
      <c r="C1396" s="3" t="s">
        <v>8918</v>
      </c>
      <c r="D1396" s="8" t="str">
        <f t="shared" si="1"/>
        <v>Abrir anúncio ↗</v>
      </c>
      <c r="E1396" s="9" t="s">
        <v>8919</v>
      </c>
      <c r="F1396" s="3" t="s">
        <v>29</v>
      </c>
      <c r="G1396" s="9" t="s">
        <v>5339</v>
      </c>
      <c r="H1396" s="9" t="s">
        <v>8921</v>
      </c>
      <c r="I1396" s="3"/>
      <c r="J1396" s="3"/>
      <c r="K1396" s="9"/>
    </row>
    <row r="1397" ht="15.75" customHeight="1">
      <c r="A1397" s="10" t="s">
        <v>12</v>
      </c>
      <c r="B1397" s="10" t="s">
        <v>82</v>
      </c>
      <c r="C1397" s="10" t="s">
        <v>8922</v>
      </c>
      <c r="D1397" s="11" t="str">
        <f t="shared" si="1"/>
        <v>Abrir anúncio ↗</v>
      </c>
      <c r="E1397" s="12" t="s">
        <v>8924</v>
      </c>
      <c r="F1397" s="10" t="s">
        <v>29</v>
      </c>
      <c r="G1397" s="12" t="s">
        <v>3685</v>
      </c>
      <c r="H1397" s="12" t="s">
        <v>3917</v>
      </c>
      <c r="I1397" s="10"/>
      <c r="J1397" s="10"/>
      <c r="K1397" s="12"/>
    </row>
    <row r="1398" ht="15.75" customHeight="1">
      <c r="A1398" s="3" t="s">
        <v>12</v>
      </c>
      <c r="B1398" s="3" t="s">
        <v>82</v>
      </c>
      <c r="C1398" s="3" t="s">
        <v>8925</v>
      </c>
      <c r="D1398" s="8" t="str">
        <f t="shared" si="1"/>
        <v>Abrir anúncio ↗</v>
      </c>
      <c r="E1398" s="9" t="s">
        <v>8928</v>
      </c>
      <c r="F1398" s="3" t="s">
        <v>29</v>
      </c>
      <c r="G1398" s="9" t="s">
        <v>8929</v>
      </c>
      <c r="H1398" s="9" t="s">
        <v>8930</v>
      </c>
      <c r="I1398" s="3"/>
      <c r="J1398" s="3"/>
      <c r="K1398" s="9"/>
    </row>
    <row r="1399" ht="15.75" customHeight="1">
      <c r="A1399" s="10" t="s">
        <v>12</v>
      </c>
      <c r="B1399" s="10" t="s">
        <v>82</v>
      </c>
      <c r="C1399" s="10" t="s">
        <v>8932</v>
      </c>
      <c r="D1399" s="11" t="str">
        <f t="shared" si="1"/>
        <v>Abrir anúncio ↗</v>
      </c>
      <c r="E1399" s="12" t="s">
        <v>8933</v>
      </c>
      <c r="F1399" s="10" t="s">
        <v>29</v>
      </c>
      <c r="G1399" s="12" t="s">
        <v>3709</v>
      </c>
      <c r="H1399" s="12" t="s">
        <v>3725</v>
      </c>
      <c r="I1399" s="10"/>
      <c r="J1399" s="10"/>
      <c r="K1399" s="12"/>
    </row>
    <row r="1400" ht="15.75" customHeight="1">
      <c r="A1400" s="3" t="s">
        <v>12</v>
      </c>
      <c r="B1400" s="3" t="s">
        <v>82</v>
      </c>
      <c r="C1400" s="3" t="s">
        <v>8935</v>
      </c>
      <c r="D1400" s="8" t="str">
        <f t="shared" si="1"/>
        <v>Abrir anúncio ↗</v>
      </c>
      <c r="E1400" s="9" t="s">
        <v>8936</v>
      </c>
      <c r="F1400" s="3" t="s">
        <v>29</v>
      </c>
      <c r="G1400" s="9" t="s">
        <v>5339</v>
      </c>
      <c r="H1400" s="9" t="s">
        <v>8939</v>
      </c>
      <c r="I1400" s="3"/>
      <c r="J1400" s="3"/>
      <c r="K1400" s="9"/>
    </row>
    <row r="1401" ht="15.75" customHeight="1">
      <c r="A1401" s="10" t="s">
        <v>12</v>
      </c>
      <c r="B1401" s="10" t="s">
        <v>82</v>
      </c>
      <c r="C1401" s="10" t="s">
        <v>8941</v>
      </c>
      <c r="D1401" s="11" t="str">
        <f t="shared" si="1"/>
        <v>Abrir anúncio ↗</v>
      </c>
      <c r="E1401" s="12" t="s">
        <v>8942</v>
      </c>
      <c r="F1401" s="10" t="s">
        <v>29</v>
      </c>
      <c r="G1401" s="12" t="s">
        <v>3709</v>
      </c>
      <c r="H1401" s="12" t="s">
        <v>4443</v>
      </c>
      <c r="I1401" s="10"/>
      <c r="J1401" s="10"/>
      <c r="K1401" s="12"/>
    </row>
    <row r="1402" ht="15.75" customHeight="1">
      <c r="A1402" s="3" t="s">
        <v>12</v>
      </c>
      <c r="B1402" s="3" t="s">
        <v>82</v>
      </c>
      <c r="C1402" s="3" t="s">
        <v>8943</v>
      </c>
      <c r="D1402" s="8" t="str">
        <f t="shared" si="1"/>
        <v>Abrir anúncio ↗</v>
      </c>
      <c r="E1402" s="9" t="s">
        <v>8944</v>
      </c>
      <c r="F1402" s="3" t="s">
        <v>29</v>
      </c>
      <c r="G1402" s="9" t="s">
        <v>5339</v>
      </c>
      <c r="H1402" s="9" t="s">
        <v>8945</v>
      </c>
      <c r="I1402" s="3"/>
      <c r="J1402" s="3"/>
      <c r="K1402" s="9"/>
    </row>
    <row r="1403" ht="15.75" customHeight="1">
      <c r="A1403" s="10" t="s">
        <v>12</v>
      </c>
      <c r="B1403" s="10" t="s">
        <v>82</v>
      </c>
      <c r="C1403" s="10" t="s">
        <v>8946</v>
      </c>
      <c r="D1403" s="11" t="str">
        <f t="shared" si="1"/>
        <v>Abrir anúncio ↗</v>
      </c>
      <c r="E1403" s="12" t="s">
        <v>8947</v>
      </c>
      <c r="F1403" s="10" t="s">
        <v>29</v>
      </c>
      <c r="G1403" s="12" t="s">
        <v>3685</v>
      </c>
      <c r="H1403" s="12" t="s">
        <v>3877</v>
      </c>
      <c r="I1403" s="10"/>
      <c r="J1403" s="10"/>
      <c r="K1403" s="12"/>
    </row>
    <row r="1404" ht="15.75" customHeight="1">
      <c r="A1404" s="3" t="s">
        <v>12</v>
      </c>
      <c r="B1404" s="3" t="s">
        <v>82</v>
      </c>
      <c r="C1404" s="3" t="s">
        <v>8948</v>
      </c>
      <c r="D1404" s="8" t="str">
        <f t="shared" si="1"/>
        <v>Abrir anúncio ↗</v>
      </c>
      <c r="E1404" s="9" t="s">
        <v>8949</v>
      </c>
      <c r="F1404" s="3" t="s">
        <v>29</v>
      </c>
      <c r="G1404" s="9" t="s">
        <v>5339</v>
      </c>
      <c r="H1404" s="9" t="s">
        <v>8939</v>
      </c>
      <c r="I1404" s="3"/>
      <c r="J1404" s="3"/>
      <c r="K1404" s="9"/>
    </row>
    <row r="1405" ht="15.75" customHeight="1">
      <c r="A1405" s="10" t="s">
        <v>12</v>
      </c>
      <c r="B1405" s="10" t="s">
        <v>82</v>
      </c>
      <c r="C1405" s="10" t="s">
        <v>8950</v>
      </c>
      <c r="D1405" s="11" t="str">
        <f t="shared" si="1"/>
        <v>Abrir anúncio ↗</v>
      </c>
      <c r="E1405" s="12" t="s">
        <v>8951</v>
      </c>
      <c r="F1405" s="10" t="s">
        <v>29</v>
      </c>
      <c r="G1405" s="12" t="s">
        <v>3709</v>
      </c>
      <c r="H1405" s="12" t="s">
        <v>4146</v>
      </c>
      <c r="I1405" s="10"/>
      <c r="J1405" s="10"/>
      <c r="K1405" s="12"/>
    </row>
    <row r="1406" ht="15.75" customHeight="1">
      <c r="A1406" s="3" t="s">
        <v>12</v>
      </c>
      <c r="B1406" s="3" t="s">
        <v>82</v>
      </c>
      <c r="C1406" s="3" t="s">
        <v>8952</v>
      </c>
      <c r="D1406" s="8" t="str">
        <f t="shared" si="1"/>
        <v>Abrir anúncio ↗</v>
      </c>
      <c r="E1406" s="9" t="s">
        <v>8953</v>
      </c>
      <c r="F1406" s="3" t="s">
        <v>29</v>
      </c>
      <c r="G1406" s="9" t="s">
        <v>3709</v>
      </c>
      <c r="H1406" s="9" t="s">
        <v>4097</v>
      </c>
      <c r="I1406" s="3"/>
      <c r="J1406" s="3"/>
      <c r="K1406" s="9"/>
    </row>
    <row r="1407" ht="15.75" customHeight="1">
      <c r="A1407" s="10" t="s">
        <v>12</v>
      </c>
      <c r="B1407" s="10" t="s">
        <v>82</v>
      </c>
      <c r="C1407" s="10" t="s">
        <v>8954</v>
      </c>
      <c r="D1407" s="11" t="str">
        <f t="shared" si="1"/>
        <v>Abrir anúncio ↗</v>
      </c>
      <c r="E1407" s="12" t="s">
        <v>8955</v>
      </c>
      <c r="F1407" s="10" t="s">
        <v>29</v>
      </c>
      <c r="G1407" s="12" t="s">
        <v>8956</v>
      </c>
      <c r="H1407" s="12" t="s">
        <v>8957</v>
      </c>
      <c r="I1407" s="10"/>
      <c r="J1407" s="10"/>
      <c r="K1407" s="12"/>
    </row>
    <row r="1408" ht="15.75" customHeight="1">
      <c r="A1408" s="3" t="s">
        <v>12</v>
      </c>
      <c r="B1408" s="3" t="s">
        <v>82</v>
      </c>
      <c r="C1408" s="3" t="s">
        <v>8958</v>
      </c>
      <c r="D1408" s="8" t="str">
        <f t="shared" si="1"/>
        <v>Abrir anúncio ↗</v>
      </c>
      <c r="E1408" s="9" t="s">
        <v>8959</v>
      </c>
      <c r="F1408" s="3" t="s">
        <v>29</v>
      </c>
      <c r="G1408" s="9" t="s">
        <v>6220</v>
      </c>
      <c r="H1408" s="9" t="s">
        <v>6451</v>
      </c>
      <c r="I1408" s="3"/>
      <c r="J1408" s="3"/>
      <c r="K1408" s="9"/>
    </row>
    <row r="1409" ht="15.75" customHeight="1">
      <c r="A1409" s="10" t="s">
        <v>12</v>
      </c>
      <c r="B1409" s="10" t="s">
        <v>82</v>
      </c>
      <c r="C1409" s="10" t="s">
        <v>8960</v>
      </c>
      <c r="D1409" s="11" t="str">
        <f t="shared" si="1"/>
        <v>Abrir anúncio ↗</v>
      </c>
      <c r="E1409" s="12" t="s">
        <v>8961</v>
      </c>
      <c r="F1409" s="10" t="s">
        <v>29</v>
      </c>
      <c r="G1409" s="12" t="s">
        <v>3709</v>
      </c>
      <c r="H1409" s="12" t="s">
        <v>4075</v>
      </c>
      <c r="I1409" s="10"/>
      <c r="J1409" s="10"/>
      <c r="K1409" s="12"/>
    </row>
    <row r="1410" ht="15.75" customHeight="1">
      <c r="A1410" s="3" t="s">
        <v>12</v>
      </c>
      <c r="B1410" s="3" t="s">
        <v>82</v>
      </c>
      <c r="C1410" s="3" t="s">
        <v>8093</v>
      </c>
      <c r="D1410" s="8" t="str">
        <f t="shared" si="1"/>
        <v>Abrir anúncio ↗</v>
      </c>
      <c r="E1410" s="9" t="s">
        <v>8091</v>
      </c>
      <c r="F1410" s="3" t="s">
        <v>29</v>
      </c>
      <c r="G1410" s="9" t="s">
        <v>5946</v>
      </c>
      <c r="H1410" s="9" t="s">
        <v>5948</v>
      </c>
      <c r="I1410" s="3"/>
      <c r="J1410" s="3"/>
      <c r="K1410" s="9"/>
    </row>
    <row r="1411" ht="15.75" customHeight="1">
      <c r="A1411" s="10" t="s">
        <v>12</v>
      </c>
      <c r="B1411" s="10" t="s">
        <v>82</v>
      </c>
      <c r="C1411" s="10" t="s">
        <v>8962</v>
      </c>
      <c r="D1411" s="11" t="str">
        <f t="shared" si="1"/>
        <v>Abrir anúncio ↗</v>
      </c>
      <c r="E1411" s="12" t="s">
        <v>8963</v>
      </c>
      <c r="F1411" s="10" t="s">
        <v>29</v>
      </c>
      <c r="G1411" s="12" t="s">
        <v>6220</v>
      </c>
      <c r="H1411" s="12" t="s">
        <v>8964</v>
      </c>
      <c r="I1411" s="10"/>
      <c r="J1411" s="10"/>
      <c r="K1411" s="12"/>
    </row>
    <row r="1412" ht="15.75" customHeight="1">
      <c r="A1412" s="3" t="s">
        <v>12</v>
      </c>
      <c r="B1412" s="3" t="s">
        <v>82</v>
      </c>
      <c r="C1412" s="3" t="s">
        <v>8965</v>
      </c>
      <c r="D1412" s="8" t="str">
        <f t="shared" si="1"/>
        <v>Abrir anúncio ↗</v>
      </c>
      <c r="E1412" s="9" t="s">
        <v>8966</v>
      </c>
      <c r="F1412" s="3" t="s">
        <v>29</v>
      </c>
      <c r="G1412" s="9" t="s">
        <v>2390</v>
      </c>
      <c r="H1412" s="9" t="s">
        <v>2392</v>
      </c>
      <c r="I1412" s="3"/>
      <c r="J1412" s="3"/>
      <c r="K1412" s="9"/>
    </row>
    <row r="1413" ht="15.75" customHeight="1">
      <c r="A1413" s="10" t="s">
        <v>12</v>
      </c>
      <c r="B1413" s="10" t="s">
        <v>82</v>
      </c>
      <c r="C1413" s="10" t="s">
        <v>8967</v>
      </c>
      <c r="D1413" s="11" t="str">
        <f t="shared" si="1"/>
        <v>Abrir anúncio ↗</v>
      </c>
      <c r="E1413" s="12" t="s">
        <v>8968</v>
      </c>
      <c r="F1413" s="10" t="s">
        <v>29</v>
      </c>
      <c r="G1413" s="12" t="s">
        <v>3709</v>
      </c>
      <c r="H1413" s="12" t="s">
        <v>4590</v>
      </c>
      <c r="I1413" s="10"/>
      <c r="J1413" s="10"/>
      <c r="K1413" s="12"/>
    </row>
    <row r="1414" ht="15.75" customHeight="1">
      <c r="A1414" s="3" t="s">
        <v>12</v>
      </c>
      <c r="B1414" s="3" t="s">
        <v>82</v>
      </c>
      <c r="C1414" s="3" t="s">
        <v>8971</v>
      </c>
      <c r="D1414" s="8" t="str">
        <f t="shared" si="1"/>
        <v>Abrir anúncio ↗</v>
      </c>
      <c r="E1414" s="9" t="s">
        <v>8972</v>
      </c>
      <c r="F1414" s="3" t="s">
        <v>29</v>
      </c>
      <c r="G1414" s="9" t="s">
        <v>2390</v>
      </c>
      <c r="H1414" s="9" t="s">
        <v>2392</v>
      </c>
      <c r="I1414" s="3"/>
      <c r="J1414" s="3"/>
      <c r="K1414" s="9"/>
    </row>
    <row r="1415" ht="15.75" customHeight="1">
      <c r="A1415" s="10" t="s">
        <v>12</v>
      </c>
      <c r="B1415" s="10" t="s">
        <v>82</v>
      </c>
      <c r="C1415" s="10" t="s">
        <v>8976</v>
      </c>
      <c r="D1415" s="11" t="str">
        <f t="shared" si="1"/>
        <v>Abrir anúncio ↗</v>
      </c>
      <c r="E1415" s="12" t="s">
        <v>8977</v>
      </c>
      <c r="F1415" s="10" t="s">
        <v>29</v>
      </c>
      <c r="G1415" s="12" t="s">
        <v>6220</v>
      </c>
      <c r="H1415" s="12" t="s">
        <v>6223</v>
      </c>
      <c r="I1415" s="10"/>
      <c r="J1415" s="10"/>
      <c r="K1415" s="12"/>
    </row>
    <row r="1416" ht="15.75" customHeight="1">
      <c r="A1416" s="3" t="s">
        <v>12</v>
      </c>
      <c r="B1416" s="3" t="s">
        <v>82</v>
      </c>
      <c r="C1416" s="3" t="s">
        <v>8097</v>
      </c>
      <c r="D1416" s="8" t="str">
        <f t="shared" si="1"/>
        <v>Abrir anúncio ↗</v>
      </c>
      <c r="E1416" s="9" t="s">
        <v>8096</v>
      </c>
      <c r="F1416" s="3" t="s">
        <v>29</v>
      </c>
      <c r="G1416" s="9" t="s">
        <v>2390</v>
      </c>
      <c r="H1416" s="9" t="s">
        <v>2392</v>
      </c>
      <c r="I1416" s="3"/>
      <c r="J1416" s="3"/>
      <c r="K1416" s="9"/>
    </row>
    <row r="1417" ht="15.75" customHeight="1">
      <c r="A1417" s="10" t="s">
        <v>12</v>
      </c>
      <c r="B1417" s="10" t="s">
        <v>82</v>
      </c>
      <c r="C1417" s="10" t="s">
        <v>8980</v>
      </c>
      <c r="D1417" s="11" t="str">
        <f t="shared" si="1"/>
        <v>Abrir anúncio ↗</v>
      </c>
      <c r="E1417" s="12" t="s">
        <v>8981</v>
      </c>
      <c r="F1417" s="10" t="s">
        <v>29</v>
      </c>
      <c r="G1417" s="12" t="s">
        <v>3709</v>
      </c>
      <c r="H1417" s="12" t="s">
        <v>8982</v>
      </c>
      <c r="I1417" s="10"/>
      <c r="J1417" s="10"/>
      <c r="K1417" s="12"/>
    </row>
    <row r="1418" ht="15.75" customHeight="1">
      <c r="A1418" s="3" t="s">
        <v>12</v>
      </c>
      <c r="B1418" s="3" t="s">
        <v>82</v>
      </c>
      <c r="C1418" s="3" t="s">
        <v>8984</v>
      </c>
      <c r="D1418" s="8" t="str">
        <f t="shared" si="1"/>
        <v>Abrir anúncio ↗</v>
      </c>
      <c r="E1418" s="9" t="s">
        <v>8985</v>
      </c>
      <c r="F1418" s="3" t="s">
        <v>29</v>
      </c>
      <c r="G1418" s="9" t="s">
        <v>3709</v>
      </c>
      <c r="H1418" s="9" t="s">
        <v>4075</v>
      </c>
      <c r="I1418" s="3"/>
      <c r="J1418" s="3"/>
      <c r="K1418" s="9"/>
    </row>
    <row r="1419" ht="15.75" customHeight="1">
      <c r="A1419" s="10" t="s">
        <v>12</v>
      </c>
      <c r="B1419" s="10" t="s">
        <v>82</v>
      </c>
      <c r="C1419" s="10" t="s">
        <v>8987</v>
      </c>
      <c r="D1419" s="11" t="str">
        <f t="shared" si="1"/>
        <v>Abrir anúncio ↗</v>
      </c>
      <c r="E1419" s="12" t="s">
        <v>8988</v>
      </c>
      <c r="F1419" s="10" t="s">
        <v>29</v>
      </c>
      <c r="G1419" s="12" t="s">
        <v>3709</v>
      </c>
      <c r="H1419" s="12" t="s">
        <v>5956</v>
      </c>
      <c r="I1419" s="10"/>
      <c r="J1419" s="10"/>
      <c r="K1419" s="12"/>
    </row>
    <row r="1420" ht="15.75" customHeight="1">
      <c r="A1420" s="3" t="s">
        <v>12</v>
      </c>
      <c r="B1420" s="3" t="s">
        <v>82</v>
      </c>
      <c r="C1420" s="3" t="s">
        <v>8989</v>
      </c>
      <c r="D1420" s="8" t="str">
        <f t="shared" si="1"/>
        <v>Abrir anúncio ↗</v>
      </c>
      <c r="E1420" s="9" t="s">
        <v>8990</v>
      </c>
      <c r="F1420" s="3" t="s">
        <v>29</v>
      </c>
      <c r="G1420" s="9" t="s">
        <v>3709</v>
      </c>
      <c r="H1420" s="9" t="s">
        <v>4097</v>
      </c>
      <c r="I1420" s="3"/>
      <c r="J1420" s="3"/>
      <c r="K1420" s="9"/>
    </row>
    <row r="1421" ht="15.75" customHeight="1">
      <c r="A1421" s="10" t="s">
        <v>12</v>
      </c>
      <c r="B1421" s="10" t="s">
        <v>82</v>
      </c>
      <c r="C1421" s="10" t="s">
        <v>8991</v>
      </c>
      <c r="D1421" s="11" t="str">
        <f t="shared" si="1"/>
        <v>Abrir anúncio ↗</v>
      </c>
      <c r="E1421" s="12" t="s">
        <v>8992</v>
      </c>
      <c r="F1421" s="10" t="s">
        <v>29</v>
      </c>
      <c r="G1421" s="12" t="s">
        <v>2390</v>
      </c>
      <c r="H1421" s="12" t="s">
        <v>2392</v>
      </c>
      <c r="I1421" s="10"/>
      <c r="J1421" s="10"/>
      <c r="K1421" s="12"/>
    </row>
    <row r="1422" ht="15.75" customHeight="1">
      <c r="A1422" s="3" t="s">
        <v>12</v>
      </c>
      <c r="B1422" s="3" t="s">
        <v>82</v>
      </c>
      <c r="C1422" s="3" t="s">
        <v>8993</v>
      </c>
      <c r="D1422" s="8" t="str">
        <f t="shared" si="1"/>
        <v>Abrir anúncio ↗</v>
      </c>
      <c r="E1422" s="9" t="s">
        <v>8994</v>
      </c>
      <c r="F1422" s="3" t="s">
        <v>29</v>
      </c>
      <c r="G1422" s="9" t="s">
        <v>3709</v>
      </c>
      <c r="H1422" s="9" t="s">
        <v>4443</v>
      </c>
      <c r="I1422" s="3"/>
      <c r="J1422" s="3"/>
      <c r="K1422" s="9"/>
    </row>
    <row r="1423" ht="15.75" customHeight="1">
      <c r="A1423" s="10" t="s">
        <v>12</v>
      </c>
      <c r="B1423" s="10" t="s">
        <v>82</v>
      </c>
      <c r="C1423" s="10" t="s">
        <v>8997</v>
      </c>
      <c r="D1423" s="11" t="str">
        <f t="shared" si="1"/>
        <v>Abrir anúncio ↗</v>
      </c>
      <c r="E1423" s="12" t="s">
        <v>8998</v>
      </c>
      <c r="F1423" s="10" t="s">
        <v>29</v>
      </c>
      <c r="G1423" s="12" t="s">
        <v>3709</v>
      </c>
      <c r="H1423" s="12" t="s">
        <v>4284</v>
      </c>
      <c r="I1423" s="10"/>
      <c r="J1423" s="10"/>
      <c r="K1423" s="12"/>
    </row>
    <row r="1424" ht="15.75" customHeight="1">
      <c r="A1424" s="3" t="s">
        <v>12</v>
      </c>
      <c r="B1424" s="3" t="s">
        <v>82</v>
      </c>
      <c r="C1424" s="3" t="s">
        <v>8999</v>
      </c>
      <c r="D1424" s="8" t="str">
        <f t="shared" si="1"/>
        <v>Abrir anúncio ↗</v>
      </c>
      <c r="E1424" s="9" t="s">
        <v>8995</v>
      </c>
      <c r="F1424" s="3" t="s">
        <v>29</v>
      </c>
      <c r="G1424" s="9" t="s">
        <v>2390</v>
      </c>
      <c r="H1424" s="9" t="s">
        <v>2392</v>
      </c>
      <c r="I1424" s="3"/>
      <c r="J1424" s="3"/>
      <c r="K1424" s="9"/>
    </row>
    <row r="1425" ht="15.75" customHeight="1">
      <c r="A1425" s="10" t="s">
        <v>12</v>
      </c>
      <c r="B1425" s="10" t="s">
        <v>82</v>
      </c>
      <c r="C1425" s="10" t="s">
        <v>9003</v>
      </c>
      <c r="D1425" s="11" t="str">
        <f t="shared" si="1"/>
        <v>Abrir anúncio ↗</v>
      </c>
      <c r="E1425" s="12" t="s">
        <v>9004</v>
      </c>
      <c r="F1425" s="10" t="s">
        <v>29</v>
      </c>
      <c r="G1425" s="12" t="s">
        <v>3709</v>
      </c>
      <c r="H1425" s="12" t="s">
        <v>4590</v>
      </c>
      <c r="I1425" s="10"/>
      <c r="J1425" s="10"/>
      <c r="K1425" s="12"/>
    </row>
    <row r="1426" ht="15.75" customHeight="1">
      <c r="A1426" s="3" t="s">
        <v>12</v>
      </c>
      <c r="B1426" s="3" t="s">
        <v>82</v>
      </c>
      <c r="C1426" s="3" t="s">
        <v>9002</v>
      </c>
      <c r="D1426" s="8" t="str">
        <f t="shared" si="1"/>
        <v>Abrir anúncio ↗</v>
      </c>
      <c r="E1426" s="9" t="s">
        <v>9000</v>
      </c>
      <c r="F1426" s="3" t="s">
        <v>29</v>
      </c>
      <c r="G1426" s="9" t="s">
        <v>2390</v>
      </c>
      <c r="H1426" s="9" t="s">
        <v>2392</v>
      </c>
      <c r="I1426" s="3"/>
      <c r="J1426" s="3"/>
      <c r="K1426" s="9"/>
    </row>
    <row r="1427" ht="15.75" customHeight="1">
      <c r="A1427" s="10" t="s">
        <v>12</v>
      </c>
      <c r="B1427" s="10" t="s">
        <v>82</v>
      </c>
      <c r="C1427" s="10" t="s">
        <v>9008</v>
      </c>
      <c r="D1427" s="11" t="str">
        <f t="shared" si="1"/>
        <v>Abrir anúncio ↗</v>
      </c>
      <c r="E1427" s="12" t="s">
        <v>9009</v>
      </c>
      <c r="F1427" s="10" t="s">
        <v>29</v>
      </c>
      <c r="G1427" s="12" t="s">
        <v>3709</v>
      </c>
      <c r="H1427" s="12" t="s">
        <v>4141</v>
      </c>
      <c r="I1427" s="10"/>
      <c r="J1427" s="10"/>
      <c r="K1427" s="12"/>
    </row>
    <row r="1428" ht="15.75" customHeight="1">
      <c r="A1428" s="3" t="s">
        <v>12</v>
      </c>
      <c r="B1428" s="3" t="s">
        <v>82</v>
      </c>
      <c r="C1428" s="3" t="s">
        <v>9011</v>
      </c>
      <c r="D1428" s="8" t="str">
        <f t="shared" si="1"/>
        <v>Abrir anúncio ↗</v>
      </c>
      <c r="E1428" s="9" t="s">
        <v>9013</v>
      </c>
      <c r="F1428" s="3" t="s">
        <v>29</v>
      </c>
      <c r="G1428" s="9" t="s">
        <v>3709</v>
      </c>
      <c r="H1428" s="9" t="s">
        <v>3999</v>
      </c>
      <c r="I1428" s="3"/>
      <c r="J1428" s="3"/>
      <c r="K1428" s="9"/>
    </row>
    <row r="1429" ht="15.75" customHeight="1">
      <c r="A1429" s="10" t="s">
        <v>12</v>
      </c>
      <c r="B1429" s="10" t="s">
        <v>82</v>
      </c>
      <c r="C1429" s="10" t="s">
        <v>9016</v>
      </c>
      <c r="D1429" s="11" t="str">
        <f t="shared" si="1"/>
        <v>Abrir anúncio ↗</v>
      </c>
      <c r="E1429" s="12" t="s">
        <v>9017</v>
      </c>
      <c r="F1429" s="10" t="s">
        <v>29</v>
      </c>
      <c r="G1429" s="12" t="s">
        <v>3709</v>
      </c>
      <c r="H1429" s="12" t="s">
        <v>4129</v>
      </c>
      <c r="I1429" s="10"/>
      <c r="J1429" s="10"/>
      <c r="K1429" s="12"/>
    </row>
    <row r="1430" ht="15.75" customHeight="1">
      <c r="A1430" s="3" t="s">
        <v>12</v>
      </c>
      <c r="B1430" s="3" t="s">
        <v>82</v>
      </c>
      <c r="C1430" s="3" t="s">
        <v>9018</v>
      </c>
      <c r="D1430" s="8" t="str">
        <f t="shared" si="1"/>
        <v>Abrir anúncio ↗</v>
      </c>
      <c r="E1430" s="9" t="s">
        <v>9019</v>
      </c>
      <c r="F1430" s="3" t="s">
        <v>29</v>
      </c>
      <c r="G1430" s="9" t="s">
        <v>3709</v>
      </c>
      <c r="H1430" s="9" t="s">
        <v>3725</v>
      </c>
      <c r="I1430" s="3"/>
      <c r="J1430" s="3"/>
      <c r="K1430" s="9"/>
    </row>
    <row r="1431" ht="15.75" customHeight="1">
      <c r="A1431" s="10" t="s">
        <v>12</v>
      </c>
      <c r="B1431" s="10" t="s">
        <v>82</v>
      </c>
      <c r="C1431" s="10" t="s">
        <v>9020</v>
      </c>
      <c r="D1431" s="11" t="str">
        <f t="shared" si="1"/>
        <v>Abrir anúncio ↗</v>
      </c>
      <c r="E1431" s="12" t="s">
        <v>9021</v>
      </c>
      <c r="F1431" s="10" t="s">
        <v>29</v>
      </c>
      <c r="G1431" s="12" t="s">
        <v>3685</v>
      </c>
      <c r="H1431" s="12" t="s">
        <v>3789</v>
      </c>
      <c r="I1431" s="10"/>
      <c r="J1431" s="10"/>
      <c r="K1431" s="12"/>
    </row>
    <row r="1432" ht="15.75" customHeight="1">
      <c r="A1432" s="3" t="s">
        <v>12</v>
      </c>
      <c r="B1432" s="3" t="s">
        <v>82</v>
      </c>
      <c r="C1432" s="3" t="s">
        <v>9023</v>
      </c>
      <c r="D1432" s="8" t="str">
        <f t="shared" si="1"/>
        <v>Abrir anúncio ↗</v>
      </c>
      <c r="E1432" s="9" t="s">
        <v>9024</v>
      </c>
      <c r="F1432" s="3" t="s">
        <v>29</v>
      </c>
      <c r="G1432" s="9" t="s">
        <v>3685</v>
      </c>
      <c r="H1432" s="9" t="s">
        <v>3883</v>
      </c>
      <c r="I1432" s="3"/>
      <c r="J1432" s="3"/>
      <c r="K1432" s="9"/>
    </row>
    <row r="1433" ht="15.75" customHeight="1">
      <c r="A1433" s="10" t="s">
        <v>12</v>
      </c>
      <c r="B1433" s="10" t="s">
        <v>82</v>
      </c>
      <c r="C1433" s="10" t="s">
        <v>9025</v>
      </c>
      <c r="D1433" s="11" t="str">
        <f t="shared" si="1"/>
        <v>Abrir anúncio ↗</v>
      </c>
      <c r="E1433" s="12" t="s">
        <v>9026</v>
      </c>
      <c r="F1433" s="10" t="s">
        <v>29</v>
      </c>
      <c r="G1433" s="12" t="s">
        <v>3892</v>
      </c>
      <c r="H1433" s="12" t="s">
        <v>4751</v>
      </c>
      <c r="I1433" s="10"/>
      <c r="J1433" s="10"/>
      <c r="K1433" s="12"/>
    </row>
    <row r="1434" ht="15.75" customHeight="1">
      <c r="A1434" s="3" t="s">
        <v>12</v>
      </c>
      <c r="B1434" s="3" t="s">
        <v>82</v>
      </c>
      <c r="C1434" s="3" t="s">
        <v>9027</v>
      </c>
      <c r="D1434" s="8" t="str">
        <f t="shared" si="1"/>
        <v>Abrir anúncio ↗</v>
      </c>
      <c r="E1434" s="9" t="s">
        <v>9028</v>
      </c>
      <c r="F1434" s="3" t="s">
        <v>29</v>
      </c>
      <c r="G1434" s="9" t="s">
        <v>3685</v>
      </c>
      <c r="H1434" s="9" t="s">
        <v>3898</v>
      </c>
      <c r="I1434" s="3"/>
      <c r="J1434" s="3"/>
      <c r="K1434" s="9"/>
    </row>
    <row r="1435" ht="15.75" customHeight="1">
      <c r="A1435" s="10" t="s">
        <v>12</v>
      </c>
      <c r="B1435" s="10" t="s">
        <v>82</v>
      </c>
      <c r="C1435" s="10" t="s">
        <v>9029</v>
      </c>
      <c r="D1435" s="11" t="str">
        <f t="shared" si="1"/>
        <v>Abrir anúncio ↗</v>
      </c>
      <c r="E1435" s="12" t="s">
        <v>9030</v>
      </c>
      <c r="F1435" s="10" t="s">
        <v>29</v>
      </c>
      <c r="G1435" s="12" t="s">
        <v>3685</v>
      </c>
      <c r="H1435" s="12" t="s">
        <v>3687</v>
      </c>
      <c r="I1435" s="10"/>
      <c r="J1435" s="10"/>
      <c r="K1435" s="12"/>
    </row>
    <row r="1436" ht="15.75" customHeight="1">
      <c r="A1436" s="3" t="s">
        <v>12</v>
      </c>
      <c r="B1436" s="3" t="s">
        <v>82</v>
      </c>
      <c r="C1436" s="3" t="s">
        <v>9031</v>
      </c>
      <c r="D1436" s="8" t="str">
        <f t="shared" si="1"/>
        <v>Abrir anúncio ↗</v>
      </c>
      <c r="E1436" s="9" t="s">
        <v>9032</v>
      </c>
      <c r="F1436" s="3" t="s">
        <v>29</v>
      </c>
      <c r="G1436" s="9" t="s">
        <v>3685</v>
      </c>
      <c r="H1436" s="9" t="s">
        <v>3986</v>
      </c>
      <c r="I1436" s="3"/>
      <c r="J1436" s="3"/>
      <c r="K1436" s="9"/>
    </row>
    <row r="1437" ht="15.75" customHeight="1">
      <c r="A1437" s="10" t="s">
        <v>12</v>
      </c>
      <c r="B1437" s="10" t="s">
        <v>82</v>
      </c>
      <c r="C1437" s="10" t="s">
        <v>9033</v>
      </c>
      <c r="D1437" s="11" t="str">
        <f t="shared" si="1"/>
        <v>Abrir anúncio ↗</v>
      </c>
      <c r="E1437" s="12" t="s">
        <v>9034</v>
      </c>
      <c r="F1437" s="10" t="s">
        <v>29</v>
      </c>
      <c r="G1437" s="12" t="s">
        <v>3685</v>
      </c>
      <c r="H1437" s="12" t="s">
        <v>3877</v>
      </c>
      <c r="I1437" s="10"/>
      <c r="J1437" s="10"/>
      <c r="K1437" s="12"/>
    </row>
    <row r="1438" ht="15.75" customHeight="1">
      <c r="A1438" s="3" t="s">
        <v>12</v>
      </c>
      <c r="B1438" s="3" t="s">
        <v>82</v>
      </c>
      <c r="C1438" s="3" t="s">
        <v>9035</v>
      </c>
      <c r="D1438" s="8" t="str">
        <f t="shared" si="1"/>
        <v>Abrir anúncio ↗</v>
      </c>
      <c r="E1438" s="9" t="s">
        <v>9036</v>
      </c>
      <c r="F1438" s="3" t="s">
        <v>29</v>
      </c>
      <c r="G1438" s="9" t="s">
        <v>5161</v>
      </c>
      <c r="H1438" s="9" t="s">
        <v>9037</v>
      </c>
      <c r="I1438" s="3"/>
      <c r="J1438" s="3"/>
      <c r="K1438" s="9"/>
    </row>
    <row r="1439" ht="15.75" customHeight="1">
      <c r="A1439" s="10" t="s">
        <v>12</v>
      </c>
      <c r="B1439" s="10" t="s">
        <v>82</v>
      </c>
      <c r="C1439" s="10" t="s">
        <v>9039</v>
      </c>
      <c r="D1439" s="11" t="str">
        <f t="shared" si="1"/>
        <v>Abrir anúncio ↗</v>
      </c>
      <c r="E1439" s="12" t="s">
        <v>9041</v>
      </c>
      <c r="F1439" s="10" t="s">
        <v>29</v>
      </c>
      <c r="G1439" s="12" t="s">
        <v>3685</v>
      </c>
      <c r="H1439" s="12" t="s">
        <v>3917</v>
      </c>
      <c r="I1439" s="10"/>
      <c r="J1439" s="10"/>
      <c r="K1439" s="12"/>
    </row>
    <row r="1440" ht="15.75" customHeight="1">
      <c r="A1440" s="3" t="s">
        <v>12</v>
      </c>
      <c r="B1440" s="3" t="s">
        <v>82</v>
      </c>
      <c r="C1440" s="3" t="s">
        <v>9043</v>
      </c>
      <c r="D1440" s="8" t="str">
        <f t="shared" si="1"/>
        <v>Abrir anúncio ↗</v>
      </c>
      <c r="E1440" s="9" t="s">
        <v>9044</v>
      </c>
      <c r="F1440" s="3" t="s">
        <v>29</v>
      </c>
      <c r="G1440" s="9" t="s">
        <v>3685</v>
      </c>
      <c r="H1440" s="9" t="s">
        <v>4207</v>
      </c>
      <c r="I1440" s="3"/>
      <c r="J1440" s="3"/>
      <c r="K1440" s="9"/>
    </row>
    <row r="1441" ht="15.75" customHeight="1">
      <c r="A1441" s="10" t="s">
        <v>12</v>
      </c>
      <c r="B1441" s="10" t="s">
        <v>82</v>
      </c>
      <c r="C1441" s="10" t="s">
        <v>9045</v>
      </c>
      <c r="D1441" s="11" t="str">
        <f t="shared" si="1"/>
        <v>Abrir anúncio ↗</v>
      </c>
      <c r="E1441" s="12" t="s">
        <v>9046</v>
      </c>
      <c r="F1441" s="10" t="s">
        <v>29</v>
      </c>
      <c r="G1441" s="12" t="s">
        <v>3685</v>
      </c>
      <c r="H1441" s="12" t="s">
        <v>4315</v>
      </c>
      <c r="I1441" s="10"/>
      <c r="J1441" s="10"/>
      <c r="K1441" s="12"/>
    </row>
    <row r="1442" ht="15.75" customHeight="1">
      <c r="A1442" s="3" t="s">
        <v>12</v>
      </c>
      <c r="B1442" s="3" t="s">
        <v>82</v>
      </c>
      <c r="C1442" s="3" t="s">
        <v>9047</v>
      </c>
      <c r="D1442" s="8" t="str">
        <f t="shared" si="1"/>
        <v>Abrir anúncio ↗</v>
      </c>
      <c r="E1442" s="9" t="s">
        <v>9048</v>
      </c>
      <c r="F1442" s="3" t="s">
        <v>29</v>
      </c>
      <c r="G1442" s="9" t="s">
        <v>3685</v>
      </c>
      <c r="H1442" s="9" t="s">
        <v>3986</v>
      </c>
      <c r="I1442" s="3"/>
      <c r="J1442" s="3"/>
      <c r="K1442" s="9"/>
    </row>
    <row r="1443" ht="15.75" customHeight="1">
      <c r="A1443" s="10" t="s">
        <v>12</v>
      </c>
      <c r="B1443" s="10" t="s">
        <v>82</v>
      </c>
      <c r="C1443" s="10" t="s">
        <v>9050</v>
      </c>
      <c r="D1443" s="11" t="str">
        <f t="shared" si="1"/>
        <v>Abrir anúncio ↗</v>
      </c>
      <c r="E1443" s="12" t="s">
        <v>9053</v>
      </c>
      <c r="F1443" s="10" t="s">
        <v>29</v>
      </c>
      <c r="G1443" s="12" t="s">
        <v>3422</v>
      </c>
      <c r="H1443" s="12" t="s">
        <v>6170</v>
      </c>
      <c r="I1443" s="10"/>
      <c r="J1443" s="10"/>
      <c r="K1443" s="12"/>
    </row>
    <row r="1444" ht="15.75" customHeight="1">
      <c r="A1444" s="3" t="s">
        <v>12</v>
      </c>
      <c r="B1444" s="3" t="s">
        <v>82</v>
      </c>
      <c r="C1444" s="3" t="s">
        <v>9055</v>
      </c>
      <c r="D1444" s="8" t="str">
        <f t="shared" si="1"/>
        <v>Abrir anúncio ↗</v>
      </c>
      <c r="E1444" s="9" t="s">
        <v>9056</v>
      </c>
      <c r="F1444" s="3" t="s">
        <v>29</v>
      </c>
      <c r="G1444" s="9" t="s">
        <v>2153</v>
      </c>
      <c r="H1444" s="9" t="s">
        <v>2201</v>
      </c>
      <c r="I1444" s="3"/>
      <c r="J1444" s="3"/>
      <c r="K1444" s="9"/>
    </row>
    <row r="1445" ht="15.75" customHeight="1">
      <c r="A1445" s="10" t="s">
        <v>12</v>
      </c>
      <c r="B1445" s="10" t="s">
        <v>82</v>
      </c>
      <c r="C1445" s="10" t="s">
        <v>9057</v>
      </c>
      <c r="D1445" s="11" t="str">
        <f t="shared" si="1"/>
        <v>Abrir anúncio ↗</v>
      </c>
      <c r="E1445" s="12" t="s">
        <v>9058</v>
      </c>
      <c r="F1445" s="10" t="s">
        <v>29</v>
      </c>
      <c r="G1445" s="12" t="s">
        <v>3709</v>
      </c>
      <c r="H1445" s="12" t="s">
        <v>6779</v>
      </c>
      <c r="I1445" s="10"/>
      <c r="J1445" s="10"/>
      <c r="K1445" s="12"/>
    </row>
    <row r="1446" ht="15.75" customHeight="1">
      <c r="A1446" s="3" t="s">
        <v>12</v>
      </c>
      <c r="B1446" s="3" t="s">
        <v>82</v>
      </c>
      <c r="C1446" s="3" t="s">
        <v>9010</v>
      </c>
      <c r="D1446" s="8" t="str">
        <f t="shared" si="1"/>
        <v>Abrir anúncio ↗</v>
      </c>
      <c r="E1446" s="9" t="s">
        <v>9006</v>
      </c>
      <c r="F1446" s="3" t="s">
        <v>29</v>
      </c>
      <c r="G1446" s="9" t="s">
        <v>2390</v>
      </c>
      <c r="H1446" s="9" t="s">
        <v>2392</v>
      </c>
      <c r="I1446" s="3"/>
      <c r="J1446" s="3"/>
      <c r="K1446" s="9"/>
    </row>
    <row r="1447" ht="15.75" customHeight="1">
      <c r="A1447" s="10" t="s">
        <v>12</v>
      </c>
      <c r="B1447" s="10" t="s">
        <v>82</v>
      </c>
      <c r="C1447" s="10" t="s">
        <v>9015</v>
      </c>
      <c r="D1447" s="11" t="str">
        <f t="shared" si="1"/>
        <v>Abrir anúncio ↗</v>
      </c>
      <c r="E1447" s="12" t="s">
        <v>9012</v>
      </c>
      <c r="F1447" s="10" t="s">
        <v>29</v>
      </c>
      <c r="G1447" s="12" t="s">
        <v>2390</v>
      </c>
      <c r="H1447" s="12" t="s">
        <v>2392</v>
      </c>
      <c r="I1447" s="10"/>
      <c r="J1447" s="10"/>
      <c r="K1447" s="12"/>
    </row>
    <row r="1448" ht="15.75" customHeight="1">
      <c r="A1448" s="3" t="s">
        <v>12</v>
      </c>
      <c r="B1448" s="3" t="s">
        <v>82</v>
      </c>
      <c r="C1448" s="3" t="s">
        <v>9059</v>
      </c>
      <c r="D1448" s="8" t="str">
        <f t="shared" si="1"/>
        <v>Abrir anúncio ↗</v>
      </c>
      <c r="E1448" s="9" t="s">
        <v>9060</v>
      </c>
      <c r="F1448" s="3" t="s">
        <v>29</v>
      </c>
      <c r="G1448" s="9" t="s">
        <v>3709</v>
      </c>
      <c r="H1448" s="9" t="s">
        <v>4584</v>
      </c>
      <c r="I1448" s="3"/>
      <c r="J1448" s="3"/>
      <c r="K1448" s="9"/>
    </row>
    <row r="1449" ht="15.75" customHeight="1">
      <c r="A1449" s="10" t="s">
        <v>12</v>
      </c>
      <c r="B1449" s="10" t="s">
        <v>82</v>
      </c>
      <c r="C1449" s="10" t="s">
        <v>7746</v>
      </c>
      <c r="D1449" s="11" t="str">
        <f t="shared" si="1"/>
        <v>Abrir anúncio ↗</v>
      </c>
      <c r="E1449" s="12" t="s">
        <v>7743</v>
      </c>
      <c r="F1449" s="10" t="s">
        <v>29</v>
      </c>
      <c r="G1449" s="12" t="s">
        <v>2390</v>
      </c>
      <c r="H1449" s="12" t="s">
        <v>2392</v>
      </c>
      <c r="I1449" s="10"/>
      <c r="J1449" s="10"/>
      <c r="K1449" s="12"/>
    </row>
    <row r="1450" ht="15.75" customHeight="1">
      <c r="A1450" s="3" t="s">
        <v>12</v>
      </c>
      <c r="B1450" s="3" t="s">
        <v>82</v>
      </c>
      <c r="C1450" s="3" t="s">
        <v>7621</v>
      </c>
      <c r="D1450" s="8" t="str">
        <f t="shared" si="1"/>
        <v>Abrir anúncio ↗</v>
      </c>
      <c r="E1450" s="9" t="s">
        <v>7620</v>
      </c>
      <c r="F1450" s="3" t="s">
        <v>29</v>
      </c>
      <c r="G1450" s="9" t="s">
        <v>2390</v>
      </c>
      <c r="H1450" s="9" t="s">
        <v>2392</v>
      </c>
      <c r="I1450" s="3"/>
      <c r="J1450" s="3"/>
      <c r="K1450" s="9"/>
    </row>
    <row r="1451" ht="15.75" customHeight="1">
      <c r="A1451" s="10" t="s">
        <v>12</v>
      </c>
      <c r="B1451" s="10" t="s">
        <v>82</v>
      </c>
      <c r="C1451" s="10" t="s">
        <v>9064</v>
      </c>
      <c r="D1451" s="11" t="str">
        <f t="shared" si="1"/>
        <v>Abrir anúncio ↗</v>
      </c>
      <c r="E1451" s="12" t="s">
        <v>9065</v>
      </c>
      <c r="F1451" s="10" t="s">
        <v>29</v>
      </c>
      <c r="G1451" s="12" t="s">
        <v>3709</v>
      </c>
      <c r="H1451" s="12" t="s">
        <v>4105</v>
      </c>
      <c r="I1451" s="10"/>
      <c r="J1451" s="10"/>
      <c r="K1451" s="12"/>
    </row>
    <row r="1452" ht="15.75" customHeight="1">
      <c r="A1452" s="3" t="s">
        <v>12</v>
      </c>
      <c r="B1452" s="3" t="s">
        <v>82</v>
      </c>
      <c r="C1452" s="3" t="s">
        <v>9067</v>
      </c>
      <c r="D1452" s="8" t="str">
        <f t="shared" si="1"/>
        <v>Abrir anúncio ↗</v>
      </c>
      <c r="E1452" s="9" t="s">
        <v>9070</v>
      </c>
      <c r="F1452" s="3" t="s">
        <v>29</v>
      </c>
      <c r="G1452" s="9" t="s">
        <v>3709</v>
      </c>
      <c r="H1452" s="9" t="s">
        <v>4084</v>
      </c>
      <c r="I1452" s="3"/>
      <c r="J1452" s="3"/>
      <c r="K1452" s="9"/>
    </row>
    <row r="1453" ht="15.75" customHeight="1">
      <c r="A1453" s="10" t="s">
        <v>12</v>
      </c>
      <c r="B1453" s="10" t="s">
        <v>82</v>
      </c>
      <c r="C1453" s="10" t="s">
        <v>9072</v>
      </c>
      <c r="D1453" s="11" t="str">
        <f t="shared" si="1"/>
        <v>Abrir anúncio ↗</v>
      </c>
      <c r="E1453" s="12" t="s">
        <v>9073</v>
      </c>
      <c r="F1453" s="10" t="s">
        <v>29</v>
      </c>
      <c r="G1453" s="12" t="s">
        <v>3709</v>
      </c>
      <c r="H1453" s="12" t="s">
        <v>4245</v>
      </c>
      <c r="I1453" s="10"/>
      <c r="J1453" s="10"/>
      <c r="K1453" s="12"/>
    </row>
    <row r="1454" ht="15.75" customHeight="1">
      <c r="A1454" s="3" t="s">
        <v>12</v>
      </c>
      <c r="B1454" s="3" t="s">
        <v>82</v>
      </c>
      <c r="C1454" s="3" t="s">
        <v>9076</v>
      </c>
      <c r="D1454" s="8" t="str">
        <f t="shared" si="1"/>
        <v>Abrir anúncio ↗</v>
      </c>
      <c r="E1454" s="9" t="s">
        <v>9078</v>
      </c>
      <c r="F1454" s="3" t="s">
        <v>29</v>
      </c>
      <c r="G1454" s="9" t="s">
        <v>3709</v>
      </c>
      <c r="H1454" s="9" t="s">
        <v>5973</v>
      </c>
      <c r="I1454" s="3"/>
      <c r="J1454" s="3"/>
      <c r="K1454" s="9"/>
    </row>
    <row r="1455" ht="15.75" customHeight="1">
      <c r="A1455" s="10" t="s">
        <v>12</v>
      </c>
      <c r="B1455" s="10" t="s">
        <v>82</v>
      </c>
      <c r="C1455" s="10" t="s">
        <v>9079</v>
      </c>
      <c r="D1455" s="11" t="str">
        <f t="shared" si="1"/>
        <v>Abrir anúncio ↗</v>
      </c>
      <c r="E1455" s="12" t="s">
        <v>9080</v>
      </c>
      <c r="F1455" s="10" t="s">
        <v>29</v>
      </c>
      <c r="G1455" s="12" t="s">
        <v>3709</v>
      </c>
      <c r="H1455" s="12" t="s">
        <v>5737</v>
      </c>
      <c r="I1455" s="10"/>
      <c r="J1455" s="10"/>
      <c r="K1455" s="12"/>
    </row>
    <row r="1456" ht="15.75" customHeight="1">
      <c r="A1456" s="3" t="s">
        <v>12</v>
      </c>
      <c r="B1456" s="3" t="s">
        <v>82</v>
      </c>
      <c r="C1456" s="3" t="s">
        <v>9082</v>
      </c>
      <c r="D1456" s="8" t="str">
        <f t="shared" si="1"/>
        <v>Abrir anúncio ↗</v>
      </c>
      <c r="E1456" s="9" t="s">
        <v>9084</v>
      </c>
      <c r="F1456" s="3" t="s">
        <v>29</v>
      </c>
      <c r="G1456" s="9" t="s">
        <v>3709</v>
      </c>
      <c r="H1456" s="9" t="s">
        <v>4141</v>
      </c>
      <c r="I1456" s="3"/>
      <c r="J1456" s="3"/>
      <c r="K1456" s="9"/>
    </row>
    <row r="1457" ht="15.75" customHeight="1">
      <c r="A1457" s="10" t="s">
        <v>12</v>
      </c>
      <c r="B1457" s="10" t="s">
        <v>82</v>
      </c>
      <c r="C1457" s="10" t="s">
        <v>9086</v>
      </c>
      <c r="D1457" s="11" t="str">
        <f t="shared" si="1"/>
        <v>Abrir anúncio ↗</v>
      </c>
      <c r="E1457" s="12" t="s">
        <v>9087</v>
      </c>
      <c r="F1457" s="10" t="s">
        <v>29</v>
      </c>
      <c r="G1457" s="12" t="s">
        <v>3685</v>
      </c>
      <c r="H1457" s="12" t="s">
        <v>3853</v>
      </c>
      <c r="I1457" s="10"/>
      <c r="J1457" s="10"/>
      <c r="K1457" s="12"/>
    </row>
    <row r="1458" ht="15.75" customHeight="1">
      <c r="A1458" s="3" t="s">
        <v>12</v>
      </c>
      <c r="B1458" s="3" t="s">
        <v>82</v>
      </c>
      <c r="C1458" s="3" t="s">
        <v>9088</v>
      </c>
      <c r="D1458" s="8" t="str">
        <f t="shared" si="1"/>
        <v>Abrir anúncio ↗</v>
      </c>
      <c r="E1458" s="9" t="s">
        <v>9089</v>
      </c>
      <c r="F1458" s="3" t="s">
        <v>29</v>
      </c>
      <c r="G1458" s="9" t="s">
        <v>3892</v>
      </c>
      <c r="H1458" s="9" t="s">
        <v>4221</v>
      </c>
      <c r="I1458" s="3"/>
      <c r="J1458" s="3"/>
      <c r="K1458" s="9"/>
    </row>
    <row r="1459" ht="15.75" customHeight="1">
      <c r="A1459" s="10" t="s">
        <v>12</v>
      </c>
      <c r="B1459" s="10" t="s">
        <v>82</v>
      </c>
      <c r="C1459" s="10" t="s">
        <v>9092</v>
      </c>
      <c r="D1459" s="11" t="str">
        <f t="shared" si="1"/>
        <v>Abrir anúncio ↗</v>
      </c>
      <c r="E1459" s="12" t="s">
        <v>9094</v>
      </c>
      <c r="F1459" s="10" t="s">
        <v>29</v>
      </c>
      <c r="G1459" s="12" t="s">
        <v>6220</v>
      </c>
      <c r="H1459" s="12" t="s">
        <v>7179</v>
      </c>
      <c r="I1459" s="10"/>
      <c r="J1459" s="10"/>
      <c r="K1459" s="12"/>
    </row>
    <row r="1460" ht="15.75" customHeight="1">
      <c r="A1460" s="3" t="s">
        <v>12</v>
      </c>
      <c r="B1460" s="3" t="s">
        <v>82</v>
      </c>
      <c r="C1460" s="3" t="s">
        <v>8158</v>
      </c>
      <c r="D1460" s="8" t="str">
        <f t="shared" si="1"/>
        <v>Abrir anúncio ↗</v>
      </c>
      <c r="E1460" s="9" t="s">
        <v>8154</v>
      </c>
      <c r="F1460" s="3" t="s">
        <v>29</v>
      </c>
      <c r="G1460" s="9" t="s">
        <v>5946</v>
      </c>
      <c r="H1460" s="9" t="s">
        <v>5948</v>
      </c>
      <c r="I1460" s="3"/>
      <c r="J1460" s="3"/>
      <c r="K1460" s="9"/>
    </row>
    <row r="1461" ht="15.75" customHeight="1">
      <c r="A1461" s="10" t="s">
        <v>12</v>
      </c>
      <c r="B1461" s="10" t="s">
        <v>82</v>
      </c>
      <c r="C1461" s="10" t="s">
        <v>9096</v>
      </c>
      <c r="D1461" s="11" t="str">
        <f t="shared" si="1"/>
        <v>Abrir anúncio ↗</v>
      </c>
      <c r="E1461" s="12" t="s">
        <v>9097</v>
      </c>
      <c r="F1461" s="10" t="s">
        <v>29</v>
      </c>
      <c r="G1461" s="12" t="s">
        <v>3685</v>
      </c>
      <c r="H1461" s="12" t="s">
        <v>4315</v>
      </c>
      <c r="I1461" s="10"/>
      <c r="J1461" s="10"/>
      <c r="K1461" s="12"/>
    </row>
    <row r="1462" ht="15.75" customHeight="1">
      <c r="A1462" s="3" t="s">
        <v>12</v>
      </c>
      <c r="B1462" s="3" t="s">
        <v>82</v>
      </c>
      <c r="C1462" s="3" t="s">
        <v>9098</v>
      </c>
      <c r="D1462" s="8" t="str">
        <f t="shared" si="1"/>
        <v>Abrir anúncio ↗</v>
      </c>
      <c r="E1462" s="9" t="s">
        <v>9099</v>
      </c>
      <c r="F1462" s="3" t="s">
        <v>29</v>
      </c>
      <c r="G1462" s="9" t="s">
        <v>3685</v>
      </c>
      <c r="H1462" s="9" t="s">
        <v>3853</v>
      </c>
      <c r="I1462" s="3"/>
      <c r="J1462" s="3"/>
      <c r="K1462" s="9"/>
    </row>
    <row r="1463" ht="15.75" customHeight="1">
      <c r="A1463" s="10" t="s">
        <v>12</v>
      </c>
      <c r="B1463" s="10" t="s">
        <v>82</v>
      </c>
      <c r="C1463" s="10" t="s">
        <v>9103</v>
      </c>
      <c r="D1463" s="11" t="str">
        <f t="shared" si="1"/>
        <v>Abrir anúncio ↗</v>
      </c>
      <c r="E1463" s="12" t="s">
        <v>9104</v>
      </c>
      <c r="F1463" s="10" t="s">
        <v>29</v>
      </c>
      <c r="G1463" s="12" t="s">
        <v>3685</v>
      </c>
      <c r="H1463" s="12" t="s">
        <v>3789</v>
      </c>
      <c r="I1463" s="10"/>
      <c r="J1463" s="10"/>
      <c r="K1463" s="12"/>
    </row>
    <row r="1464" ht="15.75" customHeight="1">
      <c r="A1464" s="3" t="s">
        <v>12</v>
      </c>
      <c r="B1464" s="3" t="s">
        <v>82</v>
      </c>
      <c r="C1464" s="3" t="s">
        <v>9107</v>
      </c>
      <c r="D1464" s="8" t="str">
        <f t="shared" si="1"/>
        <v>Abrir anúncio ↗</v>
      </c>
      <c r="E1464" s="9" t="s">
        <v>9108</v>
      </c>
      <c r="F1464" s="3" t="s">
        <v>29</v>
      </c>
      <c r="G1464" s="9" t="s">
        <v>3685</v>
      </c>
      <c r="H1464" s="9" t="s">
        <v>4167</v>
      </c>
      <c r="I1464" s="3"/>
      <c r="J1464" s="3"/>
      <c r="K1464" s="9"/>
    </row>
    <row r="1465" ht="15.75" customHeight="1">
      <c r="A1465" s="10" t="s">
        <v>12</v>
      </c>
      <c r="B1465" s="10" t="s">
        <v>82</v>
      </c>
      <c r="C1465" s="10" t="s">
        <v>9110</v>
      </c>
      <c r="D1465" s="11" t="str">
        <f t="shared" si="1"/>
        <v>Abrir anúncio ↗</v>
      </c>
      <c r="E1465" s="12" t="s">
        <v>9111</v>
      </c>
      <c r="F1465" s="10" t="s">
        <v>29</v>
      </c>
      <c r="G1465" s="12" t="s">
        <v>3892</v>
      </c>
      <c r="H1465" s="12" t="s">
        <v>6580</v>
      </c>
      <c r="I1465" s="10"/>
      <c r="J1465" s="10"/>
      <c r="K1465" s="12"/>
    </row>
    <row r="1466" ht="15.75" customHeight="1">
      <c r="A1466" s="3" t="s">
        <v>12</v>
      </c>
      <c r="B1466" s="3" t="s">
        <v>82</v>
      </c>
      <c r="C1466" s="3" t="s">
        <v>9112</v>
      </c>
      <c r="D1466" s="8" t="str">
        <f t="shared" si="1"/>
        <v>Abrir anúncio ↗</v>
      </c>
      <c r="E1466" s="9" t="s">
        <v>9113</v>
      </c>
      <c r="F1466" s="3" t="s">
        <v>29</v>
      </c>
      <c r="G1466" s="9" t="s">
        <v>6220</v>
      </c>
      <c r="H1466" s="9" t="s">
        <v>7327</v>
      </c>
      <c r="I1466" s="3"/>
      <c r="J1466" s="3"/>
      <c r="K1466" s="9"/>
    </row>
    <row r="1467" ht="15.75" customHeight="1">
      <c r="A1467" s="10" t="s">
        <v>12</v>
      </c>
      <c r="B1467" s="10" t="s">
        <v>82</v>
      </c>
      <c r="C1467" s="10" t="s">
        <v>9115</v>
      </c>
      <c r="D1467" s="11" t="str">
        <f t="shared" si="1"/>
        <v>Abrir anúncio ↗</v>
      </c>
      <c r="E1467" s="12" t="s">
        <v>9116</v>
      </c>
      <c r="F1467" s="10" t="s">
        <v>29</v>
      </c>
      <c r="G1467" s="12" t="s">
        <v>3709</v>
      </c>
      <c r="H1467" s="12" t="s">
        <v>4245</v>
      </c>
      <c r="I1467" s="10"/>
      <c r="J1467" s="10"/>
      <c r="K1467" s="12"/>
    </row>
    <row r="1468" ht="15.75" customHeight="1">
      <c r="A1468" s="3" t="s">
        <v>12</v>
      </c>
      <c r="B1468" s="3" t="s">
        <v>82</v>
      </c>
      <c r="C1468" s="3" t="s">
        <v>9117</v>
      </c>
      <c r="D1468" s="8" t="str">
        <f t="shared" si="1"/>
        <v>Abrir anúncio ↗</v>
      </c>
      <c r="E1468" s="9" t="s">
        <v>9118</v>
      </c>
      <c r="F1468" s="3" t="s">
        <v>29</v>
      </c>
      <c r="G1468" s="9" t="s">
        <v>3709</v>
      </c>
      <c r="H1468" s="9" t="s">
        <v>3712</v>
      </c>
      <c r="I1468" s="3"/>
      <c r="J1468" s="3"/>
      <c r="K1468" s="9"/>
    </row>
    <row r="1469" ht="15.75" customHeight="1">
      <c r="A1469" s="10" t="s">
        <v>12</v>
      </c>
      <c r="B1469" s="10" t="s">
        <v>82</v>
      </c>
      <c r="C1469" s="10" t="s">
        <v>9121</v>
      </c>
      <c r="D1469" s="11" t="str">
        <f t="shared" si="1"/>
        <v>Abrir anúncio ↗</v>
      </c>
      <c r="E1469" s="12" t="s">
        <v>9122</v>
      </c>
      <c r="F1469" s="10" t="s">
        <v>29</v>
      </c>
      <c r="G1469" s="12" t="s">
        <v>3685</v>
      </c>
      <c r="H1469" s="12" t="s">
        <v>4694</v>
      </c>
      <c r="I1469" s="10"/>
      <c r="J1469" s="10"/>
      <c r="K1469" s="12"/>
    </row>
    <row r="1470" ht="15.75" customHeight="1">
      <c r="A1470" s="3" t="s">
        <v>12</v>
      </c>
      <c r="B1470" s="3" t="s">
        <v>82</v>
      </c>
      <c r="C1470" s="3" t="s">
        <v>9124</v>
      </c>
      <c r="D1470" s="8" t="str">
        <f t="shared" si="1"/>
        <v>Abrir anúncio ↗</v>
      </c>
      <c r="E1470" s="9" t="s">
        <v>9127</v>
      </c>
      <c r="F1470" s="3" t="s">
        <v>29</v>
      </c>
      <c r="G1470" s="9" t="s">
        <v>3709</v>
      </c>
      <c r="H1470" s="9" t="s">
        <v>4004</v>
      </c>
      <c r="I1470" s="3"/>
      <c r="J1470" s="3"/>
      <c r="K1470" s="9"/>
    </row>
    <row r="1471" ht="15.75" customHeight="1">
      <c r="A1471" s="10" t="s">
        <v>12</v>
      </c>
      <c r="B1471" s="10" t="s">
        <v>82</v>
      </c>
      <c r="C1471" s="10" t="s">
        <v>9129</v>
      </c>
      <c r="D1471" s="11" t="str">
        <f t="shared" si="1"/>
        <v>Abrir anúncio ↗</v>
      </c>
      <c r="E1471" s="12" t="s">
        <v>9130</v>
      </c>
      <c r="F1471" s="10" t="s">
        <v>29</v>
      </c>
      <c r="G1471" s="12" t="s">
        <v>3685</v>
      </c>
      <c r="H1471" s="12" t="s">
        <v>3853</v>
      </c>
      <c r="I1471" s="10"/>
      <c r="J1471" s="10"/>
      <c r="K1471" s="12"/>
    </row>
    <row r="1472" ht="15.75" customHeight="1">
      <c r="A1472" s="3" t="s">
        <v>12</v>
      </c>
      <c r="B1472" s="3" t="s">
        <v>82</v>
      </c>
      <c r="C1472" s="3" t="s">
        <v>9131</v>
      </c>
      <c r="D1472" s="8" t="str">
        <f t="shared" si="1"/>
        <v>Abrir anúncio ↗</v>
      </c>
      <c r="E1472" s="9" t="s">
        <v>9133</v>
      </c>
      <c r="F1472" s="3" t="s">
        <v>29</v>
      </c>
      <c r="G1472" s="9" t="s">
        <v>3892</v>
      </c>
      <c r="H1472" s="9" t="s">
        <v>4588</v>
      </c>
      <c r="I1472" s="3"/>
      <c r="J1472" s="3"/>
      <c r="K1472" s="9"/>
    </row>
    <row r="1473" ht="15.75" customHeight="1">
      <c r="A1473" s="10" t="s">
        <v>12</v>
      </c>
      <c r="B1473" s="10" t="s">
        <v>82</v>
      </c>
      <c r="C1473" s="10" t="s">
        <v>9134</v>
      </c>
      <c r="D1473" s="11" t="str">
        <f t="shared" si="1"/>
        <v>Abrir anúncio ↗</v>
      </c>
      <c r="E1473" s="12" t="s">
        <v>9135</v>
      </c>
      <c r="F1473" s="10" t="s">
        <v>29</v>
      </c>
      <c r="G1473" s="12" t="s">
        <v>3685</v>
      </c>
      <c r="H1473" s="12" t="s">
        <v>3789</v>
      </c>
      <c r="I1473" s="10"/>
      <c r="J1473" s="10"/>
      <c r="K1473" s="12"/>
    </row>
    <row r="1474" ht="15.75" customHeight="1">
      <c r="A1474" s="3" t="s">
        <v>12</v>
      </c>
      <c r="B1474" s="3" t="s">
        <v>82</v>
      </c>
      <c r="C1474" s="3" t="s">
        <v>9136</v>
      </c>
      <c r="D1474" s="8" t="str">
        <f t="shared" si="1"/>
        <v>Abrir anúncio ↗</v>
      </c>
      <c r="E1474" s="9" t="s">
        <v>9137</v>
      </c>
      <c r="F1474" s="3" t="s">
        <v>86</v>
      </c>
      <c r="G1474" s="9" t="s">
        <v>3685</v>
      </c>
      <c r="H1474" s="9" t="s">
        <v>3986</v>
      </c>
      <c r="I1474" s="3"/>
      <c r="J1474" s="3"/>
      <c r="K1474" s="9"/>
    </row>
    <row r="1475" ht="15.75" customHeight="1">
      <c r="A1475" s="10" t="s">
        <v>12</v>
      </c>
      <c r="B1475" s="10" t="s">
        <v>82</v>
      </c>
      <c r="C1475" s="10" t="s">
        <v>9138</v>
      </c>
      <c r="D1475" s="11" t="str">
        <f t="shared" si="1"/>
        <v>Abrir anúncio ↗</v>
      </c>
      <c r="E1475" s="12" t="s">
        <v>9139</v>
      </c>
      <c r="F1475" s="10" t="s">
        <v>29</v>
      </c>
      <c r="G1475" s="12" t="s">
        <v>3685</v>
      </c>
      <c r="H1475" s="12" t="s">
        <v>4167</v>
      </c>
      <c r="I1475" s="10"/>
      <c r="J1475" s="10"/>
      <c r="K1475" s="12"/>
    </row>
    <row r="1476" ht="15.75" customHeight="1">
      <c r="A1476" s="3" t="s">
        <v>12</v>
      </c>
      <c r="B1476" s="3" t="s">
        <v>82</v>
      </c>
      <c r="C1476" s="3" t="s">
        <v>9140</v>
      </c>
      <c r="D1476" s="8" t="str">
        <f t="shared" si="1"/>
        <v>Abrir anúncio ↗</v>
      </c>
      <c r="E1476" s="9" t="s">
        <v>9141</v>
      </c>
      <c r="F1476" s="3" t="s">
        <v>29</v>
      </c>
      <c r="G1476" s="9" t="s">
        <v>3685</v>
      </c>
      <c r="H1476" s="9" t="s">
        <v>4360</v>
      </c>
      <c r="I1476" s="3"/>
      <c r="J1476" s="3"/>
      <c r="K1476" s="9"/>
    </row>
    <row r="1477" ht="15.75" customHeight="1">
      <c r="A1477" s="10" t="s">
        <v>12</v>
      </c>
      <c r="B1477" s="10" t="s">
        <v>82</v>
      </c>
      <c r="C1477" s="10" t="s">
        <v>9144</v>
      </c>
      <c r="D1477" s="11" t="str">
        <f t="shared" si="1"/>
        <v>Abrir anúncio ↗</v>
      </c>
      <c r="E1477" s="12" t="s">
        <v>9146</v>
      </c>
      <c r="F1477" s="10" t="s">
        <v>29</v>
      </c>
      <c r="G1477" s="12" t="s">
        <v>3709</v>
      </c>
      <c r="H1477" s="12" t="s">
        <v>4443</v>
      </c>
      <c r="I1477" s="10"/>
      <c r="J1477" s="10"/>
      <c r="K1477" s="12"/>
    </row>
    <row r="1478" ht="15.75" customHeight="1">
      <c r="A1478" s="3" t="s">
        <v>12</v>
      </c>
      <c r="B1478" s="3" t="s">
        <v>82</v>
      </c>
      <c r="C1478" s="3" t="s">
        <v>9147</v>
      </c>
      <c r="D1478" s="8" t="str">
        <f t="shared" si="1"/>
        <v>Abrir anúncio ↗</v>
      </c>
      <c r="E1478" s="9" t="s">
        <v>9148</v>
      </c>
      <c r="F1478" s="3" t="s">
        <v>29</v>
      </c>
      <c r="G1478" s="9" t="s">
        <v>2390</v>
      </c>
      <c r="H1478" s="9" t="s">
        <v>2392</v>
      </c>
      <c r="I1478" s="3"/>
      <c r="J1478" s="3"/>
      <c r="K1478" s="9"/>
    </row>
    <row r="1479" ht="15.75" customHeight="1">
      <c r="A1479" s="10" t="s">
        <v>12</v>
      </c>
      <c r="B1479" s="10" t="s">
        <v>82</v>
      </c>
      <c r="C1479" s="10" t="s">
        <v>9150</v>
      </c>
      <c r="D1479" s="11" t="str">
        <f t="shared" si="1"/>
        <v>Abrir anúncio ↗</v>
      </c>
      <c r="E1479" s="12" t="s">
        <v>9152</v>
      </c>
      <c r="F1479" s="10" t="s">
        <v>29</v>
      </c>
      <c r="G1479" s="12" t="s">
        <v>3709</v>
      </c>
      <c r="H1479" s="12" t="s">
        <v>4146</v>
      </c>
      <c r="I1479" s="10"/>
      <c r="J1479" s="10"/>
      <c r="K1479" s="12"/>
    </row>
    <row r="1480" ht="15.75" customHeight="1">
      <c r="A1480" s="3" t="s">
        <v>12</v>
      </c>
      <c r="B1480" s="3" t="s">
        <v>82</v>
      </c>
      <c r="C1480" s="3" t="s">
        <v>9154</v>
      </c>
      <c r="D1480" s="8" t="str">
        <f t="shared" si="1"/>
        <v>Abrir anúncio ↗</v>
      </c>
      <c r="E1480" s="9" t="s">
        <v>9155</v>
      </c>
      <c r="F1480" s="3" t="s">
        <v>29</v>
      </c>
      <c r="G1480" s="9" t="s">
        <v>6220</v>
      </c>
      <c r="H1480" s="9" t="s">
        <v>9158</v>
      </c>
      <c r="I1480" s="3"/>
      <c r="J1480" s="3"/>
      <c r="K1480" s="9"/>
    </row>
    <row r="1481" ht="15.75" customHeight="1">
      <c r="A1481" s="10" t="s">
        <v>12</v>
      </c>
      <c r="B1481" s="10" t="s">
        <v>82</v>
      </c>
      <c r="C1481" s="10" t="s">
        <v>9159</v>
      </c>
      <c r="D1481" s="11" t="str">
        <f t="shared" si="1"/>
        <v>Abrir anúncio ↗</v>
      </c>
      <c r="E1481" s="12" t="s">
        <v>9161</v>
      </c>
      <c r="F1481" s="10" t="s">
        <v>29</v>
      </c>
      <c r="G1481" s="12" t="s">
        <v>6220</v>
      </c>
      <c r="H1481" s="12" t="s">
        <v>8558</v>
      </c>
      <c r="I1481" s="10"/>
      <c r="J1481" s="10"/>
      <c r="K1481" s="12"/>
    </row>
    <row r="1482" ht="15.75" customHeight="1">
      <c r="A1482" s="3" t="s">
        <v>12</v>
      </c>
      <c r="B1482" s="3" t="s">
        <v>82</v>
      </c>
      <c r="C1482" s="3" t="s">
        <v>9162</v>
      </c>
      <c r="D1482" s="8" t="str">
        <f t="shared" si="1"/>
        <v>Abrir anúncio ↗</v>
      </c>
      <c r="E1482" s="9" t="s">
        <v>9163</v>
      </c>
      <c r="F1482" s="3" t="s">
        <v>29</v>
      </c>
      <c r="G1482" s="9" t="s">
        <v>3709</v>
      </c>
      <c r="H1482" s="9" t="s">
        <v>4590</v>
      </c>
      <c r="I1482" s="3"/>
      <c r="J1482" s="3"/>
      <c r="K1482" s="9"/>
    </row>
    <row r="1483" ht="15.75" customHeight="1">
      <c r="A1483" s="10" t="s">
        <v>12</v>
      </c>
      <c r="B1483" s="10" t="s">
        <v>82</v>
      </c>
      <c r="C1483" s="10" t="s">
        <v>9165</v>
      </c>
      <c r="D1483" s="11" t="str">
        <f t="shared" si="1"/>
        <v>Abrir anúncio ↗</v>
      </c>
      <c r="E1483" s="12" t="s">
        <v>9166</v>
      </c>
      <c r="F1483" s="10" t="s">
        <v>29</v>
      </c>
      <c r="G1483" s="12" t="s">
        <v>6220</v>
      </c>
      <c r="H1483" s="12" t="s">
        <v>8558</v>
      </c>
      <c r="I1483" s="10"/>
      <c r="J1483" s="10"/>
      <c r="K1483" s="12"/>
    </row>
    <row r="1484" ht="15.75" customHeight="1">
      <c r="A1484" s="3" t="s">
        <v>12</v>
      </c>
      <c r="B1484" s="3" t="s">
        <v>82</v>
      </c>
      <c r="C1484" s="3" t="s">
        <v>9167</v>
      </c>
      <c r="D1484" s="8" t="str">
        <f t="shared" si="1"/>
        <v>Abrir anúncio ↗</v>
      </c>
      <c r="E1484" s="9" t="s">
        <v>9168</v>
      </c>
      <c r="F1484" s="3" t="s">
        <v>29</v>
      </c>
      <c r="G1484" s="9" t="s">
        <v>2390</v>
      </c>
      <c r="H1484" s="9" t="s">
        <v>2392</v>
      </c>
      <c r="I1484" s="3"/>
      <c r="J1484" s="3"/>
      <c r="K1484" s="9"/>
    </row>
    <row r="1485" ht="15.75" customHeight="1">
      <c r="A1485" s="10" t="s">
        <v>12</v>
      </c>
      <c r="B1485" s="10" t="s">
        <v>82</v>
      </c>
      <c r="C1485" s="10" t="s">
        <v>7749</v>
      </c>
      <c r="D1485" s="11" t="str">
        <f t="shared" si="1"/>
        <v>Abrir anúncio ↗</v>
      </c>
      <c r="E1485" s="12" t="s">
        <v>7748</v>
      </c>
      <c r="F1485" s="10" t="s">
        <v>29</v>
      </c>
      <c r="G1485" s="12" t="s">
        <v>2390</v>
      </c>
      <c r="H1485" s="12" t="s">
        <v>2392</v>
      </c>
      <c r="I1485" s="10"/>
      <c r="J1485" s="10"/>
      <c r="K1485" s="12"/>
    </row>
    <row r="1486" ht="15.75" customHeight="1">
      <c r="A1486" s="3" t="s">
        <v>12</v>
      </c>
      <c r="B1486" s="3" t="s">
        <v>82</v>
      </c>
      <c r="C1486" s="3" t="s">
        <v>9169</v>
      </c>
      <c r="D1486" s="8" t="str">
        <f t="shared" si="1"/>
        <v>Abrir anúncio ↗</v>
      </c>
      <c r="E1486" s="9" t="s">
        <v>9170</v>
      </c>
      <c r="F1486" s="3" t="s">
        <v>29</v>
      </c>
      <c r="G1486" s="9" t="s">
        <v>6220</v>
      </c>
      <c r="H1486" s="9" t="s">
        <v>9171</v>
      </c>
      <c r="I1486" s="3"/>
      <c r="J1486" s="3"/>
      <c r="K1486" s="9"/>
    </row>
    <row r="1487" ht="15.75" customHeight="1">
      <c r="A1487" s="10" t="s">
        <v>12</v>
      </c>
      <c r="B1487" s="10" t="s">
        <v>82</v>
      </c>
      <c r="C1487" s="10" t="s">
        <v>8124</v>
      </c>
      <c r="D1487" s="11" t="str">
        <f t="shared" si="1"/>
        <v>Abrir anúncio ↗</v>
      </c>
      <c r="E1487" s="12" t="s">
        <v>8120</v>
      </c>
      <c r="F1487" s="10" t="s">
        <v>29</v>
      </c>
      <c r="G1487" s="12" t="s">
        <v>2390</v>
      </c>
      <c r="H1487" s="12" t="s">
        <v>2392</v>
      </c>
      <c r="I1487" s="10"/>
      <c r="J1487" s="10"/>
      <c r="K1487" s="12"/>
    </row>
    <row r="1488" ht="15.75" customHeight="1">
      <c r="A1488" s="3" t="s">
        <v>12</v>
      </c>
      <c r="B1488" s="3" t="s">
        <v>82</v>
      </c>
      <c r="C1488" s="3" t="s">
        <v>9063</v>
      </c>
      <c r="D1488" s="8" t="str">
        <f t="shared" si="1"/>
        <v>Abrir anúncio ↗</v>
      </c>
      <c r="E1488" s="9" t="s">
        <v>9061</v>
      </c>
      <c r="F1488" s="3" t="s">
        <v>86</v>
      </c>
      <c r="G1488" s="9" t="s">
        <v>2390</v>
      </c>
      <c r="H1488" s="9" t="s">
        <v>2392</v>
      </c>
      <c r="I1488" s="3"/>
      <c r="J1488" s="3"/>
      <c r="K1488" s="9"/>
    </row>
    <row r="1489" ht="15.75" customHeight="1">
      <c r="A1489" s="10" t="s">
        <v>12</v>
      </c>
      <c r="B1489" s="10" t="s">
        <v>82</v>
      </c>
      <c r="C1489" s="10" t="s">
        <v>8108</v>
      </c>
      <c r="D1489" s="11" t="str">
        <f t="shared" si="1"/>
        <v>Abrir anúncio ↗</v>
      </c>
      <c r="E1489" s="12" t="s">
        <v>8106</v>
      </c>
      <c r="F1489" s="10" t="s">
        <v>29</v>
      </c>
      <c r="G1489" s="12" t="s">
        <v>5946</v>
      </c>
      <c r="H1489" s="12" t="s">
        <v>5948</v>
      </c>
      <c r="I1489" s="10"/>
      <c r="J1489" s="10"/>
      <c r="K1489" s="12"/>
    </row>
    <row r="1490" ht="15.75" customHeight="1">
      <c r="A1490" s="3" t="s">
        <v>12</v>
      </c>
      <c r="B1490" s="3" t="s">
        <v>82</v>
      </c>
      <c r="C1490" s="3" t="s">
        <v>9178</v>
      </c>
      <c r="D1490" s="8" t="str">
        <f t="shared" si="1"/>
        <v>Abrir anúncio ↗</v>
      </c>
      <c r="E1490" s="9" t="s">
        <v>9180</v>
      </c>
      <c r="F1490" s="3" t="s">
        <v>29</v>
      </c>
      <c r="G1490" s="9" t="s">
        <v>3709</v>
      </c>
      <c r="H1490" s="9" t="s">
        <v>4058</v>
      </c>
      <c r="I1490" s="3"/>
      <c r="J1490" s="3"/>
      <c r="K1490" s="9"/>
    </row>
    <row r="1491" ht="15.75" customHeight="1">
      <c r="A1491" s="10" t="s">
        <v>12</v>
      </c>
      <c r="B1491" s="10" t="s">
        <v>82</v>
      </c>
      <c r="C1491" s="10" t="s">
        <v>8479</v>
      </c>
      <c r="D1491" s="11" t="str">
        <f t="shared" si="1"/>
        <v>Abrir anúncio ↗</v>
      </c>
      <c r="E1491" s="12" t="s">
        <v>8478</v>
      </c>
      <c r="F1491" s="10" t="s">
        <v>29</v>
      </c>
      <c r="G1491" s="12" t="s">
        <v>2390</v>
      </c>
      <c r="H1491" s="12" t="s">
        <v>2392</v>
      </c>
      <c r="I1491" s="10"/>
      <c r="J1491" s="10"/>
      <c r="K1491" s="12"/>
    </row>
    <row r="1492" ht="15.75" customHeight="1">
      <c r="A1492" s="3" t="s">
        <v>12</v>
      </c>
      <c r="B1492" s="3" t="s">
        <v>82</v>
      </c>
      <c r="C1492" s="3" t="s">
        <v>7525</v>
      </c>
      <c r="D1492" s="8" t="str">
        <f t="shared" si="1"/>
        <v>Abrir anúncio ↗</v>
      </c>
      <c r="E1492" s="9" t="s">
        <v>7524</v>
      </c>
      <c r="F1492" s="3" t="s">
        <v>29</v>
      </c>
      <c r="G1492" s="9" t="s">
        <v>5946</v>
      </c>
      <c r="H1492" s="9" t="s">
        <v>5948</v>
      </c>
      <c r="I1492" s="3"/>
      <c r="J1492" s="3"/>
      <c r="K1492" s="9"/>
    </row>
    <row r="1493" ht="15.75" customHeight="1">
      <c r="A1493" s="10" t="s">
        <v>12</v>
      </c>
      <c r="B1493" s="10" t="s">
        <v>82</v>
      </c>
      <c r="C1493" s="10" t="s">
        <v>7885</v>
      </c>
      <c r="D1493" s="11" t="str">
        <f t="shared" si="1"/>
        <v>Abrir anúncio ↗</v>
      </c>
      <c r="E1493" s="12" t="s">
        <v>3174</v>
      </c>
      <c r="F1493" s="10" t="s">
        <v>29</v>
      </c>
      <c r="G1493" s="12" t="s">
        <v>2390</v>
      </c>
      <c r="H1493" s="12" t="s">
        <v>2392</v>
      </c>
      <c r="I1493" s="10"/>
      <c r="J1493" s="10"/>
      <c r="K1493" s="12"/>
    </row>
    <row r="1494" ht="15.75" customHeight="1">
      <c r="A1494" s="3" t="s">
        <v>12</v>
      </c>
      <c r="B1494" s="3" t="s">
        <v>82</v>
      </c>
      <c r="C1494" s="3" t="s">
        <v>7264</v>
      </c>
      <c r="D1494" s="8" t="str">
        <f t="shared" si="1"/>
        <v>Abrir anúncio ↗</v>
      </c>
      <c r="E1494" s="9" t="s">
        <v>7260</v>
      </c>
      <c r="F1494" s="3" t="s">
        <v>29</v>
      </c>
      <c r="G1494" s="9" t="s">
        <v>2390</v>
      </c>
      <c r="H1494" s="9" t="s">
        <v>2392</v>
      </c>
      <c r="I1494" s="3"/>
      <c r="J1494" s="3"/>
      <c r="K1494" s="9"/>
    </row>
    <row r="1495" ht="15.75" customHeight="1">
      <c r="A1495" s="10" t="s">
        <v>12</v>
      </c>
      <c r="B1495" s="10" t="s">
        <v>82</v>
      </c>
      <c r="C1495" s="10" t="s">
        <v>7908</v>
      </c>
      <c r="D1495" s="11" t="str">
        <f t="shared" si="1"/>
        <v>Abrir anúncio ↗</v>
      </c>
      <c r="E1495" s="12" t="s">
        <v>7905</v>
      </c>
      <c r="F1495" s="10" t="s">
        <v>29</v>
      </c>
      <c r="G1495" s="12" t="s">
        <v>5946</v>
      </c>
      <c r="H1495" s="12" t="s">
        <v>5948</v>
      </c>
      <c r="I1495" s="10"/>
      <c r="J1495" s="10"/>
      <c r="K1495" s="12"/>
    </row>
    <row r="1496" ht="15.75" customHeight="1">
      <c r="A1496" s="3" t="s">
        <v>12</v>
      </c>
      <c r="B1496" s="3" t="s">
        <v>82</v>
      </c>
      <c r="C1496" s="3" t="s">
        <v>7956</v>
      </c>
      <c r="D1496" s="8" t="str">
        <f t="shared" si="1"/>
        <v>Abrir anúncio ↗</v>
      </c>
      <c r="E1496" s="9" t="s">
        <v>2719</v>
      </c>
      <c r="F1496" s="3" t="s">
        <v>29</v>
      </c>
      <c r="G1496" s="9" t="s">
        <v>2390</v>
      </c>
      <c r="H1496" s="9" t="s">
        <v>2392</v>
      </c>
      <c r="I1496" s="3"/>
      <c r="J1496" s="3"/>
      <c r="K1496" s="9"/>
    </row>
    <row r="1497" ht="15.75" customHeight="1">
      <c r="A1497" s="10" t="s">
        <v>12</v>
      </c>
      <c r="B1497" s="10" t="s">
        <v>82</v>
      </c>
      <c r="C1497" s="10" t="s">
        <v>7785</v>
      </c>
      <c r="D1497" s="11" t="str">
        <f t="shared" si="1"/>
        <v>Abrir anúncio ↗</v>
      </c>
      <c r="E1497" s="12" t="s">
        <v>2971</v>
      </c>
      <c r="F1497" s="10" t="s">
        <v>29</v>
      </c>
      <c r="G1497" s="12" t="s">
        <v>2390</v>
      </c>
      <c r="H1497" s="12" t="s">
        <v>2392</v>
      </c>
      <c r="I1497" s="10"/>
      <c r="J1497" s="10"/>
      <c r="K1497" s="12"/>
    </row>
    <row r="1498" ht="15.75" customHeight="1">
      <c r="A1498" s="3" t="s">
        <v>12</v>
      </c>
      <c r="B1498" s="3" t="s">
        <v>82</v>
      </c>
      <c r="C1498" s="3" t="s">
        <v>9191</v>
      </c>
      <c r="D1498" s="8" t="str">
        <f t="shared" si="1"/>
        <v>Abrir anúncio ↗</v>
      </c>
      <c r="E1498" s="9" t="s">
        <v>9192</v>
      </c>
      <c r="F1498" s="3" t="s">
        <v>29</v>
      </c>
      <c r="G1498" s="9" t="s">
        <v>6220</v>
      </c>
      <c r="H1498" s="9" t="s">
        <v>7179</v>
      </c>
      <c r="I1498" s="3"/>
      <c r="J1498" s="3"/>
      <c r="K1498" s="9"/>
    </row>
    <row r="1499" ht="15.75" customHeight="1">
      <c r="A1499" s="10" t="s">
        <v>12</v>
      </c>
      <c r="B1499" s="10" t="s">
        <v>82</v>
      </c>
      <c r="C1499" s="10" t="s">
        <v>8117</v>
      </c>
      <c r="D1499" s="11" t="str">
        <f t="shared" si="1"/>
        <v>Abrir anúncio ↗</v>
      </c>
      <c r="E1499" s="12" t="s">
        <v>8113</v>
      </c>
      <c r="F1499" s="10" t="s">
        <v>29</v>
      </c>
      <c r="G1499" s="12" t="s">
        <v>2390</v>
      </c>
      <c r="H1499" s="12" t="s">
        <v>2392</v>
      </c>
      <c r="I1499" s="10"/>
      <c r="J1499" s="10"/>
      <c r="K1499" s="12"/>
    </row>
    <row r="1500" ht="15.75" customHeight="1">
      <c r="A1500" s="3" t="s">
        <v>12</v>
      </c>
      <c r="B1500" s="3" t="s">
        <v>82</v>
      </c>
      <c r="C1500" s="3" t="s">
        <v>8429</v>
      </c>
      <c r="D1500" s="8" t="str">
        <f t="shared" si="1"/>
        <v>Abrir anúncio ↗</v>
      </c>
      <c r="E1500" s="9" t="s">
        <v>8425</v>
      </c>
      <c r="F1500" s="3" t="s">
        <v>29</v>
      </c>
      <c r="G1500" s="9" t="s">
        <v>2390</v>
      </c>
      <c r="H1500" s="9" t="s">
        <v>2392</v>
      </c>
      <c r="I1500" s="3"/>
      <c r="J1500" s="3"/>
      <c r="K1500" s="9"/>
    </row>
    <row r="1501" ht="15.75" customHeight="1">
      <c r="A1501" s="10" t="s">
        <v>12</v>
      </c>
      <c r="B1501" s="10" t="s">
        <v>82</v>
      </c>
      <c r="C1501" s="10" t="s">
        <v>7891</v>
      </c>
      <c r="D1501" s="11" t="str">
        <f t="shared" si="1"/>
        <v>Abrir anúncio ↗</v>
      </c>
      <c r="E1501" s="12" t="s">
        <v>7889</v>
      </c>
      <c r="F1501" s="10" t="s">
        <v>29</v>
      </c>
      <c r="G1501" s="12" t="s">
        <v>2390</v>
      </c>
      <c r="H1501" s="12" t="s">
        <v>2392</v>
      </c>
      <c r="I1501" s="10"/>
      <c r="J1501" s="10"/>
      <c r="K1501" s="12"/>
    </row>
    <row r="1502" ht="15.75" customHeight="1">
      <c r="A1502" s="3" t="s">
        <v>12</v>
      </c>
      <c r="B1502" s="3" t="s">
        <v>82</v>
      </c>
      <c r="C1502" s="3" t="s">
        <v>9193</v>
      </c>
      <c r="D1502" s="8" t="str">
        <f t="shared" si="1"/>
        <v>Abrir anúncio ↗</v>
      </c>
      <c r="E1502" s="9" t="s">
        <v>9194</v>
      </c>
      <c r="F1502" s="3" t="s">
        <v>29</v>
      </c>
      <c r="G1502" s="9" t="s">
        <v>2390</v>
      </c>
      <c r="H1502" s="9" t="s">
        <v>2392</v>
      </c>
      <c r="I1502" s="3"/>
      <c r="J1502" s="3"/>
      <c r="K1502" s="9"/>
    </row>
    <row r="1503" ht="15.75" customHeight="1">
      <c r="A1503" s="10" t="s">
        <v>12</v>
      </c>
      <c r="B1503" s="10" t="s">
        <v>82</v>
      </c>
      <c r="C1503" s="10" t="s">
        <v>9195</v>
      </c>
      <c r="D1503" s="11" t="str">
        <f t="shared" si="1"/>
        <v>Abrir anúncio ↗</v>
      </c>
      <c r="E1503" s="12" t="s">
        <v>9196</v>
      </c>
      <c r="F1503" s="10" t="s">
        <v>29</v>
      </c>
      <c r="G1503" s="12" t="s">
        <v>2390</v>
      </c>
      <c r="H1503" s="12" t="s">
        <v>2392</v>
      </c>
      <c r="I1503" s="10"/>
      <c r="J1503" s="10"/>
      <c r="K1503" s="12"/>
    </row>
    <row r="1504" ht="15.75" customHeight="1">
      <c r="A1504" s="3" t="s">
        <v>12</v>
      </c>
      <c r="B1504" s="3" t="s">
        <v>82</v>
      </c>
      <c r="C1504" s="3" t="s">
        <v>7795</v>
      </c>
      <c r="D1504" s="8" t="str">
        <f t="shared" si="1"/>
        <v>Abrir anúncio ↗</v>
      </c>
      <c r="E1504" s="9" t="s">
        <v>7793</v>
      </c>
      <c r="F1504" s="3" t="s">
        <v>29</v>
      </c>
      <c r="G1504" s="9" t="s">
        <v>2390</v>
      </c>
      <c r="H1504" s="9" t="s">
        <v>2392</v>
      </c>
      <c r="I1504" s="3"/>
      <c r="J1504" s="3"/>
      <c r="K1504" s="9"/>
    </row>
    <row r="1505" ht="15.75" customHeight="1">
      <c r="A1505" s="10" t="s">
        <v>12</v>
      </c>
      <c r="B1505" s="10" t="s">
        <v>82</v>
      </c>
      <c r="C1505" s="10" t="s">
        <v>7960</v>
      </c>
      <c r="D1505" s="11" t="str">
        <f t="shared" si="1"/>
        <v>Abrir anúncio ↗</v>
      </c>
      <c r="E1505" s="12" t="s">
        <v>3096</v>
      </c>
      <c r="F1505" s="10" t="s">
        <v>29</v>
      </c>
      <c r="G1505" s="12" t="s">
        <v>2390</v>
      </c>
      <c r="H1505" s="12" t="s">
        <v>2392</v>
      </c>
      <c r="I1505" s="10"/>
      <c r="J1505" s="10"/>
      <c r="K1505" s="12"/>
    </row>
    <row r="1506" ht="15.75" customHeight="1">
      <c r="A1506" s="3" t="s">
        <v>12</v>
      </c>
      <c r="B1506" s="3" t="s">
        <v>82</v>
      </c>
      <c r="C1506" s="3" t="s">
        <v>9198</v>
      </c>
      <c r="D1506" s="8" t="str">
        <f t="shared" si="1"/>
        <v>Abrir anúncio ↗</v>
      </c>
      <c r="E1506" s="9" t="s">
        <v>9199</v>
      </c>
      <c r="F1506" s="3" t="s">
        <v>29</v>
      </c>
      <c r="G1506" s="9" t="s">
        <v>6220</v>
      </c>
      <c r="H1506" s="9" t="s">
        <v>6223</v>
      </c>
      <c r="I1506" s="3"/>
      <c r="J1506" s="3"/>
      <c r="K1506" s="9"/>
    </row>
    <row r="1507" ht="15.75" customHeight="1">
      <c r="A1507" s="10" t="s">
        <v>12</v>
      </c>
      <c r="B1507" s="10" t="s">
        <v>82</v>
      </c>
      <c r="C1507" s="10" t="s">
        <v>7206</v>
      </c>
      <c r="D1507" s="11" t="str">
        <f t="shared" si="1"/>
        <v>Abrir anúncio ↗</v>
      </c>
      <c r="E1507" s="12" t="s">
        <v>7202</v>
      </c>
      <c r="F1507" s="10" t="s">
        <v>29</v>
      </c>
      <c r="G1507" s="12" t="s">
        <v>2390</v>
      </c>
      <c r="H1507" s="12" t="s">
        <v>2392</v>
      </c>
      <c r="I1507" s="10"/>
      <c r="J1507" s="10"/>
      <c r="K1507" s="12"/>
    </row>
    <row r="1508" ht="15.75" customHeight="1">
      <c r="A1508" s="3" t="s">
        <v>12</v>
      </c>
      <c r="B1508" s="3" t="s">
        <v>82</v>
      </c>
      <c r="C1508" s="3" t="s">
        <v>7639</v>
      </c>
      <c r="D1508" s="8" t="str">
        <f t="shared" si="1"/>
        <v>Abrir anúncio ↗</v>
      </c>
      <c r="E1508" s="9" t="s">
        <v>7635</v>
      </c>
      <c r="F1508" s="3" t="s">
        <v>29</v>
      </c>
      <c r="G1508" s="9" t="s">
        <v>2390</v>
      </c>
      <c r="H1508" s="9" t="s">
        <v>2392</v>
      </c>
      <c r="I1508" s="3"/>
      <c r="J1508" s="3"/>
      <c r="K1508" s="9"/>
    </row>
    <row r="1509" ht="15.75" customHeight="1">
      <c r="A1509" s="10" t="s">
        <v>12</v>
      </c>
      <c r="B1509" s="10" t="s">
        <v>82</v>
      </c>
      <c r="C1509" s="10" t="s">
        <v>6929</v>
      </c>
      <c r="D1509" s="11" t="str">
        <f t="shared" si="1"/>
        <v>Abrir anúncio ↗</v>
      </c>
      <c r="E1509" s="12" t="s">
        <v>6924</v>
      </c>
      <c r="F1509" s="10" t="s">
        <v>29</v>
      </c>
      <c r="G1509" s="12" t="s">
        <v>2390</v>
      </c>
      <c r="H1509" s="12" t="s">
        <v>2392</v>
      </c>
      <c r="I1509" s="10"/>
      <c r="J1509" s="10"/>
      <c r="K1509" s="12"/>
    </row>
    <row r="1510" ht="15.75" customHeight="1">
      <c r="A1510" s="3" t="s">
        <v>12</v>
      </c>
      <c r="B1510" s="3" t="s">
        <v>82</v>
      </c>
      <c r="C1510" s="3" t="s">
        <v>9206</v>
      </c>
      <c r="D1510" s="8" t="str">
        <f t="shared" si="1"/>
        <v>Abrir anúncio ↗</v>
      </c>
      <c r="E1510" s="9" t="s">
        <v>9207</v>
      </c>
      <c r="F1510" s="3" t="s">
        <v>29</v>
      </c>
      <c r="G1510" s="9" t="s">
        <v>2390</v>
      </c>
      <c r="H1510" s="9" t="s">
        <v>2392</v>
      </c>
      <c r="I1510" s="3"/>
      <c r="J1510" s="3"/>
      <c r="K1510" s="9"/>
    </row>
    <row r="1511" ht="15.75" customHeight="1">
      <c r="A1511" s="10" t="s">
        <v>12</v>
      </c>
      <c r="B1511" s="10" t="s">
        <v>82</v>
      </c>
      <c r="C1511" s="10" t="s">
        <v>9208</v>
      </c>
      <c r="D1511" s="11" t="str">
        <f t="shared" si="1"/>
        <v>Abrir anúncio ↗</v>
      </c>
      <c r="E1511" s="12" t="s">
        <v>9209</v>
      </c>
      <c r="F1511" s="10" t="s">
        <v>29</v>
      </c>
      <c r="G1511" s="12" t="s">
        <v>3685</v>
      </c>
      <c r="H1511" s="12" t="s">
        <v>4315</v>
      </c>
      <c r="I1511" s="10"/>
      <c r="J1511" s="10"/>
      <c r="K1511" s="12"/>
    </row>
    <row r="1512" ht="15.75" customHeight="1">
      <c r="A1512" s="3" t="s">
        <v>12</v>
      </c>
      <c r="B1512" s="3" t="s">
        <v>82</v>
      </c>
      <c r="C1512" s="3" t="s">
        <v>8195</v>
      </c>
      <c r="D1512" s="8" t="str">
        <f t="shared" si="1"/>
        <v>Abrir anúncio ↗</v>
      </c>
      <c r="E1512" s="9" t="s">
        <v>8192</v>
      </c>
      <c r="F1512" s="3" t="s">
        <v>29</v>
      </c>
      <c r="G1512" s="9" t="s">
        <v>2390</v>
      </c>
      <c r="H1512" s="9" t="s">
        <v>2392</v>
      </c>
      <c r="I1512" s="3"/>
      <c r="J1512" s="3"/>
      <c r="K1512" s="9"/>
    </row>
    <row r="1513" ht="15.75" customHeight="1">
      <c r="A1513" s="10" t="s">
        <v>12</v>
      </c>
      <c r="B1513" s="10" t="s">
        <v>82</v>
      </c>
      <c r="C1513" s="10" t="s">
        <v>9210</v>
      </c>
      <c r="D1513" s="11" t="str">
        <f t="shared" si="1"/>
        <v>Abrir anúncio ↗</v>
      </c>
      <c r="E1513" s="12" t="s">
        <v>9211</v>
      </c>
      <c r="F1513" s="10" t="s">
        <v>29</v>
      </c>
      <c r="G1513" s="12" t="s">
        <v>6220</v>
      </c>
      <c r="H1513" s="12" t="s">
        <v>9212</v>
      </c>
      <c r="I1513" s="10"/>
      <c r="J1513" s="10"/>
      <c r="K1513" s="12"/>
    </row>
    <row r="1514" ht="15.75" customHeight="1">
      <c r="A1514" s="3" t="s">
        <v>12</v>
      </c>
      <c r="B1514" s="3" t="s">
        <v>82</v>
      </c>
      <c r="C1514" s="3" t="s">
        <v>8178</v>
      </c>
      <c r="D1514" s="8" t="str">
        <f t="shared" si="1"/>
        <v>Abrir anúncio ↗</v>
      </c>
      <c r="E1514" s="9" t="s">
        <v>8174</v>
      </c>
      <c r="F1514" s="3" t="s">
        <v>29</v>
      </c>
      <c r="G1514" s="9" t="s">
        <v>5946</v>
      </c>
      <c r="H1514" s="9" t="s">
        <v>5948</v>
      </c>
      <c r="I1514" s="3"/>
      <c r="J1514" s="3"/>
      <c r="K1514" s="9"/>
    </row>
    <row r="1515" ht="15.75" customHeight="1">
      <c r="A1515" s="10" t="s">
        <v>12</v>
      </c>
      <c r="B1515" s="10" t="s">
        <v>82</v>
      </c>
      <c r="C1515" s="10" t="s">
        <v>8131</v>
      </c>
      <c r="D1515" s="11" t="str">
        <f t="shared" si="1"/>
        <v>Abrir anúncio ↗</v>
      </c>
      <c r="E1515" s="12" t="s">
        <v>8127</v>
      </c>
      <c r="F1515" s="10" t="s">
        <v>29</v>
      </c>
      <c r="G1515" s="12" t="s">
        <v>2390</v>
      </c>
      <c r="H1515" s="12" t="s">
        <v>2392</v>
      </c>
      <c r="I1515" s="10"/>
      <c r="J1515" s="10"/>
      <c r="K1515" s="12"/>
    </row>
    <row r="1516" ht="15.75" customHeight="1">
      <c r="A1516" s="3" t="s">
        <v>12</v>
      </c>
      <c r="B1516" s="3" t="s">
        <v>82</v>
      </c>
      <c r="C1516" s="3" t="s">
        <v>8470</v>
      </c>
      <c r="D1516" s="8" t="str">
        <f t="shared" si="1"/>
        <v>Abrir anúncio ↗</v>
      </c>
      <c r="E1516" s="9" t="s">
        <v>8466</v>
      </c>
      <c r="F1516" s="3" t="s">
        <v>29</v>
      </c>
      <c r="G1516" s="9" t="s">
        <v>2390</v>
      </c>
      <c r="H1516" s="9" t="s">
        <v>2392</v>
      </c>
      <c r="I1516" s="3"/>
      <c r="J1516" s="3"/>
      <c r="K1516" s="9"/>
    </row>
    <row r="1517" ht="15.75" customHeight="1">
      <c r="A1517" s="10" t="s">
        <v>12</v>
      </c>
      <c r="B1517" s="10" t="s">
        <v>82</v>
      </c>
      <c r="C1517" s="10" t="s">
        <v>9123</v>
      </c>
      <c r="D1517" s="11" t="str">
        <f t="shared" si="1"/>
        <v>Abrir anúncio ↗</v>
      </c>
      <c r="E1517" s="12" t="s">
        <v>9119</v>
      </c>
      <c r="F1517" s="10" t="s">
        <v>86</v>
      </c>
      <c r="G1517" s="12" t="s">
        <v>5946</v>
      </c>
      <c r="H1517" s="12" t="s">
        <v>5948</v>
      </c>
      <c r="I1517" s="10"/>
      <c r="J1517" s="10"/>
      <c r="K1517" s="12"/>
    </row>
    <row r="1518" ht="15.75" customHeight="1">
      <c r="A1518" s="3" t="s">
        <v>12</v>
      </c>
      <c r="B1518" s="3" t="s">
        <v>82</v>
      </c>
      <c r="C1518" s="3" t="s">
        <v>9214</v>
      </c>
      <c r="D1518" s="8" t="str">
        <f t="shared" si="1"/>
        <v>Abrir anúncio ↗</v>
      </c>
      <c r="E1518" s="9" t="s">
        <v>9215</v>
      </c>
      <c r="F1518" s="3" t="s">
        <v>86</v>
      </c>
      <c r="G1518" s="9" t="s">
        <v>3685</v>
      </c>
      <c r="H1518" s="9" t="s">
        <v>3917</v>
      </c>
      <c r="I1518" s="3"/>
      <c r="J1518" s="3"/>
      <c r="K1518" s="9"/>
    </row>
    <row r="1519" ht="15.75" customHeight="1">
      <c r="A1519" s="10" t="s">
        <v>12</v>
      </c>
      <c r="B1519" s="10" t="s">
        <v>82</v>
      </c>
      <c r="C1519" s="10" t="s">
        <v>8489</v>
      </c>
      <c r="D1519" s="11" t="str">
        <f t="shared" si="1"/>
        <v>Abrir anúncio ↗</v>
      </c>
      <c r="E1519" s="12" t="s">
        <v>8486</v>
      </c>
      <c r="F1519" s="10" t="s">
        <v>86</v>
      </c>
      <c r="G1519" s="12" t="s">
        <v>3892</v>
      </c>
      <c r="H1519" s="12" t="s">
        <v>9216</v>
      </c>
      <c r="I1519" s="10"/>
      <c r="J1519" s="10"/>
      <c r="K1519" s="12"/>
    </row>
    <row r="1520" ht="15.75" customHeight="1">
      <c r="A1520" s="3" t="s">
        <v>12</v>
      </c>
      <c r="B1520" s="3" t="s">
        <v>82</v>
      </c>
      <c r="C1520" s="3" t="s">
        <v>9217</v>
      </c>
      <c r="D1520" s="8" t="str">
        <f t="shared" si="1"/>
        <v>Abrir anúncio ↗</v>
      </c>
      <c r="E1520" s="9" t="s">
        <v>9218</v>
      </c>
      <c r="F1520" s="3" t="s">
        <v>29</v>
      </c>
      <c r="G1520" s="9" t="s">
        <v>3685</v>
      </c>
      <c r="H1520" s="9" t="s">
        <v>3917</v>
      </c>
      <c r="I1520" s="3"/>
      <c r="J1520" s="3"/>
      <c r="K1520" s="9"/>
    </row>
    <row r="1521" ht="15.75" customHeight="1">
      <c r="A1521" s="10" t="s">
        <v>12</v>
      </c>
      <c r="B1521" s="10" t="s">
        <v>82</v>
      </c>
      <c r="C1521" s="10" t="s">
        <v>7572</v>
      </c>
      <c r="D1521" s="11" t="str">
        <f t="shared" si="1"/>
        <v>Abrir anúncio ↗</v>
      </c>
      <c r="E1521" s="12" t="s">
        <v>3083</v>
      </c>
      <c r="F1521" s="10" t="s">
        <v>29</v>
      </c>
      <c r="G1521" s="12" t="s">
        <v>2390</v>
      </c>
      <c r="H1521" s="12" t="s">
        <v>2392</v>
      </c>
      <c r="I1521" s="10"/>
      <c r="J1521" s="10"/>
      <c r="K1521" s="12"/>
    </row>
    <row r="1522" ht="15.75" customHeight="1">
      <c r="A1522" s="3" t="s">
        <v>12</v>
      </c>
      <c r="B1522" s="3" t="s">
        <v>82</v>
      </c>
      <c r="C1522" s="3" t="s">
        <v>8398</v>
      </c>
      <c r="D1522" s="8" t="str">
        <f t="shared" si="1"/>
        <v>Abrir anúncio ↗</v>
      </c>
      <c r="E1522" s="9" t="s">
        <v>8394</v>
      </c>
      <c r="F1522" s="3" t="s">
        <v>29</v>
      </c>
      <c r="G1522" s="9" t="s">
        <v>2390</v>
      </c>
      <c r="H1522" s="9" t="s">
        <v>2392</v>
      </c>
      <c r="I1522" s="3"/>
      <c r="J1522" s="3"/>
      <c r="K1522" s="9"/>
    </row>
    <row r="1523" ht="15.75" customHeight="1">
      <c r="A1523" s="10" t="s">
        <v>12</v>
      </c>
      <c r="B1523" s="10" t="s">
        <v>82</v>
      </c>
      <c r="C1523" s="10" t="s">
        <v>8487</v>
      </c>
      <c r="D1523" s="11" t="str">
        <f t="shared" si="1"/>
        <v>Abrir anúncio ↗</v>
      </c>
      <c r="E1523" s="12" t="s">
        <v>8486</v>
      </c>
      <c r="F1523" s="10" t="s">
        <v>29</v>
      </c>
      <c r="G1523" s="12" t="s">
        <v>3892</v>
      </c>
      <c r="H1523" s="12" t="s">
        <v>9216</v>
      </c>
      <c r="I1523" s="10"/>
      <c r="J1523" s="10"/>
      <c r="K1523" s="12"/>
    </row>
    <row r="1524" ht="15.75" customHeight="1">
      <c r="A1524" s="3" t="s">
        <v>12</v>
      </c>
      <c r="B1524" s="3" t="s">
        <v>82</v>
      </c>
      <c r="C1524" s="3" t="s">
        <v>7311</v>
      </c>
      <c r="D1524" s="8" t="str">
        <f t="shared" si="1"/>
        <v>Abrir anúncio ↗</v>
      </c>
      <c r="E1524" s="9" t="s">
        <v>2962</v>
      </c>
      <c r="F1524" s="3" t="s">
        <v>29</v>
      </c>
      <c r="G1524" s="9" t="s">
        <v>2390</v>
      </c>
      <c r="H1524" s="9" t="s">
        <v>2392</v>
      </c>
      <c r="I1524" s="3"/>
      <c r="J1524" s="3"/>
      <c r="K1524" s="9"/>
    </row>
    <row r="1525" ht="15.75" customHeight="1">
      <c r="A1525" s="10" t="s">
        <v>12</v>
      </c>
      <c r="B1525" s="10" t="s">
        <v>82</v>
      </c>
      <c r="C1525" s="10" t="s">
        <v>7372</v>
      </c>
      <c r="D1525" s="11" t="str">
        <f t="shared" si="1"/>
        <v>Abrir anúncio ↗</v>
      </c>
      <c r="E1525" s="12" t="s">
        <v>7366</v>
      </c>
      <c r="F1525" s="10" t="s">
        <v>29</v>
      </c>
      <c r="G1525" s="12" t="s">
        <v>2390</v>
      </c>
      <c r="H1525" s="12" t="s">
        <v>2392</v>
      </c>
      <c r="I1525" s="10"/>
      <c r="J1525" s="10"/>
      <c r="K1525" s="12"/>
    </row>
    <row r="1526" ht="15.75" customHeight="1">
      <c r="A1526" s="3" t="s">
        <v>12</v>
      </c>
      <c r="B1526" s="3" t="s">
        <v>82</v>
      </c>
      <c r="C1526" s="3" t="s">
        <v>9219</v>
      </c>
      <c r="D1526" s="8" t="str">
        <f t="shared" si="1"/>
        <v>Abrir anúncio ↗</v>
      </c>
      <c r="E1526" s="9" t="s">
        <v>9220</v>
      </c>
      <c r="F1526" s="3" t="s">
        <v>29</v>
      </c>
      <c r="G1526" s="9" t="s">
        <v>3685</v>
      </c>
      <c r="H1526" s="9" t="s">
        <v>3853</v>
      </c>
      <c r="I1526" s="3"/>
      <c r="J1526" s="3"/>
      <c r="K1526" s="9"/>
    </row>
    <row r="1527" ht="15.75" customHeight="1">
      <c r="A1527" s="10" t="s">
        <v>12</v>
      </c>
      <c r="B1527" s="10" t="s">
        <v>82</v>
      </c>
      <c r="C1527" s="10" t="s">
        <v>7652</v>
      </c>
      <c r="D1527" s="11" t="str">
        <f t="shared" si="1"/>
        <v>Abrir anúncio ↗</v>
      </c>
      <c r="E1527" s="12" t="s">
        <v>2947</v>
      </c>
      <c r="F1527" s="10" t="s">
        <v>29</v>
      </c>
      <c r="G1527" s="12" t="s">
        <v>2390</v>
      </c>
      <c r="H1527" s="12" t="s">
        <v>2392</v>
      </c>
      <c r="I1527" s="10"/>
      <c r="J1527" s="10"/>
      <c r="K1527" s="12"/>
    </row>
    <row r="1528" ht="15.75" customHeight="1">
      <c r="A1528" s="3" t="s">
        <v>12</v>
      </c>
      <c r="B1528" s="3" t="s">
        <v>82</v>
      </c>
      <c r="C1528" s="3" t="s">
        <v>8931</v>
      </c>
      <c r="D1528" s="8" t="str">
        <f t="shared" si="1"/>
        <v>Abrir anúncio ↗</v>
      </c>
      <c r="E1528" s="9" t="s">
        <v>8926</v>
      </c>
      <c r="F1528" s="3" t="s">
        <v>29</v>
      </c>
      <c r="G1528" s="9" t="s">
        <v>2390</v>
      </c>
      <c r="H1528" s="9" t="s">
        <v>2392</v>
      </c>
      <c r="I1528" s="3"/>
      <c r="J1528" s="3"/>
      <c r="K1528" s="9"/>
    </row>
    <row r="1529" ht="15.75" customHeight="1">
      <c r="A1529" s="10" t="s">
        <v>12</v>
      </c>
      <c r="B1529" s="10" t="s">
        <v>82</v>
      </c>
      <c r="C1529" s="10" t="s">
        <v>6045</v>
      </c>
      <c r="D1529" s="11" t="str">
        <f t="shared" si="1"/>
        <v>Abrir anúncio ↗</v>
      </c>
      <c r="E1529" s="12" t="s">
        <v>9221</v>
      </c>
      <c r="F1529" s="10" t="s">
        <v>29</v>
      </c>
      <c r="G1529" s="12" t="s">
        <v>4786</v>
      </c>
      <c r="H1529" s="12" t="s">
        <v>9222</v>
      </c>
      <c r="I1529" s="10"/>
      <c r="J1529" s="10"/>
      <c r="K1529" s="12"/>
    </row>
    <row r="1530" ht="15.75" customHeight="1">
      <c r="A1530" s="3" t="s">
        <v>12</v>
      </c>
      <c r="B1530" s="3" t="s">
        <v>82</v>
      </c>
      <c r="C1530" s="3" t="s">
        <v>9223</v>
      </c>
      <c r="D1530" s="8" t="str">
        <f t="shared" si="1"/>
        <v>Abrir anúncio ↗</v>
      </c>
      <c r="E1530" s="9" t="s">
        <v>9224</v>
      </c>
      <c r="F1530" s="3" t="s">
        <v>29</v>
      </c>
      <c r="G1530" s="9" t="s">
        <v>3685</v>
      </c>
      <c r="H1530" s="9" t="s">
        <v>3687</v>
      </c>
      <c r="I1530" s="3"/>
      <c r="J1530" s="3"/>
      <c r="K1530" s="9"/>
    </row>
    <row r="1531" ht="15.75" customHeight="1">
      <c r="A1531" s="10" t="s">
        <v>12</v>
      </c>
      <c r="B1531" s="10" t="s">
        <v>82</v>
      </c>
      <c r="C1531" s="10" t="s">
        <v>9225</v>
      </c>
      <c r="D1531" s="11" t="str">
        <f t="shared" si="1"/>
        <v>Abrir anúncio ↗</v>
      </c>
      <c r="E1531" s="12" t="s">
        <v>9226</v>
      </c>
      <c r="F1531" s="10" t="s">
        <v>29</v>
      </c>
      <c r="G1531" s="12" t="s">
        <v>574</v>
      </c>
      <c r="H1531" s="12" t="s">
        <v>9227</v>
      </c>
      <c r="I1531" s="10"/>
      <c r="J1531" s="10"/>
      <c r="K1531" s="12"/>
    </row>
    <row r="1532" ht="15.75" customHeight="1">
      <c r="A1532" s="3" t="s">
        <v>12</v>
      </c>
      <c r="B1532" s="3" t="s">
        <v>82</v>
      </c>
      <c r="C1532" s="3" t="s">
        <v>9228</v>
      </c>
      <c r="D1532" s="8" t="str">
        <f t="shared" si="1"/>
        <v>Abrir anúncio ↗</v>
      </c>
      <c r="E1532" s="9" t="s">
        <v>9229</v>
      </c>
      <c r="F1532" s="3" t="s">
        <v>29</v>
      </c>
      <c r="G1532" s="9" t="s">
        <v>5115</v>
      </c>
      <c r="H1532" s="9" t="s">
        <v>9230</v>
      </c>
      <c r="I1532" s="3"/>
      <c r="J1532" s="3"/>
      <c r="K1532" s="9"/>
    </row>
    <row r="1533" ht="15.75" customHeight="1">
      <c r="A1533" s="10" t="s">
        <v>12</v>
      </c>
      <c r="B1533" s="10" t="s">
        <v>82</v>
      </c>
      <c r="C1533" s="10" t="s">
        <v>9231</v>
      </c>
      <c r="D1533" s="11" t="str">
        <f t="shared" si="1"/>
        <v>Abrir anúncio ↗</v>
      </c>
      <c r="E1533" s="12" t="s">
        <v>9232</v>
      </c>
      <c r="F1533" s="10" t="s">
        <v>29</v>
      </c>
      <c r="G1533" s="12" t="s">
        <v>3685</v>
      </c>
      <c r="H1533" s="12" t="s">
        <v>3809</v>
      </c>
      <c r="I1533" s="10"/>
      <c r="J1533" s="10"/>
      <c r="K1533" s="12"/>
    </row>
    <row r="1534" ht="15.75" customHeight="1">
      <c r="A1534" s="3" t="s">
        <v>12</v>
      </c>
      <c r="B1534" s="3" t="s">
        <v>82</v>
      </c>
      <c r="C1534" s="3" t="s">
        <v>8519</v>
      </c>
      <c r="D1534" s="8" t="str">
        <f t="shared" si="1"/>
        <v>Abrir anúncio ↗</v>
      </c>
      <c r="E1534" s="9" t="s">
        <v>2570</v>
      </c>
      <c r="F1534" s="3" t="s">
        <v>29</v>
      </c>
      <c r="G1534" s="9" t="s">
        <v>2390</v>
      </c>
      <c r="H1534" s="9" t="s">
        <v>2392</v>
      </c>
      <c r="I1534" s="3"/>
      <c r="J1534" s="3"/>
      <c r="K1534" s="9"/>
    </row>
    <row r="1535" ht="15.75" customHeight="1">
      <c r="A1535" s="10" t="s">
        <v>12</v>
      </c>
      <c r="B1535" s="10" t="s">
        <v>82</v>
      </c>
      <c r="C1535" s="10" t="s">
        <v>7306</v>
      </c>
      <c r="D1535" s="11" t="str">
        <f t="shared" si="1"/>
        <v>Abrir anúncio ↗</v>
      </c>
      <c r="E1535" s="12" t="s">
        <v>2874</v>
      </c>
      <c r="F1535" s="10" t="s">
        <v>29</v>
      </c>
      <c r="G1535" s="12" t="s">
        <v>2390</v>
      </c>
      <c r="H1535" s="12" t="s">
        <v>2392</v>
      </c>
      <c r="I1535" s="10"/>
      <c r="J1535" s="10"/>
      <c r="K1535" s="12"/>
    </row>
    <row r="1536" ht="15.75" customHeight="1">
      <c r="A1536" s="3" t="s">
        <v>12</v>
      </c>
      <c r="B1536" s="3" t="s">
        <v>82</v>
      </c>
      <c r="C1536" s="3" t="s">
        <v>9233</v>
      </c>
      <c r="D1536" s="8" t="str">
        <f t="shared" si="1"/>
        <v>Abrir anúncio ↗</v>
      </c>
      <c r="E1536" s="9" t="s">
        <v>9234</v>
      </c>
      <c r="F1536" s="3" t="s">
        <v>29</v>
      </c>
      <c r="G1536" s="9" t="s">
        <v>3685</v>
      </c>
      <c r="H1536" s="9" t="s">
        <v>3853</v>
      </c>
      <c r="I1536" s="3"/>
      <c r="J1536" s="3"/>
      <c r="K1536" s="9"/>
    </row>
    <row r="1537" ht="15.75" customHeight="1">
      <c r="A1537" s="10" t="s">
        <v>12</v>
      </c>
      <c r="B1537" s="10" t="s">
        <v>82</v>
      </c>
      <c r="C1537" s="10" t="s">
        <v>9235</v>
      </c>
      <c r="D1537" s="11" t="str">
        <f t="shared" si="1"/>
        <v>Abrir anúncio ↗</v>
      </c>
      <c r="E1537" s="12" t="s">
        <v>9236</v>
      </c>
      <c r="F1537" s="10" t="s">
        <v>29</v>
      </c>
      <c r="G1537" s="12" t="s">
        <v>5339</v>
      </c>
      <c r="H1537" s="12" t="s">
        <v>9237</v>
      </c>
      <c r="I1537" s="10"/>
      <c r="J1537" s="10"/>
      <c r="K1537" s="12"/>
    </row>
    <row r="1538" ht="15.75" customHeight="1">
      <c r="A1538" s="3" t="s">
        <v>12</v>
      </c>
      <c r="B1538" s="3" t="s">
        <v>82</v>
      </c>
      <c r="C1538" s="3" t="s">
        <v>9238</v>
      </c>
      <c r="D1538" s="8" t="str">
        <f t="shared" si="1"/>
        <v>Abrir anúncio ↗</v>
      </c>
      <c r="E1538" s="9" t="s">
        <v>9239</v>
      </c>
      <c r="F1538" s="3" t="s">
        <v>29</v>
      </c>
      <c r="G1538" s="9" t="s">
        <v>3402</v>
      </c>
      <c r="H1538" s="9" t="s">
        <v>9240</v>
      </c>
      <c r="I1538" s="3"/>
      <c r="J1538" s="3"/>
      <c r="K1538" s="9"/>
    </row>
    <row r="1539" ht="15.75" customHeight="1">
      <c r="A1539" s="10" t="s">
        <v>12</v>
      </c>
      <c r="B1539" s="10" t="s">
        <v>82</v>
      </c>
      <c r="C1539" s="10" t="s">
        <v>9241</v>
      </c>
      <c r="D1539" s="11" t="str">
        <f t="shared" si="1"/>
        <v>Abrir anúncio ↗</v>
      </c>
      <c r="E1539" s="12" t="s">
        <v>9242</v>
      </c>
      <c r="F1539" s="10" t="s">
        <v>29</v>
      </c>
      <c r="G1539" s="12" t="s">
        <v>3685</v>
      </c>
      <c r="H1539" s="12" t="s">
        <v>3739</v>
      </c>
      <c r="I1539" s="10"/>
      <c r="J1539" s="10"/>
      <c r="K1539" s="12"/>
    </row>
    <row r="1540" ht="15.75" customHeight="1">
      <c r="A1540" s="3" t="s">
        <v>12</v>
      </c>
      <c r="B1540" s="3" t="s">
        <v>82</v>
      </c>
      <c r="C1540" s="3" t="s">
        <v>6208</v>
      </c>
      <c r="D1540" s="8" t="str">
        <f t="shared" si="1"/>
        <v>Abrir anúncio ↗</v>
      </c>
      <c r="E1540" s="9" t="s">
        <v>3601</v>
      </c>
      <c r="F1540" s="3" t="s">
        <v>86</v>
      </c>
      <c r="G1540" s="9" t="s">
        <v>3422</v>
      </c>
      <c r="H1540" s="9" t="s">
        <v>3604</v>
      </c>
      <c r="I1540" s="3"/>
      <c r="J1540" s="3"/>
      <c r="K1540" s="9"/>
    </row>
    <row r="1541" ht="15.75" customHeight="1">
      <c r="A1541" s="10" t="s">
        <v>12</v>
      </c>
      <c r="B1541" s="10" t="s">
        <v>359</v>
      </c>
      <c r="C1541" s="10" t="s">
        <v>7257</v>
      </c>
      <c r="D1541" s="11" t="str">
        <f t="shared" si="1"/>
        <v>Abrir anúncio ↗</v>
      </c>
      <c r="E1541" s="12" t="s">
        <v>7253</v>
      </c>
      <c r="F1541" s="10" t="s">
        <v>29</v>
      </c>
      <c r="G1541" s="12" t="s">
        <v>4918</v>
      </c>
      <c r="H1541" s="12" t="s">
        <v>4919</v>
      </c>
      <c r="I1541" s="10"/>
      <c r="J1541" s="10"/>
      <c r="K1541" s="12"/>
    </row>
    <row r="1542" ht="15.75" customHeight="1">
      <c r="A1542" s="3" t="s">
        <v>12</v>
      </c>
      <c r="B1542" s="3" t="s">
        <v>359</v>
      </c>
      <c r="C1542" s="3" t="s">
        <v>9243</v>
      </c>
      <c r="D1542" s="8" t="str">
        <f t="shared" si="1"/>
        <v>Abrir anúncio ↗</v>
      </c>
      <c r="E1542" s="9" t="s">
        <v>9244</v>
      </c>
      <c r="F1542" s="3" t="s">
        <v>29</v>
      </c>
      <c r="G1542" s="9" t="s">
        <v>4918</v>
      </c>
      <c r="H1542" s="9" t="s">
        <v>4919</v>
      </c>
      <c r="I1542" s="3"/>
      <c r="J1542" s="3"/>
      <c r="K1542" s="9"/>
    </row>
    <row r="1543" ht="15.75" customHeight="1">
      <c r="A1543" s="10" t="s">
        <v>12</v>
      </c>
      <c r="B1543" s="10" t="s">
        <v>359</v>
      </c>
      <c r="C1543" s="10" t="s">
        <v>9245</v>
      </c>
      <c r="D1543" s="11" t="str">
        <f t="shared" si="1"/>
        <v>Abrir anúncio ↗</v>
      </c>
      <c r="E1543" s="12" t="s">
        <v>9246</v>
      </c>
      <c r="F1543" s="10" t="s">
        <v>29</v>
      </c>
      <c r="G1543" s="12" t="s">
        <v>4918</v>
      </c>
      <c r="H1543" s="12" t="s">
        <v>4919</v>
      </c>
      <c r="I1543" s="10"/>
      <c r="J1543" s="10"/>
      <c r="K1543" s="12"/>
    </row>
    <row r="1544" ht="15.75" customHeight="1">
      <c r="A1544" s="3" t="s">
        <v>12</v>
      </c>
      <c r="B1544" s="3" t="s">
        <v>359</v>
      </c>
      <c r="C1544" s="3" t="s">
        <v>9247</v>
      </c>
      <c r="D1544" s="8" t="str">
        <f t="shared" si="1"/>
        <v>Abrir anúncio ↗</v>
      </c>
      <c r="E1544" s="9" t="s">
        <v>9248</v>
      </c>
      <c r="F1544" s="3" t="s">
        <v>29</v>
      </c>
      <c r="G1544" s="9" t="s">
        <v>4918</v>
      </c>
      <c r="H1544" s="9" t="s">
        <v>4919</v>
      </c>
      <c r="I1544" s="3"/>
      <c r="J1544" s="3"/>
      <c r="K1544" s="9"/>
    </row>
    <row r="1545" ht="15.75" customHeight="1">
      <c r="A1545" s="10" t="s">
        <v>12</v>
      </c>
      <c r="B1545" s="10" t="s">
        <v>359</v>
      </c>
      <c r="C1545" s="10" t="s">
        <v>9249</v>
      </c>
      <c r="D1545" s="11" t="str">
        <f t="shared" si="1"/>
        <v>Abrir anúncio ↗</v>
      </c>
      <c r="E1545" s="12" t="s">
        <v>9250</v>
      </c>
      <c r="F1545" s="10" t="s">
        <v>29</v>
      </c>
      <c r="G1545" s="12" t="s">
        <v>4918</v>
      </c>
      <c r="H1545" s="12" t="s">
        <v>4919</v>
      </c>
      <c r="I1545" s="10"/>
      <c r="J1545" s="10"/>
      <c r="K1545" s="12"/>
    </row>
    <row r="1546" ht="15.75" customHeight="1">
      <c r="A1546" s="3" t="s">
        <v>12</v>
      </c>
      <c r="B1546" s="3" t="s">
        <v>359</v>
      </c>
      <c r="C1546" s="3" t="s">
        <v>9251</v>
      </c>
      <c r="D1546" s="8" t="str">
        <f t="shared" si="1"/>
        <v>Abrir anúncio ↗</v>
      </c>
      <c r="E1546" s="9" t="s">
        <v>9252</v>
      </c>
      <c r="F1546" s="3" t="s">
        <v>29</v>
      </c>
      <c r="G1546" s="9" t="s">
        <v>4918</v>
      </c>
      <c r="H1546" s="9" t="s">
        <v>4919</v>
      </c>
      <c r="I1546" s="3"/>
      <c r="J1546" s="3"/>
      <c r="K1546" s="9"/>
    </row>
    <row r="1547" ht="15.75" customHeight="1">
      <c r="A1547" s="10" t="s">
        <v>12</v>
      </c>
      <c r="B1547" s="10" t="s">
        <v>359</v>
      </c>
      <c r="C1547" s="10" t="s">
        <v>7754</v>
      </c>
      <c r="D1547" s="11" t="str">
        <f t="shared" si="1"/>
        <v>Abrir anúncio ↗</v>
      </c>
      <c r="E1547" s="12" t="s">
        <v>6719</v>
      </c>
      <c r="F1547" s="10" t="s">
        <v>29</v>
      </c>
      <c r="G1547" s="12" t="s">
        <v>9253</v>
      </c>
      <c r="H1547" s="12" t="s">
        <v>9254</v>
      </c>
      <c r="I1547" s="10"/>
      <c r="J1547" s="10"/>
      <c r="K1547" s="12"/>
    </row>
    <row r="1548" ht="15.75" customHeight="1">
      <c r="A1548" s="3" t="s">
        <v>12</v>
      </c>
      <c r="B1548" s="3" t="s">
        <v>359</v>
      </c>
      <c r="C1548" s="3" t="s">
        <v>9255</v>
      </c>
      <c r="D1548" s="8" t="str">
        <f t="shared" si="1"/>
        <v>Abrir anúncio ↗</v>
      </c>
      <c r="E1548" s="9" t="s">
        <v>9256</v>
      </c>
      <c r="F1548" s="3" t="s">
        <v>29</v>
      </c>
      <c r="G1548" s="9" t="s">
        <v>5013</v>
      </c>
      <c r="H1548" s="9" t="s">
        <v>5015</v>
      </c>
      <c r="I1548" s="3"/>
      <c r="J1548" s="3"/>
      <c r="K1548" s="9"/>
    </row>
    <row r="1549" ht="15.75" customHeight="1">
      <c r="A1549" s="10" t="s">
        <v>12</v>
      </c>
      <c r="B1549" s="10" t="s">
        <v>359</v>
      </c>
      <c r="C1549" s="10" t="s">
        <v>7328</v>
      </c>
      <c r="D1549" s="11" t="str">
        <f t="shared" si="1"/>
        <v>Abrir anúncio ↗</v>
      </c>
      <c r="E1549" s="12" t="s">
        <v>7321</v>
      </c>
      <c r="F1549" s="10" t="s">
        <v>29</v>
      </c>
      <c r="G1549" s="12" t="s">
        <v>4918</v>
      </c>
      <c r="H1549" s="12" t="s">
        <v>4919</v>
      </c>
      <c r="I1549" s="10"/>
      <c r="J1549" s="10"/>
      <c r="K1549" s="12"/>
    </row>
    <row r="1550" ht="15.75" customHeight="1">
      <c r="A1550" s="3" t="s">
        <v>12</v>
      </c>
      <c r="B1550" s="3" t="s">
        <v>359</v>
      </c>
      <c r="C1550" s="3" t="s">
        <v>9257</v>
      </c>
      <c r="D1550" s="8" t="str">
        <f t="shared" si="1"/>
        <v>Abrir anúncio ↗</v>
      </c>
      <c r="E1550" s="9" t="s">
        <v>9258</v>
      </c>
      <c r="F1550" s="3" t="s">
        <v>29</v>
      </c>
      <c r="G1550" s="9" t="s">
        <v>5013</v>
      </c>
      <c r="H1550" s="9" t="s">
        <v>5015</v>
      </c>
      <c r="I1550" s="3"/>
      <c r="J1550" s="3"/>
      <c r="K1550" s="9"/>
    </row>
    <row r="1551" ht="15.75" customHeight="1">
      <c r="A1551" s="10" t="s">
        <v>12</v>
      </c>
      <c r="B1551" s="10" t="s">
        <v>359</v>
      </c>
      <c r="C1551" s="10" t="s">
        <v>9259</v>
      </c>
      <c r="D1551" s="11" t="str">
        <f t="shared" si="1"/>
        <v>Abrir anúncio ↗</v>
      </c>
      <c r="E1551" s="12" t="s">
        <v>9260</v>
      </c>
      <c r="F1551" s="10" t="s">
        <v>29</v>
      </c>
      <c r="G1551" s="12" t="s">
        <v>5013</v>
      </c>
      <c r="H1551" s="12" t="s">
        <v>5015</v>
      </c>
      <c r="I1551" s="10"/>
      <c r="J1551" s="10"/>
      <c r="K1551" s="12"/>
    </row>
    <row r="1552" ht="15.75" customHeight="1">
      <c r="A1552" s="3" t="s">
        <v>12</v>
      </c>
      <c r="B1552" s="3" t="s">
        <v>359</v>
      </c>
      <c r="C1552" s="3" t="s">
        <v>9261</v>
      </c>
      <c r="D1552" s="8" t="str">
        <f t="shared" si="1"/>
        <v>Abrir anúncio ↗</v>
      </c>
      <c r="E1552" s="9" t="s">
        <v>9262</v>
      </c>
      <c r="F1552" s="3" t="s">
        <v>29</v>
      </c>
      <c r="G1552" s="9" t="s">
        <v>4918</v>
      </c>
      <c r="H1552" s="9" t="s">
        <v>4919</v>
      </c>
      <c r="I1552" s="3"/>
      <c r="J1552" s="3"/>
      <c r="K1552" s="9"/>
    </row>
    <row r="1553" ht="15.75" customHeight="1">
      <c r="A1553" s="10" t="s">
        <v>12</v>
      </c>
      <c r="B1553" s="10" t="s">
        <v>359</v>
      </c>
      <c r="C1553" s="10" t="s">
        <v>9263</v>
      </c>
      <c r="D1553" s="11" t="str">
        <f t="shared" si="1"/>
        <v>Abrir anúncio ↗</v>
      </c>
      <c r="E1553" s="12" t="s">
        <v>9264</v>
      </c>
      <c r="F1553" s="10" t="s">
        <v>29</v>
      </c>
      <c r="G1553" s="12" t="s">
        <v>4918</v>
      </c>
      <c r="H1553" s="12" t="s">
        <v>4919</v>
      </c>
      <c r="I1553" s="10"/>
      <c r="J1553" s="10"/>
      <c r="K1553" s="12"/>
    </row>
    <row r="1554" ht="15.75" customHeight="1">
      <c r="A1554" s="3" t="s">
        <v>12</v>
      </c>
      <c r="B1554" s="3" t="s">
        <v>359</v>
      </c>
      <c r="C1554" s="3" t="s">
        <v>6853</v>
      </c>
      <c r="D1554" s="8" t="str">
        <f t="shared" si="1"/>
        <v>Abrir anúncio ↗</v>
      </c>
      <c r="E1554" s="9" t="s">
        <v>6847</v>
      </c>
      <c r="F1554" s="3" t="s">
        <v>29</v>
      </c>
      <c r="G1554" s="9" t="s">
        <v>4918</v>
      </c>
      <c r="H1554" s="9" t="s">
        <v>4919</v>
      </c>
      <c r="I1554" s="3"/>
      <c r="J1554" s="3"/>
      <c r="K1554" s="9"/>
    </row>
    <row r="1555" ht="15.75" customHeight="1">
      <c r="A1555" s="10" t="s">
        <v>12</v>
      </c>
      <c r="B1555" s="10" t="s">
        <v>359</v>
      </c>
      <c r="C1555" s="10" t="s">
        <v>9265</v>
      </c>
      <c r="D1555" s="11" t="str">
        <f t="shared" si="1"/>
        <v>Abrir anúncio ↗</v>
      </c>
      <c r="E1555" s="12" t="s">
        <v>9266</v>
      </c>
      <c r="F1555" s="10" t="s">
        <v>29</v>
      </c>
      <c r="G1555" s="12" t="s">
        <v>4918</v>
      </c>
      <c r="H1555" s="12" t="s">
        <v>4919</v>
      </c>
      <c r="I1555" s="10"/>
      <c r="J1555" s="10"/>
      <c r="K1555" s="12"/>
    </row>
    <row r="1556" ht="15.75" customHeight="1">
      <c r="A1556" s="3" t="s">
        <v>12</v>
      </c>
      <c r="B1556" s="3" t="s">
        <v>359</v>
      </c>
      <c r="C1556" s="3" t="s">
        <v>9267</v>
      </c>
      <c r="D1556" s="8" t="str">
        <f t="shared" si="1"/>
        <v>Abrir anúncio ↗</v>
      </c>
      <c r="E1556" s="9" t="s">
        <v>9268</v>
      </c>
      <c r="F1556" s="3" t="s">
        <v>29</v>
      </c>
      <c r="G1556" s="9" t="s">
        <v>5013</v>
      </c>
      <c r="H1556" s="9" t="s">
        <v>5015</v>
      </c>
      <c r="I1556" s="3"/>
      <c r="J1556" s="3"/>
      <c r="K1556" s="9"/>
    </row>
    <row r="1557" ht="15.75" customHeight="1">
      <c r="A1557" s="10" t="s">
        <v>12</v>
      </c>
      <c r="B1557" s="10" t="s">
        <v>359</v>
      </c>
      <c r="C1557" s="10" t="s">
        <v>7191</v>
      </c>
      <c r="D1557" s="11" t="str">
        <f t="shared" si="1"/>
        <v>Abrir anúncio ↗</v>
      </c>
      <c r="E1557" s="12" t="s">
        <v>7185</v>
      </c>
      <c r="F1557" s="10" t="s">
        <v>29</v>
      </c>
      <c r="G1557" s="12" t="s">
        <v>4918</v>
      </c>
      <c r="H1557" s="12" t="s">
        <v>4919</v>
      </c>
      <c r="I1557" s="10"/>
      <c r="J1557" s="10"/>
      <c r="K1557" s="12"/>
    </row>
    <row r="1558" ht="15.75" customHeight="1">
      <c r="A1558" s="3" t="s">
        <v>12</v>
      </c>
      <c r="B1558" s="3" t="s">
        <v>359</v>
      </c>
      <c r="C1558" s="3" t="s">
        <v>9269</v>
      </c>
      <c r="D1558" s="8" t="str">
        <f t="shared" si="1"/>
        <v>Abrir anúncio ↗</v>
      </c>
      <c r="E1558" s="9" t="s">
        <v>9270</v>
      </c>
      <c r="F1558" s="3" t="s">
        <v>29</v>
      </c>
      <c r="G1558" s="9" t="s">
        <v>4918</v>
      </c>
      <c r="H1558" s="9" t="s">
        <v>4919</v>
      </c>
      <c r="I1558" s="3"/>
      <c r="J1558" s="3"/>
      <c r="K1558" s="9"/>
    </row>
    <row r="1559" ht="15.75" customHeight="1">
      <c r="A1559" s="10" t="s">
        <v>12</v>
      </c>
      <c r="B1559" s="10" t="s">
        <v>359</v>
      </c>
      <c r="C1559" s="10" t="s">
        <v>9271</v>
      </c>
      <c r="D1559" s="11" t="str">
        <f t="shared" si="1"/>
        <v>Abrir anúncio ↗</v>
      </c>
      <c r="E1559" s="12" t="s">
        <v>9272</v>
      </c>
      <c r="F1559" s="10" t="s">
        <v>29</v>
      </c>
      <c r="G1559" s="12" t="s">
        <v>5013</v>
      </c>
      <c r="H1559" s="12" t="s">
        <v>5015</v>
      </c>
      <c r="I1559" s="10"/>
      <c r="J1559" s="10"/>
      <c r="K1559" s="12"/>
    </row>
    <row r="1560" ht="15.75" customHeight="1">
      <c r="A1560" s="3" t="s">
        <v>12</v>
      </c>
      <c r="B1560" s="3" t="s">
        <v>359</v>
      </c>
      <c r="C1560" s="3" t="s">
        <v>9273</v>
      </c>
      <c r="D1560" s="8" t="str">
        <f t="shared" si="1"/>
        <v>Abrir anúncio ↗</v>
      </c>
      <c r="E1560" s="9" t="s">
        <v>9274</v>
      </c>
      <c r="F1560" s="3" t="s">
        <v>29</v>
      </c>
      <c r="G1560" s="9" t="s">
        <v>5013</v>
      </c>
      <c r="H1560" s="9" t="s">
        <v>5015</v>
      </c>
      <c r="I1560" s="3"/>
      <c r="J1560" s="3"/>
      <c r="K1560" s="9"/>
    </row>
    <row r="1561" ht="15.75" customHeight="1">
      <c r="A1561" s="10" t="s">
        <v>12</v>
      </c>
      <c r="B1561" s="10" t="s">
        <v>359</v>
      </c>
      <c r="C1561" s="10" t="s">
        <v>7831</v>
      </c>
      <c r="D1561" s="11" t="str">
        <f t="shared" si="1"/>
        <v>Abrir anúncio ↗</v>
      </c>
      <c r="E1561" s="12" t="s">
        <v>7829</v>
      </c>
      <c r="F1561" s="10" t="s">
        <v>29</v>
      </c>
      <c r="G1561" s="12" t="s">
        <v>4918</v>
      </c>
      <c r="H1561" s="12" t="s">
        <v>4919</v>
      </c>
      <c r="I1561" s="10"/>
      <c r="J1561" s="10"/>
      <c r="K1561" s="12"/>
    </row>
    <row r="1562" ht="15.75" customHeight="1">
      <c r="A1562" s="3" t="s">
        <v>12</v>
      </c>
      <c r="B1562" s="3" t="s">
        <v>359</v>
      </c>
      <c r="C1562" s="3" t="s">
        <v>9275</v>
      </c>
      <c r="D1562" s="8" t="str">
        <f t="shared" si="1"/>
        <v>Abrir anúncio ↗</v>
      </c>
      <c r="E1562" s="9" t="s">
        <v>9276</v>
      </c>
      <c r="F1562" s="3" t="s">
        <v>29</v>
      </c>
      <c r="G1562" s="9" t="s">
        <v>5013</v>
      </c>
      <c r="H1562" s="9" t="s">
        <v>5015</v>
      </c>
      <c r="I1562" s="3"/>
      <c r="J1562" s="3"/>
      <c r="K1562" s="9"/>
    </row>
    <row r="1563" ht="15.75" customHeight="1">
      <c r="A1563" s="10" t="s">
        <v>12</v>
      </c>
      <c r="B1563" s="10" t="s">
        <v>359</v>
      </c>
      <c r="C1563" s="10" t="s">
        <v>9277</v>
      </c>
      <c r="D1563" s="11" t="str">
        <f t="shared" si="1"/>
        <v>Abrir anúncio ↗</v>
      </c>
      <c r="E1563" s="12" t="s">
        <v>9278</v>
      </c>
      <c r="F1563" s="10" t="s">
        <v>29</v>
      </c>
      <c r="G1563" s="12" t="s">
        <v>5013</v>
      </c>
      <c r="H1563" s="12" t="s">
        <v>5015</v>
      </c>
      <c r="I1563" s="10"/>
      <c r="J1563" s="10"/>
      <c r="K1563" s="12"/>
    </row>
    <row r="1564" ht="15.75" customHeight="1">
      <c r="A1564" s="3" t="s">
        <v>12</v>
      </c>
      <c r="B1564" s="3" t="s">
        <v>359</v>
      </c>
      <c r="C1564" s="3" t="s">
        <v>7762</v>
      </c>
      <c r="D1564" s="8" t="str">
        <f t="shared" si="1"/>
        <v>Abrir anúncio ↗</v>
      </c>
      <c r="E1564" s="9" t="s">
        <v>7380</v>
      </c>
      <c r="F1564" s="3" t="s">
        <v>29</v>
      </c>
      <c r="G1564" s="9" t="s">
        <v>4918</v>
      </c>
      <c r="H1564" s="9" t="s">
        <v>4919</v>
      </c>
      <c r="I1564" s="3"/>
      <c r="J1564" s="3"/>
      <c r="K1564" s="9"/>
    </row>
    <row r="1565" ht="15.75" customHeight="1">
      <c r="A1565" s="10" t="s">
        <v>12</v>
      </c>
      <c r="B1565" s="10" t="s">
        <v>359</v>
      </c>
      <c r="C1565" s="10" t="s">
        <v>9279</v>
      </c>
      <c r="D1565" s="11" t="str">
        <f t="shared" si="1"/>
        <v>Abrir anúncio ↗</v>
      </c>
      <c r="E1565" s="12" t="s">
        <v>9280</v>
      </c>
      <c r="F1565" s="10" t="s">
        <v>29</v>
      </c>
      <c r="G1565" s="12" t="s">
        <v>4918</v>
      </c>
      <c r="H1565" s="12" t="s">
        <v>4919</v>
      </c>
      <c r="I1565" s="10"/>
      <c r="J1565" s="10"/>
      <c r="K1565" s="12"/>
    </row>
    <row r="1566" ht="15.75" customHeight="1">
      <c r="A1566" s="3" t="s">
        <v>12</v>
      </c>
      <c r="B1566" s="3" t="s">
        <v>359</v>
      </c>
      <c r="C1566" s="3" t="s">
        <v>8318</v>
      </c>
      <c r="D1566" s="8" t="str">
        <f t="shared" si="1"/>
        <v>Abrir anúncio ↗</v>
      </c>
      <c r="E1566" s="9" t="s">
        <v>8314</v>
      </c>
      <c r="F1566" s="3" t="s">
        <v>29</v>
      </c>
      <c r="G1566" s="9" t="s">
        <v>4918</v>
      </c>
      <c r="H1566" s="9" t="s">
        <v>4919</v>
      </c>
      <c r="I1566" s="3"/>
      <c r="J1566" s="3"/>
      <c r="K1566" s="9"/>
    </row>
    <row r="1567" ht="15.75" customHeight="1">
      <c r="A1567" s="10" t="s">
        <v>12</v>
      </c>
      <c r="B1567" s="10" t="s">
        <v>359</v>
      </c>
      <c r="C1567" s="10" t="s">
        <v>9281</v>
      </c>
      <c r="D1567" s="11" t="str">
        <f t="shared" si="1"/>
        <v>Abrir anúncio ↗</v>
      </c>
      <c r="E1567" s="12" t="s">
        <v>9282</v>
      </c>
      <c r="F1567" s="10" t="s">
        <v>29</v>
      </c>
      <c r="G1567" s="12" t="s">
        <v>5013</v>
      </c>
      <c r="H1567" s="12" t="s">
        <v>5015</v>
      </c>
      <c r="I1567" s="10"/>
      <c r="J1567" s="10"/>
      <c r="K1567" s="12"/>
    </row>
    <row r="1568" ht="15.75" customHeight="1">
      <c r="A1568" s="3" t="s">
        <v>12</v>
      </c>
      <c r="B1568" s="3" t="s">
        <v>359</v>
      </c>
      <c r="C1568" s="3" t="s">
        <v>9283</v>
      </c>
      <c r="D1568" s="8" t="str">
        <f t="shared" si="1"/>
        <v>Abrir anúncio ↗</v>
      </c>
      <c r="E1568" s="9" t="s">
        <v>9284</v>
      </c>
      <c r="F1568" s="3" t="s">
        <v>29</v>
      </c>
      <c r="G1568" s="9" t="s">
        <v>9285</v>
      </c>
      <c r="H1568" s="9" t="s">
        <v>9286</v>
      </c>
      <c r="I1568" s="3"/>
      <c r="J1568" s="3"/>
      <c r="K1568" s="9"/>
    </row>
    <row r="1569" ht="15.75" customHeight="1">
      <c r="A1569" s="10" t="s">
        <v>12</v>
      </c>
      <c r="B1569" s="10" t="s">
        <v>359</v>
      </c>
      <c r="C1569" s="10" t="s">
        <v>9287</v>
      </c>
      <c r="D1569" s="11" t="str">
        <f t="shared" si="1"/>
        <v>Abrir anúncio ↗</v>
      </c>
      <c r="E1569" s="12" t="s">
        <v>9288</v>
      </c>
      <c r="F1569" s="10" t="s">
        <v>86</v>
      </c>
      <c r="G1569" s="12" t="s">
        <v>5013</v>
      </c>
      <c r="H1569" s="12" t="s">
        <v>5015</v>
      </c>
      <c r="I1569" s="10"/>
      <c r="J1569" s="10"/>
      <c r="K1569" s="12"/>
    </row>
    <row r="1570" ht="15.75" customHeight="1">
      <c r="A1570" s="3" t="s">
        <v>12</v>
      </c>
      <c r="B1570" s="3" t="s">
        <v>359</v>
      </c>
      <c r="C1570" s="3" t="s">
        <v>9289</v>
      </c>
      <c r="D1570" s="8" t="str">
        <f t="shared" si="1"/>
        <v>Abrir anúncio ↗</v>
      </c>
      <c r="E1570" s="9" t="s">
        <v>9290</v>
      </c>
      <c r="F1570" s="3" t="s">
        <v>29</v>
      </c>
      <c r="G1570" s="9" t="s">
        <v>5013</v>
      </c>
      <c r="H1570" s="9" t="s">
        <v>5015</v>
      </c>
      <c r="I1570" s="3"/>
      <c r="J1570" s="3"/>
      <c r="K1570" s="9"/>
    </row>
    <row r="1571" ht="15.75" customHeight="1">
      <c r="A1571" s="10" t="s">
        <v>12</v>
      </c>
      <c r="B1571" s="10" t="s">
        <v>359</v>
      </c>
      <c r="C1571" s="10" t="s">
        <v>9291</v>
      </c>
      <c r="D1571" s="11" t="str">
        <f t="shared" si="1"/>
        <v>Abrir anúncio ↗</v>
      </c>
      <c r="E1571" s="12" t="s">
        <v>9292</v>
      </c>
      <c r="F1571" s="10" t="s">
        <v>29</v>
      </c>
      <c r="G1571" s="12" t="s">
        <v>5013</v>
      </c>
      <c r="H1571" s="12" t="s">
        <v>5015</v>
      </c>
      <c r="I1571" s="10"/>
      <c r="J1571" s="10"/>
      <c r="K1571" s="12"/>
    </row>
    <row r="1572" ht="15.75" customHeight="1">
      <c r="A1572" s="3" t="s">
        <v>12</v>
      </c>
      <c r="B1572" s="3" t="s">
        <v>359</v>
      </c>
      <c r="C1572" s="3" t="s">
        <v>9293</v>
      </c>
      <c r="D1572" s="8" t="str">
        <f t="shared" si="1"/>
        <v>Abrir anúncio ↗</v>
      </c>
      <c r="E1572" s="9" t="s">
        <v>9294</v>
      </c>
      <c r="F1572" s="3" t="s">
        <v>29</v>
      </c>
      <c r="G1572" s="9" t="s">
        <v>4918</v>
      </c>
      <c r="H1572" s="9" t="s">
        <v>4919</v>
      </c>
      <c r="I1572" s="3"/>
      <c r="J1572" s="3"/>
      <c r="K1572" s="9"/>
    </row>
    <row r="1573" ht="15.75" customHeight="1">
      <c r="A1573" s="10" t="s">
        <v>12</v>
      </c>
      <c r="B1573" s="10" t="s">
        <v>359</v>
      </c>
      <c r="C1573" s="10" t="s">
        <v>7533</v>
      </c>
      <c r="D1573" s="11" t="str">
        <f t="shared" si="1"/>
        <v>Abrir anúncio ↗</v>
      </c>
      <c r="E1573" s="12" t="s">
        <v>7532</v>
      </c>
      <c r="F1573" s="10" t="s">
        <v>29</v>
      </c>
      <c r="G1573" s="12" t="s">
        <v>4918</v>
      </c>
      <c r="H1573" s="12" t="s">
        <v>4919</v>
      </c>
      <c r="I1573" s="10"/>
      <c r="J1573" s="10"/>
      <c r="K1573" s="12"/>
    </row>
    <row r="1574" ht="15.75" customHeight="1">
      <c r="A1574" s="3" t="s">
        <v>12</v>
      </c>
      <c r="B1574" s="3" t="s">
        <v>359</v>
      </c>
      <c r="C1574" s="3" t="s">
        <v>9295</v>
      </c>
      <c r="D1574" s="8" t="str">
        <f t="shared" si="1"/>
        <v>Abrir anúncio ↗</v>
      </c>
      <c r="E1574" s="9" t="s">
        <v>9296</v>
      </c>
      <c r="F1574" s="3" t="s">
        <v>29</v>
      </c>
      <c r="G1574" s="9" t="s">
        <v>4918</v>
      </c>
      <c r="H1574" s="9" t="s">
        <v>4919</v>
      </c>
      <c r="I1574" s="3"/>
      <c r="J1574" s="3"/>
      <c r="K1574" s="9"/>
    </row>
    <row r="1575" ht="15.75" customHeight="1">
      <c r="A1575" s="10" t="s">
        <v>12</v>
      </c>
      <c r="B1575" s="10" t="s">
        <v>359</v>
      </c>
      <c r="C1575" s="10" t="s">
        <v>9297</v>
      </c>
      <c r="D1575" s="11" t="str">
        <f t="shared" si="1"/>
        <v>Abrir anúncio ↗</v>
      </c>
      <c r="E1575" s="12" t="s">
        <v>9298</v>
      </c>
      <c r="F1575" s="10" t="s">
        <v>29</v>
      </c>
      <c r="G1575" s="12" t="s">
        <v>5013</v>
      </c>
      <c r="H1575" s="12" t="s">
        <v>5015</v>
      </c>
      <c r="I1575" s="10"/>
      <c r="J1575" s="10"/>
      <c r="K1575" s="12"/>
    </row>
    <row r="1576" ht="15.75" customHeight="1">
      <c r="A1576" s="3" t="s">
        <v>12</v>
      </c>
      <c r="B1576" s="3" t="s">
        <v>359</v>
      </c>
      <c r="C1576" s="3" t="s">
        <v>9299</v>
      </c>
      <c r="D1576" s="8" t="str">
        <f t="shared" si="1"/>
        <v>Abrir anúncio ↗</v>
      </c>
      <c r="E1576" s="9" t="s">
        <v>9300</v>
      </c>
      <c r="F1576" s="3" t="s">
        <v>29</v>
      </c>
      <c r="G1576" s="9" t="s">
        <v>4918</v>
      </c>
      <c r="H1576" s="9" t="s">
        <v>4919</v>
      </c>
      <c r="I1576" s="3"/>
      <c r="J1576" s="3"/>
      <c r="K1576" s="9"/>
    </row>
    <row r="1577" ht="15.75" customHeight="1">
      <c r="A1577" s="10" t="s">
        <v>12</v>
      </c>
      <c r="B1577" s="10" t="s">
        <v>359</v>
      </c>
      <c r="C1577" s="10" t="s">
        <v>9301</v>
      </c>
      <c r="D1577" s="11" t="str">
        <f t="shared" si="1"/>
        <v>Abrir anúncio ↗</v>
      </c>
      <c r="E1577" s="12" t="s">
        <v>9302</v>
      </c>
      <c r="F1577" s="10" t="s">
        <v>29</v>
      </c>
      <c r="G1577" s="12" t="s">
        <v>5013</v>
      </c>
      <c r="H1577" s="12" t="s">
        <v>5015</v>
      </c>
      <c r="I1577" s="10"/>
      <c r="J1577" s="10"/>
      <c r="K1577" s="12"/>
    </row>
    <row r="1578" ht="15.75" customHeight="1">
      <c r="A1578" s="3" t="s">
        <v>12</v>
      </c>
      <c r="B1578" s="3" t="s">
        <v>359</v>
      </c>
      <c r="C1578" s="3" t="s">
        <v>7630</v>
      </c>
      <c r="D1578" s="8" t="str">
        <f t="shared" si="1"/>
        <v>Abrir anúncio ↗</v>
      </c>
      <c r="E1578" s="9" t="s">
        <v>7629</v>
      </c>
      <c r="F1578" s="3" t="s">
        <v>29</v>
      </c>
      <c r="G1578" s="9" t="s">
        <v>9285</v>
      </c>
      <c r="H1578" s="9" t="s">
        <v>9303</v>
      </c>
      <c r="I1578" s="3"/>
      <c r="J1578" s="3"/>
      <c r="K1578" s="9"/>
    </row>
    <row r="1579" ht="15.75" customHeight="1">
      <c r="A1579" s="10" t="s">
        <v>12</v>
      </c>
      <c r="B1579" s="10" t="s">
        <v>359</v>
      </c>
      <c r="C1579" s="10" t="s">
        <v>9304</v>
      </c>
      <c r="D1579" s="11" t="str">
        <f t="shared" si="1"/>
        <v>Abrir anúncio ↗</v>
      </c>
      <c r="E1579" s="12" t="s">
        <v>9305</v>
      </c>
      <c r="F1579" s="10" t="s">
        <v>29</v>
      </c>
      <c r="G1579" s="12" t="s">
        <v>5013</v>
      </c>
      <c r="H1579" s="12" t="s">
        <v>5015</v>
      </c>
      <c r="I1579" s="10"/>
      <c r="J1579" s="10"/>
      <c r="K1579" s="12"/>
    </row>
    <row r="1580" ht="15.75" customHeight="1">
      <c r="A1580" s="3" t="s">
        <v>12</v>
      </c>
      <c r="B1580" s="3" t="s">
        <v>359</v>
      </c>
      <c r="C1580" s="3" t="s">
        <v>9306</v>
      </c>
      <c r="D1580" s="8" t="str">
        <f t="shared" si="1"/>
        <v>Abrir anúncio ↗</v>
      </c>
      <c r="E1580" s="9" t="s">
        <v>9307</v>
      </c>
      <c r="F1580" s="3" t="s">
        <v>29</v>
      </c>
      <c r="G1580" s="9" t="s">
        <v>4918</v>
      </c>
      <c r="H1580" s="9" t="s">
        <v>4919</v>
      </c>
      <c r="I1580" s="3"/>
      <c r="J1580" s="3"/>
      <c r="K1580" s="9"/>
    </row>
    <row r="1581" ht="15.75" customHeight="1">
      <c r="A1581" s="10" t="s">
        <v>12</v>
      </c>
      <c r="B1581" s="10" t="s">
        <v>359</v>
      </c>
      <c r="C1581" s="10" t="s">
        <v>9308</v>
      </c>
      <c r="D1581" s="11" t="str">
        <f t="shared" si="1"/>
        <v>Abrir anúncio ↗</v>
      </c>
      <c r="E1581" s="12" t="s">
        <v>9309</v>
      </c>
      <c r="F1581" s="10" t="s">
        <v>29</v>
      </c>
      <c r="G1581" s="12" t="s">
        <v>4918</v>
      </c>
      <c r="H1581" s="12" t="s">
        <v>4919</v>
      </c>
      <c r="I1581" s="10"/>
      <c r="J1581" s="10"/>
      <c r="K1581" s="12"/>
    </row>
    <row r="1582" ht="15.75" customHeight="1">
      <c r="A1582" s="3" t="s">
        <v>12</v>
      </c>
      <c r="B1582" s="3" t="s">
        <v>359</v>
      </c>
      <c r="C1582" s="3" t="s">
        <v>9310</v>
      </c>
      <c r="D1582" s="8" t="str">
        <f t="shared" si="1"/>
        <v>Abrir anúncio ↗</v>
      </c>
      <c r="E1582" s="9" t="s">
        <v>9311</v>
      </c>
      <c r="F1582" s="3" t="s">
        <v>29</v>
      </c>
      <c r="G1582" s="9" t="s">
        <v>4918</v>
      </c>
      <c r="H1582" s="9" t="s">
        <v>4919</v>
      </c>
      <c r="I1582" s="3"/>
      <c r="J1582" s="3"/>
      <c r="K1582" s="9"/>
    </row>
    <row r="1583" ht="15.75" customHeight="1">
      <c r="A1583" s="10" t="s">
        <v>12</v>
      </c>
      <c r="B1583" s="10" t="s">
        <v>359</v>
      </c>
      <c r="C1583" s="10" t="s">
        <v>9312</v>
      </c>
      <c r="D1583" s="11" t="str">
        <f t="shared" si="1"/>
        <v>Abrir anúncio ↗</v>
      </c>
      <c r="E1583" s="12" t="s">
        <v>9313</v>
      </c>
      <c r="F1583" s="10" t="s">
        <v>29</v>
      </c>
      <c r="G1583" s="12" t="s">
        <v>5013</v>
      </c>
      <c r="H1583" s="12" t="s">
        <v>5015</v>
      </c>
      <c r="I1583" s="10"/>
      <c r="J1583" s="10"/>
      <c r="K1583" s="12"/>
    </row>
    <row r="1584" ht="15.75" customHeight="1">
      <c r="A1584" s="3" t="s">
        <v>12</v>
      </c>
      <c r="B1584" s="3" t="s">
        <v>359</v>
      </c>
      <c r="C1584" s="3" t="s">
        <v>9314</v>
      </c>
      <c r="D1584" s="8" t="str">
        <f t="shared" si="1"/>
        <v>Abrir anúncio ↗</v>
      </c>
      <c r="E1584" s="9" t="s">
        <v>9315</v>
      </c>
      <c r="F1584" s="3" t="s">
        <v>29</v>
      </c>
      <c r="G1584" s="9" t="s">
        <v>4918</v>
      </c>
      <c r="H1584" s="9" t="s">
        <v>4919</v>
      </c>
      <c r="I1584" s="3"/>
      <c r="J1584" s="3"/>
      <c r="K1584" s="9"/>
    </row>
    <row r="1585" ht="15.75" customHeight="1">
      <c r="A1585" s="10" t="s">
        <v>12</v>
      </c>
      <c r="B1585" s="10" t="s">
        <v>359</v>
      </c>
      <c r="C1585" s="10" t="s">
        <v>7509</v>
      </c>
      <c r="D1585" s="11" t="str">
        <f t="shared" si="1"/>
        <v>Abrir anúncio ↗</v>
      </c>
      <c r="E1585" s="12" t="s">
        <v>7507</v>
      </c>
      <c r="F1585" s="10" t="s">
        <v>29</v>
      </c>
      <c r="G1585" s="12" t="s">
        <v>4918</v>
      </c>
      <c r="H1585" s="12" t="s">
        <v>4919</v>
      </c>
      <c r="I1585" s="10"/>
      <c r="J1585" s="10"/>
      <c r="K1585" s="12"/>
    </row>
    <row r="1586" ht="15.75" customHeight="1">
      <c r="A1586" s="3" t="s">
        <v>12</v>
      </c>
      <c r="B1586" s="3" t="s">
        <v>359</v>
      </c>
      <c r="C1586" s="3" t="s">
        <v>9316</v>
      </c>
      <c r="D1586" s="8" t="str">
        <f t="shared" si="1"/>
        <v>Abrir anúncio ↗</v>
      </c>
      <c r="E1586" s="9" t="s">
        <v>9317</v>
      </c>
      <c r="F1586" s="3" t="s">
        <v>86</v>
      </c>
      <c r="G1586" s="9" t="s">
        <v>5013</v>
      </c>
      <c r="H1586" s="9" t="s">
        <v>5015</v>
      </c>
      <c r="I1586" s="3"/>
      <c r="J1586" s="3"/>
      <c r="K1586" s="9"/>
    </row>
    <row r="1587" ht="15.75" customHeight="1">
      <c r="A1587" s="10" t="s">
        <v>12</v>
      </c>
      <c r="B1587" s="10" t="s">
        <v>359</v>
      </c>
      <c r="C1587" s="10" t="s">
        <v>8121</v>
      </c>
      <c r="D1587" s="11" t="str">
        <f t="shared" si="1"/>
        <v>Abrir anúncio ↗</v>
      </c>
      <c r="E1587" s="12" t="s">
        <v>8120</v>
      </c>
      <c r="F1587" s="10" t="s">
        <v>29</v>
      </c>
      <c r="G1587" s="12" t="s">
        <v>4918</v>
      </c>
      <c r="H1587" s="12" t="s">
        <v>4919</v>
      </c>
      <c r="I1587" s="10"/>
      <c r="J1587" s="10"/>
      <c r="K1587" s="12"/>
    </row>
    <row r="1588" ht="15.75" customHeight="1">
      <c r="A1588" s="3" t="s">
        <v>12</v>
      </c>
      <c r="B1588" s="3" t="s">
        <v>359</v>
      </c>
      <c r="C1588" s="3" t="s">
        <v>9318</v>
      </c>
      <c r="D1588" s="8" t="str">
        <f t="shared" si="1"/>
        <v>Abrir anúncio ↗</v>
      </c>
      <c r="E1588" s="9" t="s">
        <v>9319</v>
      </c>
      <c r="F1588" s="3" t="s">
        <v>29</v>
      </c>
      <c r="G1588" s="9" t="s">
        <v>5013</v>
      </c>
      <c r="H1588" s="9" t="s">
        <v>5015</v>
      </c>
      <c r="I1588" s="3"/>
      <c r="J1588" s="3"/>
      <c r="K1588" s="9"/>
    </row>
    <row r="1589" ht="15.75" customHeight="1">
      <c r="A1589" s="10" t="s">
        <v>12</v>
      </c>
      <c r="B1589" s="10" t="s">
        <v>359</v>
      </c>
      <c r="C1589" s="10" t="s">
        <v>9320</v>
      </c>
      <c r="D1589" s="11" t="str">
        <f t="shared" si="1"/>
        <v>Abrir anúncio ↗</v>
      </c>
      <c r="E1589" s="12" t="s">
        <v>9321</v>
      </c>
      <c r="F1589" s="10" t="s">
        <v>29</v>
      </c>
      <c r="G1589" s="12" t="s">
        <v>4918</v>
      </c>
      <c r="H1589" s="12" t="s">
        <v>4919</v>
      </c>
      <c r="I1589" s="10"/>
      <c r="J1589" s="10"/>
      <c r="K1589" s="12"/>
    </row>
    <row r="1590" ht="15.75" customHeight="1">
      <c r="A1590" s="3" t="s">
        <v>12</v>
      </c>
      <c r="B1590" s="3" t="s">
        <v>359</v>
      </c>
      <c r="C1590" s="3" t="s">
        <v>7199</v>
      </c>
      <c r="D1590" s="8" t="str">
        <f t="shared" si="1"/>
        <v>Abrir anúncio ↗</v>
      </c>
      <c r="E1590" s="9" t="s">
        <v>7194</v>
      </c>
      <c r="F1590" s="3" t="s">
        <v>29</v>
      </c>
      <c r="G1590" s="9" t="s">
        <v>4918</v>
      </c>
      <c r="H1590" s="9" t="s">
        <v>4919</v>
      </c>
      <c r="I1590" s="3"/>
      <c r="J1590" s="3"/>
      <c r="K1590" s="9"/>
    </row>
    <row r="1591" ht="15.75" customHeight="1">
      <c r="A1591" s="10" t="s">
        <v>12</v>
      </c>
      <c r="B1591" s="10" t="s">
        <v>359</v>
      </c>
      <c r="C1591" s="10" t="s">
        <v>9322</v>
      </c>
      <c r="D1591" s="11" t="str">
        <f t="shared" si="1"/>
        <v>Abrir anúncio ↗</v>
      </c>
      <c r="E1591" s="12" t="s">
        <v>9323</v>
      </c>
      <c r="F1591" s="10" t="s">
        <v>29</v>
      </c>
      <c r="G1591" s="12" t="s">
        <v>4918</v>
      </c>
      <c r="H1591" s="12" t="s">
        <v>4919</v>
      </c>
      <c r="I1591" s="10"/>
      <c r="J1591" s="10"/>
      <c r="K1591" s="12"/>
    </row>
    <row r="1592" ht="15.75" customHeight="1">
      <c r="A1592" s="3" t="s">
        <v>12</v>
      </c>
      <c r="B1592" s="3" t="s">
        <v>359</v>
      </c>
      <c r="C1592" s="3" t="s">
        <v>9324</v>
      </c>
      <c r="D1592" s="8" t="str">
        <f t="shared" si="1"/>
        <v>Abrir anúncio ↗</v>
      </c>
      <c r="E1592" s="9" t="s">
        <v>9325</v>
      </c>
      <c r="F1592" s="3" t="s">
        <v>29</v>
      </c>
      <c r="G1592" s="9" t="s">
        <v>5013</v>
      </c>
      <c r="H1592" s="9" t="s">
        <v>5015</v>
      </c>
      <c r="I1592" s="3"/>
      <c r="J1592" s="3"/>
      <c r="K1592" s="9"/>
    </row>
    <row r="1593" ht="15.75" customHeight="1">
      <c r="A1593" s="10" t="s">
        <v>12</v>
      </c>
      <c r="B1593" s="10" t="s">
        <v>359</v>
      </c>
      <c r="C1593" s="10" t="s">
        <v>9326</v>
      </c>
      <c r="D1593" s="11" t="str">
        <f t="shared" si="1"/>
        <v>Abrir anúncio ↗</v>
      </c>
      <c r="E1593" s="12" t="s">
        <v>9327</v>
      </c>
      <c r="F1593" s="10" t="s">
        <v>29</v>
      </c>
      <c r="G1593" s="12" t="s">
        <v>4918</v>
      </c>
      <c r="H1593" s="12" t="s">
        <v>4919</v>
      </c>
      <c r="I1593" s="10"/>
      <c r="J1593" s="10"/>
      <c r="K1593" s="12"/>
    </row>
    <row r="1594" ht="15.75" customHeight="1">
      <c r="A1594" s="3" t="s">
        <v>12</v>
      </c>
      <c r="B1594" s="3" t="s">
        <v>359</v>
      </c>
      <c r="C1594" s="3" t="s">
        <v>9328</v>
      </c>
      <c r="D1594" s="8" t="str">
        <f t="shared" si="1"/>
        <v>Abrir anúncio ↗</v>
      </c>
      <c r="E1594" s="9" t="s">
        <v>9329</v>
      </c>
      <c r="F1594" s="3" t="s">
        <v>29</v>
      </c>
      <c r="G1594" s="9" t="s">
        <v>5013</v>
      </c>
      <c r="H1594" s="9" t="s">
        <v>5015</v>
      </c>
      <c r="I1594" s="3"/>
      <c r="J1594" s="3"/>
      <c r="K1594" s="9"/>
    </row>
    <row r="1595" ht="15.75" customHeight="1">
      <c r="A1595" s="10" t="s">
        <v>12</v>
      </c>
      <c r="B1595" s="10" t="s">
        <v>359</v>
      </c>
      <c r="C1595" s="10" t="s">
        <v>9330</v>
      </c>
      <c r="D1595" s="11" t="str">
        <f t="shared" si="1"/>
        <v>Abrir anúncio ↗</v>
      </c>
      <c r="E1595" s="12" t="s">
        <v>9331</v>
      </c>
      <c r="F1595" s="10" t="s">
        <v>29</v>
      </c>
      <c r="G1595" s="12" t="s">
        <v>4918</v>
      </c>
      <c r="H1595" s="12" t="s">
        <v>4919</v>
      </c>
      <c r="I1595" s="10"/>
      <c r="J1595" s="10"/>
      <c r="K1595" s="12"/>
    </row>
    <row r="1596" ht="15.75" customHeight="1">
      <c r="A1596" s="3" t="s">
        <v>12</v>
      </c>
      <c r="B1596" s="3" t="s">
        <v>359</v>
      </c>
      <c r="C1596" s="3" t="s">
        <v>9332</v>
      </c>
      <c r="D1596" s="8" t="str">
        <f t="shared" si="1"/>
        <v>Abrir anúncio ↗</v>
      </c>
      <c r="E1596" s="9" t="s">
        <v>9333</v>
      </c>
      <c r="F1596" s="3" t="s">
        <v>29</v>
      </c>
      <c r="G1596" s="9" t="s">
        <v>4918</v>
      </c>
      <c r="H1596" s="9" t="s">
        <v>4919</v>
      </c>
      <c r="I1596" s="3"/>
      <c r="J1596" s="3"/>
      <c r="K1596" s="9"/>
    </row>
    <row r="1597" ht="15.75" customHeight="1">
      <c r="A1597" s="10" t="s">
        <v>12</v>
      </c>
      <c r="B1597" s="10" t="s">
        <v>359</v>
      </c>
      <c r="C1597" s="10" t="s">
        <v>9334</v>
      </c>
      <c r="D1597" s="11" t="str">
        <f t="shared" si="1"/>
        <v>Abrir anúncio ↗</v>
      </c>
      <c r="E1597" s="12" t="s">
        <v>9335</v>
      </c>
      <c r="F1597" s="10" t="s">
        <v>86</v>
      </c>
      <c r="G1597" s="12" t="s">
        <v>5013</v>
      </c>
      <c r="H1597" s="12" t="s">
        <v>5015</v>
      </c>
      <c r="I1597" s="10"/>
      <c r="J1597" s="10"/>
      <c r="K1597" s="12"/>
    </row>
    <row r="1598" ht="15.75" customHeight="1">
      <c r="A1598" s="3" t="s">
        <v>12</v>
      </c>
      <c r="B1598" s="3" t="s">
        <v>359</v>
      </c>
      <c r="C1598" s="3" t="s">
        <v>9336</v>
      </c>
      <c r="D1598" s="8" t="str">
        <f t="shared" si="1"/>
        <v>Abrir anúncio ↗</v>
      </c>
      <c r="E1598" s="9" t="s">
        <v>9337</v>
      </c>
      <c r="F1598" s="3" t="s">
        <v>86</v>
      </c>
      <c r="G1598" s="9" t="s">
        <v>5013</v>
      </c>
      <c r="H1598" s="9" t="s">
        <v>5015</v>
      </c>
      <c r="I1598" s="3"/>
      <c r="J1598" s="3"/>
      <c r="K1598" s="9"/>
    </row>
    <row r="1599" ht="15.75" customHeight="1">
      <c r="A1599" s="10" t="s">
        <v>12</v>
      </c>
      <c r="B1599" s="10" t="s">
        <v>359</v>
      </c>
      <c r="C1599" s="10" t="s">
        <v>9338</v>
      </c>
      <c r="D1599" s="11" t="str">
        <f t="shared" si="1"/>
        <v>Abrir anúncio ↗</v>
      </c>
      <c r="E1599" s="12" t="s">
        <v>9339</v>
      </c>
      <c r="F1599" s="10" t="s">
        <v>86</v>
      </c>
      <c r="G1599" s="12" t="s">
        <v>5013</v>
      </c>
      <c r="H1599" s="12" t="s">
        <v>5015</v>
      </c>
      <c r="I1599" s="10"/>
      <c r="J1599" s="10"/>
      <c r="K1599" s="12"/>
    </row>
    <row r="1600" ht="15.75" customHeight="1">
      <c r="A1600" s="3" t="s">
        <v>12</v>
      </c>
      <c r="B1600" s="3" t="s">
        <v>359</v>
      </c>
      <c r="C1600" s="3" t="s">
        <v>9340</v>
      </c>
      <c r="D1600" s="8" t="str">
        <f t="shared" si="1"/>
        <v>Abrir anúncio ↗</v>
      </c>
      <c r="E1600" s="9" t="s">
        <v>9341</v>
      </c>
      <c r="F1600" s="3" t="s">
        <v>29</v>
      </c>
      <c r="G1600" s="9" t="s">
        <v>4918</v>
      </c>
      <c r="H1600" s="9" t="s">
        <v>4919</v>
      </c>
      <c r="I1600" s="3"/>
      <c r="J1600" s="3"/>
      <c r="K1600" s="9"/>
    </row>
    <row r="1601" ht="15.75" customHeight="1">
      <c r="A1601" s="10" t="s">
        <v>12</v>
      </c>
      <c r="B1601" s="10" t="s">
        <v>359</v>
      </c>
      <c r="C1601" s="10" t="s">
        <v>9342</v>
      </c>
      <c r="D1601" s="11" t="str">
        <f t="shared" si="1"/>
        <v>Abrir anúncio ↗</v>
      </c>
      <c r="E1601" s="12" t="s">
        <v>9343</v>
      </c>
      <c r="F1601" s="10" t="s">
        <v>29</v>
      </c>
      <c r="G1601" s="12" t="s">
        <v>5013</v>
      </c>
      <c r="H1601" s="12" t="s">
        <v>5015</v>
      </c>
      <c r="I1601" s="10"/>
      <c r="J1601" s="10"/>
      <c r="K1601" s="12"/>
    </row>
    <row r="1602" ht="15.75" customHeight="1">
      <c r="A1602" s="3" t="s">
        <v>12</v>
      </c>
      <c r="B1602" s="3" t="s">
        <v>359</v>
      </c>
      <c r="C1602" s="3" t="s">
        <v>9344</v>
      </c>
      <c r="D1602" s="8" t="str">
        <f t="shared" si="1"/>
        <v>Abrir anúncio ↗</v>
      </c>
      <c r="E1602" s="9" t="s">
        <v>9345</v>
      </c>
      <c r="F1602" s="3" t="s">
        <v>29</v>
      </c>
      <c r="G1602" s="9" t="s">
        <v>5013</v>
      </c>
      <c r="H1602" s="9" t="s">
        <v>5015</v>
      </c>
      <c r="I1602" s="3"/>
      <c r="J1602" s="3"/>
      <c r="K1602" s="9"/>
    </row>
    <row r="1603" ht="15.75" customHeight="1">
      <c r="A1603" s="10" t="s">
        <v>12</v>
      </c>
      <c r="B1603" s="10" t="s">
        <v>359</v>
      </c>
      <c r="C1603" s="10" t="s">
        <v>9346</v>
      </c>
      <c r="D1603" s="11" t="str">
        <f t="shared" si="1"/>
        <v>Abrir anúncio ↗</v>
      </c>
      <c r="E1603" s="12" t="s">
        <v>9347</v>
      </c>
      <c r="F1603" s="10" t="s">
        <v>29</v>
      </c>
      <c r="G1603" s="12" t="s">
        <v>5013</v>
      </c>
      <c r="H1603" s="12" t="s">
        <v>5015</v>
      </c>
      <c r="I1603" s="10"/>
      <c r="J1603" s="10"/>
      <c r="K1603" s="12"/>
    </row>
    <row r="1604" ht="15.75" customHeight="1">
      <c r="A1604" s="3" t="s">
        <v>12</v>
      </c>
      <c r="B1604" s="3" t="s">
        <v>359</v>
      </c>
      <c r="C1604" s="3" t="s">
        <v>9348</v>
      </c>
      <c r="D1604" s="8" t="str">
        <f t="shared" si="1"/>
        <v>Abrir anúncio ↗</v>
      </c>
      <c r="E1604" s="9" t="s">
        <v>9349</v>
      </c>
      <c r="F1604" s="3" t="s">
        <v>29</v>
      </c>
      <c r="G1604" s="9" t="s">
        <v>5013</v>
      </c>
      <c r="H1604" s="9" t="s">
        <v>5015</v>
      </c>
      <c r="I1604" s="3"/>
      <c r="J1604" s="3"/>
      <c r="K1604" s="9"/>
    </row>
    <row r="1605" ht="15.75" customHeight="1">
      <c r="A1605" s="10" t="s">
        <v>12</v>
      </c>
      <c r="B1605" s="10" t="s">
        <v>359</v>
      </c>
      <c r="C1605" s="10" t="s">
        <v>9350</v>
      </c>
      <c r="D1605" s="11" t="str">
        <f t="shared" si="1"/>
        <v>Abrir anúncio ↗</v>
      </c>
      <c r="E1605" s="12" t="s">
        <v>9351</v>
      </c>
      <c r="F1605" s="10" t="s">
        <v>29</v>
      </c>
      <c r="G1605" s="12" t="s">
        <v>5013</v>
      </c>
      <c r="H1605" s="12" t="s">
        <v>5015</v>
      </c>
      <c r="I1605" s="10"/>
      <c r="J1605" s="10"/>
      <c r="K1605" s="12"/>
    </row>
    <row r="1606" ht="15.75" customHeight="1">
      <c r="A1606" s="3" t="s">
        <v>12</v>
      </c>
      <c r="B1606" s="3" t="s">
        <v>359</v>
      </c>
      <c r="C1606" s="3" t="s">
        <v>9352</v>
      </c>
      <c r="D1606" s="8" t="str">
        <f t="shared" si="1"/>
        <v>Abrir anúncio ↗</v>
      </c>
      <c r="E1606" s="9" t="s">
        <v>9353</v>
      </c>
      <c r="F1606" s="3" t="s">
        <v>29</v>
      </c>
      <c r="G1606" s="9" t="s">
        <v>5013</v>
      </c>
      <c r="H1606" s="9" t="s">
        <v>5015</v>
      </c>
      <c r="I1606" s="3"/>
      <c r="J1606" s="3"/>
      <c r="K1606" s="9"/>
    </row>
    <row r="1607" ht="15.75" customHeight="1">
      <c r="A1607" s="10" t="s">
        <v>12</v>
      </c>
      <c r="B1607" s="10" t="s">
        <v>359</v>
      </c>
      <c r="C1607" s="10" t="s">
        <v>9354</v>
      </c>
      <c r="D1607" s="11" t="str">
        <f t="shared" si="1"/>
        <v>Abrir anúncio ↗</v>
      </c>
      <c r="E1607" s="12" t="s">
        <v>9355</v>
      </c>
      <c r="F1607" s="10" t="s">
        <v>29</v>
      </c>
      <c r="G1607" s="12" t="s">
        <v>5013</v>
      </c>
      <c r="H1607" s="12" t="s">
        <v>5015</v>
      </c>
      <c r="I1607" s="10"/>
      <c r="J1607" s="10"/>
      <c r="K1607" s="12"/>
    </row>
    <row r="1608" ht="15.75" customHeight="1">
      <c r="A1608" s="3" t="s">
        <v>12</v>
      </c>
      <c r="B1608" s="3" t="s">
        <v>359</v>
      </c>
      <c r="C1608" s="3" t="s">
        <v>9356</v>
      </c>
      <c r="D1608" s="8" t="str">
        <f t="shared" si="1"/>
        <v>Abrir anúncio ↗</v>
      </c>
      <c r="E1608" s="9" t="s">
        <v>9357</v>
      </c>
      <c r="F1608" s="3" t="s">
        <v>29</v>
      </c>
      <c r="G1608" s="9" t="s">
        <v>4918</v>
      </c>
      <c r="H1608" s="9" t="s">
        <v>4919</v>
      </c>
      <c r="I1608" s="3"/>
      <c r="J1608" s="3"/>
      <c r="K1608" s="9"/>
    </row>
    <row r="1609" ht="15.75" customHeight="1">
      <c r="A1609" s="10" t="s">
        <v>12</v>
      </c>
      <c r="B1609" s="10" t="s">
        <v>359</v>
      </c>
      <c r="C1609" s="10" t="s">
        <v>9358</v>
      </c>
      <c r="D1609" s="11" t="str">
        <f t="shared" si="1"/>
        <v>Abrir anúncio ↗</v>
      </c>
      <c r="E1609" s="12" t="s">
        <v>9359</v>
      </c>
      <c r="F1609" s="10" t="s">
        <v>86</v>
      </c>
      <c r="G1609" s="12" t="s">
        <v>5013</v>
      </c>
      <c r="H1609" s="12" t="s">
        <v>5015</v>
      </c>
      <c r="I1609" s="10"/>
      <c r="J1609" s="10"/>
      <c r="K1609" s="12"/>
    </row>
    <row r="1610" ht="15.75" customHeight="1">
      <c r="A1610" s="3" t="s">
        <v>12</v>
      </c>
      <c r="B1610" s="3" t="s">
        <v>359</v>
      </c>
      <c r="C1610" s="3" t="s">
        <v>9360</v>
      </c>
      <c r="D1610" s="8" t="str">
        <f t="shared" si="1"/>
        <v>Abrir anúncio ↗</v>
      </c>
      <c r="E1610" s="9" t="s">
        <v>9361</v>
      </c>
      <c r="F1610" s="3" t="s">
        <v>29</v>
      </c>
      <c r="G1610" s="9" t="s">
        <v>5013</v>
      </c>
      <c r="H1610" s="9" t="s">
        <v>5015</v>
      </c>
      <c r="I1610" s="3"/>
      <c r="J1610" s="3"/>
      <c r="K1610" s="9"/>
    </row>
    <row r="1611" ht="15.75" customHeight="1">
      <c r="A1611" s="10" t="s">
        <v>12</v>
      </c>
      <c r="B1611" s="10" t="s">
        <v>359</v>
      </c>
      <c r="C1611" s="10" t="s">
        <v>9362</v>
      </c>
      <c r="D1611" s="11" t="str">
        <f t="shared" si="1"/>
        <v>Abrir anúncio ↗</v>
      </c>
      <c r="E1611" s="12" t="s">
        <v>9363</v>
      </c>
      <c r="F1611" s="10" t="s">
        <v>29</v>
      </c>
      <c r="G1611" s="12" t="s">
        <v>4918</v>
      </c>
      <c r="H1611" s="12" t="s">
        <v>4919</v>
      </c>
      <c r="I1611" s="10"/>
      <c r="J1611" s="10"/>
      <c r="K1611" s="12"/>
    </row>
    <row r="1612" ht="15.75" customHeight="1">
      <c r="A1612" s="3" t="s">
        <v>12</v>
      </c>
      <c r="B1612" s="3" t="s">
        <v>359</v>
      </c>
      <c r="C1612" s="3" t="s">
        <v>9364</v>
      </c>
      <c r="D1612" s="8" t="str">
        <f t="shared" si="1"/>
        <v>Abrir anúncio ↗</v>
      </c>
      <c r="E1612" s="9" t="s">
        <v>9365</v>
      </c>
      <c r="F1612" s="3" t="s">
        <v>29</v>
      </c>
      <c r="G1612" s="9" t="s">
        <v>5013</v>
      </c>
      <c r="H1612" s="9" t="s">
        <v>5015</v>
      </c>
      <c r="I1612" s="3"/>
      <c r="J1612" s="3"/>
      <c r="K1612" s="9"/>
    </row>
    <row r="1613" ht="15.75" customHeight="1">
      <c r="A1613" s="10" t="s">
        <v>12</v>
      </c>
      <c r="B1613" s="10" t="s">
        <v>359</v>
      </c>
      <c r="C1613" s="10" t="s">
        <v>9366</v>
      </c>
      <c r="D1613" s="11" t="str">
        <f t="shared" si="1"/>
        <v>Abrir anúncio ↗</v>
      </c>
      <c r="E1613" s="12" t="s">
        <v>9367</v>
      </c>
      <c r="F1613" s="10" t="s">
        <v>29</v>
      </c>
      <c r="G1613" s="12" t="s">
        <v>5013</v>
      </c>
      <c r="H1613" s="12" t="s">
        <v>5015</v>
      </c>
      <c r="I1613" s="10"/>
      <c r="J1613" s="10"/>
      <c r="K1613" s="12"/>
    </row>
    <row r="1614" ht="15.75" customHeight="1">
      <c r="A1614" s="3" t="s">
        <v>12</v>
      </c>
      <c r="B1614" s="3" t="s">
        <v>359</v>
      </c>
      <c r="C1614" s="3" t="s">
        <v>9368</v>
      </c>
      <c r="D1614" s="8" t="str">
        <f t="shared" si="1"/>
        <v>Abrir anúncio ↗</v>
      </c>
      <c r="E1614" s="9" t="s">
        <v>9369</v>
      </c>
      <c r="F1614" s="3" t="s">
        <v>29</v>
      </c>
      <c r="G1614" s="9" t="s">
        <v>4918</v>
      </c>
      <c r="H1614" s="9" t="s">
        <v>4919</v>
      </c>
      <c r="I1614" s="3"/>
      <c r="J1614" s="3"/>
      <c r="K1614" s="9"/>
    </row>
    <row r="1615" ht="15.75" customHeight="1">
      <c r="A1615" s="10" t="s">
        <v>12</v>
      </c>
      <c r="B1615" s="10" t="s">
        <v>359</v>
      </c>
      <c r="C1615" s="10" t="s">
        <v>9370</v>
      </c>
      <c r="D1615" s="11" t="str">
        <f t="shared" si="1"/>
        <v>Abrir anúncio ↗</v>
      </c>
      <c r="E1615" s="12" t="s">
        <v>9371</v>
      </c>
      <c r="F1615" s="10" t="s">
        <v>29</v>
      </c>
      <c r="G1615" s="12" t="s">
        <v>9372</v>
      </c>
      <c r="H1615" s="12" t="s">
        <v>9373</v>
      </c>
      <c r="I1615" s="10"/>
      <c r="J1615" s="10"/>
      <c r="K1615" s="12"/>
    </row>
    <row r="1616" ht="15.75" customHeight="1">
      <c r="A1616" s="3" t="s">
        <v>12</v>
      </c>
      <c r="B1616" s="3" t="s">
        <v>359</v>
      </c>
      <c r="C1616" s="3" t="s">
        <v>9374</v>
      </c>
      <c r="D1616" s="8" t="str">
        <f t="shared" si="1"/>
        <v>Abrir anúncio ↗</v>
      </c>
      <c r="E1616" s="9" t="s">
        <v>9375</v>
      </c>
      <c r="F1616" s="3" t="s">
        <v>29</v>
      </c>
      <c r="G1616" s="9" t="s">
        <v>5013</v>
      </c>
      <c r="H1616" s="9" t="s">
        <v>5015</v>
      </c>
      <c r="I1616" s="3"/>
      <c r="J1616" s="3"/>
      <c r="K1616" s="9"/>
    </row>
    <row r="1617" ht="15.75" customHeight="1">
      <c r="A1617" s="10" t="s">
        <v>12</v>
      </c>
      <c r="B1617" s="10" t="s">
        <v>359</v>
      </c>
      <c r="C1617" s="10" t="s">
        <v>9376</v>
      </c>
      <c r="D1617" s="11" t="str">
        <f t="shared" si="1"/>
        <v>Abrir anúncio ↗</v>
      </c>
      <c r="E1617" s="12" t="s">
        <v>9377</v>
      </c>
      <c r="F1617" s="10" t="s">
        <v>29</v>
      </c>
      <c r="G1617" s="12" t="s">
        <v>4918</v>
      </c>
      <c r="H1617" s="12" t="s">
        <v>4919</v>
      </c>
      <c r="I1617" s="10"/>
      <c r="J1617" s="10"/>
      <c r="K1617" s="12"/>
    </row>
    <row r="1618" ht="15.75" customHeight="1">
      <c r="A1618" s="3" t="s">
        <v>12</v>
      </c>
      <c r="B1618" s="3" t="s">
        <v>359</v>
      </c>
      <c r="C1618" s="3" t="s">
        <v>9378</v>
      </c>
      <c r="D1618" s="8" t="str">
        <f t="shared" si="1"/>
        <v>Abrir anúncio ↗</v>
      </c>
      <c r="E1618" s="9" t="s">
        <v>9379</v>
      </c>
      <c r="F1618" s="3" t="s">
        <v>29</v>
      </c>
      <c r="G1618" s="9" t="s">
        <v>4918</v>
      </c>
      <c r="H1618" s="9" t="s">
        <v>4919</v>
      </c>
      <c r="I1618" s="3"/>
      <c r="J1618" s="3"/>
      <c r="K1618" s="9"/>
    </row>
    <row r="1619" ht="15.75" customHeight="1">
      <c r="A1619" s="10" t="s">
        <v>12</v>
      </c>
      <c r="B1619" s="10" t="s">
        <v>359</v>
      </c>
      <c r="C1619" s="10" t="s">
        <v>9380</v>
      </c>
      <c r="D1619" s="11" t="str">
        <f t="shared" si="1"/>
        <v>Abrir anúncio ↗</v>
      </c>
      <c r="E1619" s="12" t="s">
        <v>9381</v>
      </c>
      <c r="F1619" s="10" t="s">
        <v>29</v>
      </c>
      <c r="G1619" s="12" t="s">
        <v>5013</v>
      </c>
      <c r="H1619" s="12" t="s">
        <v>5015</v>
      </c>
      <c r="I1619" s="10"/>
      <c r="J1619" s="10"/>
      <c r="K1619" s="12"/>
    </row>
    <row r="1620" ht="15.75" customHeight="1">
      <c r="A1620" s="3" t="s">
        <v>12</v>
      </c>
      <c r="B1620" s="3" t="s">
        <v>359</v>
      </c>
      <c r="C1620" s="3" t="s">
        <v>9382</v>
      </c>
      <c r="D1620" s="8" t="str">
        <f t="shared" si="1"/>
        <v>Abrir anúncio ↗</v>
      </c>
      <c r="E1620" s="9" t="s">
        <v>9383</v>
      </c>
      <c r="F1620" s="3" t="s">
        <v>29</v>
      </c>
      <c r="G1620" s="9" t="s">
        <v>4918</v>
      </c>
      <c r="H1620" s="9" t="s">
        <v>4919</v>
      </c>
      <c r="I1620" s="3"/>
      <c r="J1620" s="3"/>
      <c r="K1620" s="9"/>
    </row>
    <row r="1621" ht="15.75" customHeight="1">
      <c r="A1621" s="10" t="s">
        <v>12</v>
      </c>
      <c r="B1621" s="10" t="s">
        <v>359</v>
      </c>
      <c r="C1621" s="10" t="s">
        <v>9384</v>
      </c>
      <c r="D1621" s="11" t="str">
        <f t="shared" si="1"/>
        <v>Abrir anúncio ↗</v>
      </c>
      <c r="E1621" s="12" t="s">
        <v>9385</v>
      </c>
      <c r="F1621" s="10" t="s">
        <v>86</v>
      </c>
      <c r="G1621" s="12" t="s">
        <v>5013</v>
      </c>
      <c r="H1621" s="12" t="s">
        <v>5015</v>
      </c>
      <c r="I1621" s="10"/>
      <c r="J1621" s="10"/>
      <c r="K1621" s="12"/>
    </row>
    <row r="1622" ht="15.75" customHeight="1">
      <c r="A1622" s="3" t="s">
        <v>12</v>
      </c>
      <c r="B1622" s="3" t="s">
        <v>359</v>
      </c>
      <c r="C1622" s="3" t="s">
        <v>9386</v>
      </c>
      <c r="D1622" s="8" t="str">
        <f t="shared" si="1"/>
        <v>Abrir anúncio ↗</v>
      </c>
      <c r="E1622" s="9" t="s">
        <v>9387</v>
      </c>
      <c r="F1622" s="3" t="s">
        <v>86</v>
      </c>
      <c r="G1622" s="9" t="s">
        <v>5013</v>
      </c>
      <c r="H1622" s="9" t="s">
        <v>5015</v>
      </c>
      <c r="I1622" s="3"/>
      <c r="J1622" s="3"/>
      <c r="K1622" s="9"/>
    </row>
    <row r="1623" ht="15.75" customHeight="1">
      <c r="A1623" s="10" t="s">
        <v>12</v>
      </c>
      <c r="B1623" s="10" t="s">
        <v>359</v>
      </c>
      <c r="C1623" s="10" t="s">
        <v>9388</v>
      </c>
      <c r="D1623" s="11" t="str">
        <f t="shared" si="1"/>
        <v>Abrir anúncio ↗</v>
      </c>
      <c r="E1623" s="12" t="s">
        <v>9389</v>
      </c>
      <c r="F1623" s="10" t="s">
        <v>86</v>
      </c>
      <c r="G1623" s="12" t="s">
        <v>5013</v>
      </c>
      <c r="H1623" s="12" t="s">
        <v>5015</v>
      </c>
      <c r="I1623" s="10"/>
      <c r="J1623" s="10"/>
      <c r="K1623" s="12"/>
    </row>
    <row r="1624" ht="15.75" customHeight="1">
      <c r="A1624" s="3" t="s">
        <v>12</v>
      </c>
      <c r="B1624" s="3" t="s">
        <v>359</v>
      </c>
      <c r="C1624" s="3" t="s">
        <v>9390</v>
      </c>
      <c r="D1624" s="8" t="str">
        <f t="shared" si="1"/>
        <v>Abrir anúncio ↗</v>
      </c>
      <c r="E1624" s="9" t="s">
        <v>9391</v>
      </c>
      <c r="F1624" s="3" t="s">
        <v>29</v>
      </c>
      <c r="G1624" s="9" t="s">
        <v>5013</v>
      </c>
      <c r="H1624" s="9" t="s">
        <v>5015</v>
      </c>
      <c r="I1624" s="3"/>
      <c r="J1624" s="3"/>
      <c r="K1624" s="9"/>
    </row>
    <row r="1625" ht="15.75" customHeight="1">
      <c r="A1625" s="10" t="s">
        <v>12</v>
      </c>
      <c r="B1625" s="10" t="s">
        <v>359</v>
      </c>
      <c r="C1625" s="10" t="s">
        <v>8128</v>
      </c>
      <c r="D1625" s="11" t="str">
        <f t="shared" si="1"/>
        <v>Abrir anúncio ↗</v>
      </c>
      <c r="E1625" s="12" t="s">
        <v>8127</v>
      </c>
      <c r="F1625" s="10" t="s">
        <v>29</v>
      </c>
      <c r="G1625" s="12" t="s">
        <v>4918</v>
      </c>
      <c r="H1625" s="12" t="s">
        <v>4919</v>
      </c>
      <c r="I1625" s="10"/>
      <c r="J1625" s="10"/>
      <c r="K1625" s="12"/>
    </row>
    <row r="1626" ht="15.75" customHeight="1">
      <c r="A1626" s="3" t="s">
        <v>12</v>
      </c>
      <c r="B1626" s="3" t="s">
        <v>359</v>
      </c>
      <c r="C1626" s="3" t="s">
        <v>9392</v>
      </c>
      <c r="D1626" s="8" t="str">
        <f t="shared" si="1"/>
        <v>Abrir anúncio ↗</v>
      </c>
      <c r="E1626" s="9" t="s">
        <v>9393</v>
      </c>
      <c r="F1626" s="3" t="s">
        <v>29</v>
      </c>
      <c r="G1626" s="9" t="s">
        <v>4918</v>
      </c>
      <c r="H1626" s="9" t="s">
        <v>4919</v>
      </c>
      <c r="I1626" s="3"/>
      <c r="J1626" s="3"/>
      <c r="K1626" s="9"/>
    </row>
    <row r="1627" ht="15.75" customHeight="1">
      <c r="A1627" s="10" t="s">
        <v>12</v>
      </c>
      <c r="B1627" s="10" t="s">
        <v>359</v>
      </c>
      <c r="C1627" s="10" t="s">
        <v>9394</v>
      </c>
      <c r="D1627" s="11" t="str">
        <f t="shared" si="1"/>
        <v>Abrir anúncio ↗</v>
      </c>
      <c r="E1627" s="12" t="s">
        <v>9395</v>
      </c>
      <c r="F1627" s="10" t="s">
        <v>29</v>
      </c>
      <c r="G1627" s="12" t="s">
        <v>4918</v>
      </c>
      <c r="H1627" s="12" t="s">
        <v>4919</v>
      </c>
      <c r="I1627" s="10"/>
      <c r="J1627" s="10"/>
      <c r="K1627" s="12"/>
    </row>
    <row r="1628" ht="15.75" customHeight="1">
      <c r="A1628" s="3" t="s">
        <v>12</v>
      </c>
      <c r="B1628" s="3" t="s">
        <v>359</v>
      </c>
      <c r="C1628" s="3" t="s">
        <v>9396</v>
      </c>
      <c r="D1628" s="8" t="str">
        <f t="shared" si="1"/>
        <v>Abrir anúncio ↗</v>
      </c>
      <c r="E1628" s="9" t="s">
        <v>9397</v>
      </c>
      <c r="F1628" s="3" t="s">
        <v>29</v>
      </c>
      <c r="G1628" s="9" t="s">
        <v>4918</v>
      </c>
      <c r="H1628" s="9" t="s">
        <v>4919</v>
      </c>
      <c r="I1628" s="3"/>
      <c r="J1628" s="3"/>
      <c r="K1628" s="9"/>
    </row>
    <row r="1629" ht="15.75" customHeight="1">
      <c r="A1629" s="10" t="s">
        <v>12</v>
      </c>
      <c r="B1629" s="10" t="s">
        <v>359</v>
      </c>
      <c r="C1629" s="10" t="s">
        <v>9398</v>
      </c>
      <c r="D1629" s="11" t="str">
        <f t="shared" si="1"/>
        <v>Abrir anúncio ↗</v>
      </c>
      <c r="E1629" s="12" t="s">
        <v>9399</v>
      </c>
      <c r="F1629" s="10" t="s">
        <v>29</v>
      </c>
      <c r="G1629" s="12" t="s">
        <v>5013</v>
      </c>
      <c r="H1629" s="12" t="s">
        <v>5015</v>
      </c>
      <c r="I1629" s="10"/>
      <c r="J1629" s="10"/>
      <c r="K1629" s="12"/>
    </row>
    <row r="1630" ht="15.75" customHeight="1">
      <c r="A1630" s="3" t="s">
        <v>12</v>
      </c>
      <c r="B1630" s="3" t="s">
        <v>359</v>
      </c>
      <c r="C1630" s="3" t="s">
        <v>9400</v>
      </c>
      <c r="D1630" s="8" t="str">
        <f t="shared" si="1"/>
        <v>Abrir anúncio ↗</v>
      </c>
      <c r="E1630" s="9" t="s">
        <v>9401</v>
      </c>
      <c r="F1630" s="3" t="s">
        <v>86</v>
      </c>
      <c r="G1630" s="9" t="s">
        <v>5013</v>
      </c>
      <c r="H1630" s="9" t="s">
        <v>5015</v>
      </c>
      <c r="I1630" s="3"/>
      <c r="J1630" s="3"/>
      <c r="K1630" s="9"/>
    </row>
    <row r="1631" ht="15.75" customHeight="1">
      <c r="A1631" s="10" t="s">
        <v>12</v>
      </c>
      <c r="B1631" s="10" t="s">
        <v>359</v>
      </c>
      <c r="C1631" s="10" t="s">
        <v>8134</v>
      </c>
      <c r="D1631" s="11" t="str">
        <f t="shared" si="1"/>
        <v>Abrir anúncio ↗</v>
      </c>
      <c r="E1631" s="12" t="s">
        <v>5589</v>
      </c>
      <c r="F1631" s="10" t="s">
        <v>29</v>
      </c>
      <c r="G1631" s="12" t="s">
        <v>4918</v>
      </c>
      <c r="H1631" s="12" t="s">
        <v>4919</v>
      </c>
      <c r="I1631" s="10"/>
      <c r="J1631" s="10"/>
      <c r="K1631" s="12"/>
    </row>
    <row r="1632" ht="15.75" customHeight="1">
      <c r="A1632" s="3" t="s">
        <v>12</v>
      </c>
      <c r="B1632" s="3" t="s">
        <v>359</v>
      </c>
      <c r="C1632" s="3" t="s">
        <v>9402</v>
      </c>
      <c r="D1632" s="8" t="str">
        <f t="shared" si="1"/>
        <v>Abrir anúncio ↗</v>
      </c>
      <c r="E1632" s="9" t="s">
        <v>9403</v>
      </c>
      <c r="F1632" s="3" t="s">
        <v>29</v>
      </c>
      <c r="G1632" s="9" t="s">
        <v>4918</v>
      </c>
      <c r="H1632" s="9" t="s">
        <v>4919</v>
      </c>
      <c r="I1632" s="3"/>
      <c r="J1632" s="3"/>
      <c r="K1632" s="9"/>
    </row>
    <row r="1633" ht="15.75" customHeight="1">
      <c r="A1633" s="10" t="s">
        <v>12</v>
      </c>
      <c r="B1633" s="10" t="s">
        <v>359</v>
      </c>
      <c r="C1633" s="10" t="s">
        <v>9404</v>
      </c>
      <c r="D1633" s="11" t="str">
        <f t="shared" si="1"/>
        <v>Abrir anúncio ↗</v>
      </c>
      <c r="E1633" s="12" t="s">
        <v>9405</v>
      </c>
      <c r="F1633" s="10" t="s">
        <v>86</v>
      </c>
      <c r="G1633" s="12" t="s">
        <v>5013</v>
      </c>
      <c r="H1633" s="12" t="s">
        <v>5015</v>
      </c>
      <c r="I1633" s="10"/>
      <c r="J1633" s="10"/>
      <c r="K1633" s="12"/>
    </row>
    <row r="1634" ht="15.75" customHeight="1">
      <c r="A1634" s="3" t="s">
        <v>12</v>
      </c>
      <c r="B1634" s="3" t="s">
        <v>359</v>
      </c>
      <c r="C1634" s="3" t="s">
        <v>9406</v>
      </c>
      <c r="D1634" s="8" t="str">
        <f t="shared" si="1"/>
        <v>Abrir anúncio ↗</v>
      </c>
      <c r="E1634" s="9" t="s">
        <v>9407</v>
      </c>
      <c r="F1634" s="3" t="s">
        <v>86</v>
      </c>
      <c r="G1634" s="9" t="s">
        <v>5013</v>
      </c>
      <c r="H1634" s="9" t="s">
        <v>5015</v>
      </c>
      <c r="I1634" s="3"/>
      <c r="J1634" s="3"/>
      <c r="K1634" s="9"/>
    </row>
    <row r="1635" ht="15.75" customHeight="1">
      <c r="A1635" s="10" t="s">
        <v>12</v>
      </c>
      <c r="B1635" s="10" t="s">
        <v>359</v>
      </c>
      <c r="C1635" s="10" t="s">
        <v>9408</v>
      </c>
      <c r="D1635" s="11" t="str">
        <f t="shared" si="1"/>
        <v>Abrir anúncio ↗</v>
      </c>
      <c r="E1635" s="12" t="s">
        <v>9409</v>
      </c>
      <c r="F1635" s="10" t="s">
        <v>29</v>
      </c>
      <c r="G1635" s="12" t="s">
        <v>5013</v>
      </c>
      <c r="H1635" s="12" t="s">
        <v>5015</v>
      </c>
      <c r="I1635" s="10"/>
      <c r="J1635" s="10"/>
      <c r="K1635" s="12"/>
    </row>
    <row r="1636" ht="15.75" customHeight="1">
      <c r="A1636" s="3" t="s">
        <v>12</v>
      </c>
      <c r="B1636" s="3" t="s">
        <v>359</v>
      </c>
      <c r="C1636" s="3" t="s">
        <v>9410</v>
      </c>
      <c r="D1636" s="8" t="str">
        <f t="shared" si="1"/>
        <v>Abrir anúncio ↗</v>
      </c>
      <c r="E1636" s="9" t="s">
        <v>9411</v>
      </c>
      <c r="F1636" s="3" t="s">
        <v>29</v>
      </c>
      <c r="G1636" s="9" t="s">
        <v>5013</v>
      </c>
      <c r="H1636" s="9" t="s">
        <v>5015</v>
      </c>
      <c r="I1636" s="3"/>
      <c r="J1636" s="3"/>
      <c r="K1636" s="9"/>
    </row>
    <row r="1637" ht="15.75" customHeight="1">
      <c r="A1637" s="10" t="s">
        <v>12</v>
      </c>
      <c r="B1637" s="10" t="s">
        <v>359</v>
      </c>
      <c r="C1637" s="10" t="s">
        <v>9412</v>
      </c>
      <c r="D1637" s="11" t="str">
        <f t="shared" si="1"/>
        <v>Abrir anúncio ↗</v>
      </c>
      <c r="E1637" s="12" t="s">
        <v>9413</v>
      </c>
      <c r="F1637" s="10" t="s">
        <v>29</v>
      </c>
      <c r="G1637" s="12" t="s">
        <v>4918</v>
      </c>
      <c r="H1637" s="12" t="s">
        <v>4919</v>
      </c>
      <c r="I1637" s="10"/>
      <c r="J1637" s="10"/>
      <c r="K1637" s="12"/>
    </row>
    <row r="1638" ht="15.75" customHeight="1">
      <c r="A1638" s="3" t="s">
        <v>12</v>
      </c>
      <c r="B1638" s="3" t="s">
        <v>359</v>
      </c>
      <c r="C1638" s="3" t="s">
        <v>9414</v>
      </c>
      <c r="D1638" s="8" t="str">
        <f t="shared" si="1"/>
        <v>Abrir anúncio ↗</v>
      </c>
      <c r="E1638" s="9" t="s">
        <v>9415</v>
      </c>
      <c r="F1638" s="3" t="s">
        <v>86</v>
      </c>
      <c r="G1638" s="9" t="s">
        <v>5013</v>
      </c>
      <c r="H1638" s="9" t="s">
        <v>5015</v>
      </c>
      <c r="I1638" s="3"/>
      <c r="J1638" s="3"/>
      <c r="K1638" s="9"/>
    </row>
    <row r="1639" ht="15.75" customHeight="1">
      <c r="A1639" s="10" t="s">
        <v>12</v>
      </c>
      <c r="B1639" s="10" t="s">
        <v>359</v>
      </c>
      <c r="C1639" s="10" t="s">
        <v>9416</v>
      </c>
      <c r="D1639" s="11" t="str">
        <f t="shared" si="1"/>
        <v>Abrir anúncio ↗</v>
      </c>
      <c r="E1639" s="12" t="s">
        <v>9417</v>
      </c>
      <c r="F1639" s="10" t="s">
        <v>86</v>
      </c>
      <c r="G1639" s="12" t="s">
        <v>5013</v>
      </c>
      <c r="H1639" s="12" t="s">
        <v>5015</v>
      </c>
      <c r="I1639" s="10"/>
      <c r="J1639" s="10"/>
      <c r="K1639" s="12"/>
    </row>
    <row r="1640" ht="15.75" customHeight="1">
      <c r="A1640" s="3" t="s">
        <v>12</v>
      </c>
      <c r="B1640" s="3" t="s">
        <v>359</v>
      </c>
      <c r="C1640" s="3" t="s">
        <v>9418</v>
      </c>
      <c r="D1640" s="8" t="str">
        <f t="shared" si="1"/>
        <v>Abrir anúncio ↗</v>
      </c>
      <c r="E1640" s="9" t="s">
        <v>9419</v>
      </c>
      <c r="F1640" s="3" t="s">
        <v>29</v>
      </c>
      <c r="G1640" s="9" t="s">
        <v>5013</v>
      </c>
      <c r="H1640" s="9" t="s">
        <v>5015</v>
      </c>
      <c r="I1640" s="3"/>
      <c r="J1640" s="3"/>
      <c r="K1640" s="9"/>
    </row>
    <row r="1641" ht="15.75" customHeight="1">
      <c r="A1641" s="10" t="s">
        <v>12</v>
      </c>
      <c r="B1641" s="10" t="s">
        <v>359</v>
      </c>
      <c r="C1641" s="10" t="s">
        <v>9420</v>
      </c>
      <c r="D1641" s="11" t="str">
        <f t="shared" si="1"/>
        <v>Abrir anúncio ↗</v>
      </c>
      <c r="E1641" s="12" t="s">
        <v>9421</v>
      </c>
      <c r="F1641" s="10" t="s">
        <v>29</v>
      </c>
      <c r="G1641" s="12" t="s">
        <v>5013</v>
      </c>
      <c r="H1641" s="12" t="s">
        <v>5015</v>
      </c>
      <c r="I1641" s="10"/>
      <c r="J1641" s="10"/>
      <c r="K1641" s="12"/>
    </row>
    <row r="1642" ht="15.75" customHeight="1">
      <c r="A1642" s="3" t="s">
        <v>12</v>
      </c>
      <c r="B1642" s="3" t="s">
        <v>359</v>
      </c>
      <c r="C1642" s="3" t="s">
        <v>9422</v>
      </c>
      <c r="D1642" s="8" t="str">
        <f t="shared" si="1"/>
        <v>Abrir anúncio ↗</v>
      </c>
      <c r="E1642" s="9" t="s">
        <v>9423</v>
      </c>
      <c r="F1642" s="3" t="s">
        <v>86</v>
      </c>
      <c r="G1642" s="9" t="s">
        <v>5013</v>
      </c>
      <c r="H1642" s="9" t="s">
        <v>5015</v>
      </c>
      <c r="I1642" s="3"/>
      <c r="J1642" s="3"/>
      <c r="K1642" s="9"/>
    </row>
    <row r="1643" ht="15.75" customHeight="1">
      <c r="A1643" s="10" t="s">
        <v>12</v>
      </c>
      <c r="B1643" s="10" t="s">
        <v>359</v>
      </c>
      <c r="C1643" s="10" t="s">
        <v>9424</v>
      </c>
      <c r="D1643" s="11" t="str">
        <f t="shared" si="1"/>
        <v>Abrir anúncio ↗</v>
      </c>
      <c r="E1643" s="12" t="s">
        <v>9425</v>
      </c>
      <c r="F1643" s="10" t="s">
        <v>86</v>
      </c>
      <c r="G1643" s="12" t="s">
        <v>5013</v>
      </c>
      <c r="H1643" s="12" t="s">
        <v>5015</v>
      </c>
      <c r="I1643" s="10"/>
      <c r="J1643" s="10"/>
      <c r="K1643" s="12"/>
    </row>
    <row r="1644" ht="15.75" customHeight="1">
      <c r="A1644" s="3" t="s">
        <v>12</v>
      </c>
      <c r="B1644" s="3" t="s">
        <v>359</v>
      </c>
      <c r="C1644" s="3" t="s">
        <v>9426</v>
      </c>
      <c r="D1644" s="8" t="str">
        <f t="shared" si="1"/>
        <v>Abrir anúncio ↗</v>
      </c>
      <c r="E1644" s="9" t="s">
        <v>9427</v>
      </c>
      <c r="F1644" s="3" t="s">
        <v>29</v>
      </c>
      <c r="G1644" s="9" t="s">
        <v>5013</v>
      </c>
      <c r="H1644" s="9" t="s">
        <v>5015</v>
      </c>
      <c r="I1644" s="3"/>
      <c r="J1644" s="3"/>
      <c r="K1644" s="9"/>
    </row>
    <row r="1645" ht="15.75" customHeight="1">
      <c r="A1645" s="10" t="s">
        <v>12</v>
      </c>
      <c r="B1645" s="10" t="s">
        <v>359</v>
      </c>
      <c r="C1645" s="10" t="s">
        <v>9428</v>
      </c>
      <c r="D1645" s="11" t="str">
        <f t="shared" si="1"/>
        <v>Abrir anúncio ↗</v>
      </c>
      <c r="E1645" s="12" t="s">
        <v>9429</v>
      </c>
      <c r="F1645" s="10" t="s">
        <v>86</v>
      </c>
      <c r="G1645" s="12" t="s">
        <v>5013</v>
      </c>
      <c r="H1645" s="12" t="s">
        <v>5015</v>
      </c>
      <c r="I1645" s="10"/>
      <c r="J1645" s="10"/>
      <c r="K1645" s="12"/>
    </row>
    <row r="1646" ht="15.75" customHeight="1">
      <c r="A1646" s="3" t="s">
        <v>12</v>
      </c>
      <c r="B1646" s="3" t="s">
        <v>359</v>
      </c>
      <c r="C1646" s="3" t="s">
        <v>9430</v>
      </c>
      <c r="D1646" s="8" t="str">
        <f t="shared" si="1"/>
        <v>Abrir anúncio ↗</v>
      </c>
      <c r="E1646" s="9" t="s">
        <v>9431</v>
      </c>
      <c r="F1646" s="3" t="s">
        <v>29</v>
      </c>
      <c r="G1646" s="9" t="s">
        <v>4918</v>
      </c>
      <c r="H1646" s="9" t="s">
        <v>4919</v>
      </c>
      <c r="I1646" s="3"/>
      <c r="J1646" s="3"/>
      <c r="K1646" s="9"/>
    </row>
    <row r="1647" ht="15.75" customHeight="1">
      <c r="A1647" s="10" t="s">
        <v>12</v>
      </c>
      <c r="B1647" s="10" t="s">
        <v>359</v>
      </c>
      <c r="C1647" s="10" t="s">
        <v>6942</v>
      </c>
      <c r="D1647" s="11" t="str">
        <f t="shared" si="1"/>
        <v>Abrir anúncio ↗</v>
      </c>
      <c r="E1647" s="12" t="s">
        <v>3941</v>
      </c>
      <c r="F1647" s="10" t="s">
        <v>29</v>
      </c>
      <c r="G1647" s="12" t="s">
        <v>4918</v>
      </c>
      <c r="H1647" s="12" t="s">
        <v>4919</v>
      </c>
      <c r="I1647" s="10"/>
      <c r="J1647" s="10"/>
      <c r="K1647" s="12"/>
    </row>
    <row r="1648" ht="15.75" customHeight="1">
      <c r="A1648" s="3" t="s">
        <v>12</v>
      </c>
      <c r="B1648" s="3" t="s">
        <v>359</v>
      </c>
      <c r="C1648" s="3" t="s">
        <v>7879</v>
      </c>
      <c r="D1648" s="8" t="str">
        <f t="shared" si="1"/>
        <v>Abrir anúncio ↗</v>
      </c>
      <c r="E1648" s="9" t="s">
        <v>7875</v>
      </c>
      <c r="F1648" s="3" t="s">
        <v>29</v>
      </c>
      <c r="G1648" s="9" t="s">
        <v>4918</v>
      </c>
      <c r="H1648" s="9" t="s">
        <v>4919</v>
      </c>
      <c r="I1648" s="3"/>
      <c r="J1648" s="3"/>
      <c r="K1648" s="9"/>
    </row>
    <row r="1649" ht="15.75" customHeight="1">
      <c r="A1649" s="10" t="s">
        <v>12</v>
      </c>
      <c r="B1649" s="10" t="s">
        <v>359</v>
      </c>
      <c r="C1649" s="10" t="s">
        <v>9432</v>
      </c>
      <c r="D1649" s="11" t="str">
        <f t="shared" si="1"/>
        <v>Abrir anúncio ↗</v>
      </c>
      <c r="E1649" s="12" t="s">
        <v>9433</v>
      </c>
      <c r="F1649" s="10" t="s">
        <v>29</v>
      </c>
      <c r="G1649" s="12" t="s">
        <v>4918</v>
      </c>
      <c r="H1649" s="12" t="s">
        <v>4919</v>
      </c>
      <c r="I1649" s="10"/>
      <c r="J1649" s="10"/>
      <c r="K1649" s="12"/>
    </row>
    <row r="1650" ht="15.75" customHeight="1">
      <c r="A1650" s="3" t="s">
        <v>12</v>
      </c>
      <c r="B1650" s="3" t="s">
        <v>359</v>
      </c>
      <c r="C1650" s="3" t="s">
        <v>9434</v>
      </c>
      <c r="D1650" s="8" t="str">
        <f t="shared" si="1"/>
        <v>Abrir anúncio ↗</v>
      </c>
      <c r="E1650" s="9" t="s">
        <v>9435</v>
      </c>
      <c r="F1650" s="3" t="s">
        <v>29</v>
      </c>
      <c r="G1650" s="9" t="s">
        <v>4918</v>
      </c>
      <c r="H1650" s="9" t="s">
        <v>4919</v>
      </c>
      <c r="I1650" s="3"/>
      <c r="J1650" s="3"/>
      <c r="K1650" s="9"/>
    </row>
    <row r="1651" ht="15.75" customHeight="1">
      <c r="A1651" s="10" t="s">
        <v>12</v>
      </c>
      <c r="B1651" s="10" t="s">
        <v>359</v>
      </c>
      <c r="C1651" s="10" t="s">
        <v>9436</v>
      </c>
      <c r="D1651" s="11" t="str">
        <f t="shared" si="1"/>
        <v>Abrir anúncio ↗</v>
      </c>
      <c r="E1651" s="12" t="s">
        <v>9437</v>
      </c>
      <c r="F1651" s="10" t="s">
        <v>29</v>
      </c>
      <c r="G1651" s="12" t="s">
        <v>5013</v>
      </c>
      <c r="H1651" s="12" t="s">
        <v>5015</v>
      </c>
      <c r="I1651" s="10"/>
      <c r="J1651" s="10"/>
      <c r="K1651" s="12"/>
    </row>
    <row r="1652" ht="15.75" customHeight="1">
      <c r="A1652" s="3" t="s">
        <v>12</v>
      </c>
      <c r="B1652" s="3" t="s">
        <v>359</v>
      </c>
      <c r="C1652" s="3" t="s">
        <v>9438</v>
      </c>
      <c r="D1652" s="8" t="str">
        <f t="shared" si="1"/>
        <v>Abrir anúncio ↗</v>
      </c>
      <c r="E1652" s="9" t="s">
        <v>9439</v>
      </c>
      <c r="F1652" s="3" t="s">
        <v>29</v>
      </c>
      <c r="G1652" s="9" t="s">
        <v>5013</v>
      </c>
      <c r="H1652" s="9" t="s">
        <v>5015</v>
      </c>
      <c r="I1652" s="3"/>
      <c r="J1652" s="3"/>
      <c r="K1652" s="9"/>
    </row>
    <row r="1653" ht="15.75" customHeight="1">
      <c r="A1653" s="10" t="s">
        <v>12</v>
      </c>
      <c r="B1653" s="10" t="s">
        <v>359</v>
      </c>
      <c r="C1653" s="10" t="s">
        <v>9440</v>
      </c>
      <c r="D1653" s="11" t="str">
        <f t="shared" si="1"/>
        <v>Abrir anúncio ↗</v>
      </c>
      <c r="E1653" s="12" t="s">
        <v>9441</v>
      </c>
      <c r="F1653" s="10" t="s">
        <v>29</v>
      </c>
      <c r="G1653" s="12" t="s">
        <v>5013</v>
      </c>
      <c r="H1653" s="12" t="s">
        <v>5015</v>
      </c>
      <c r="I1653" s="10"/>
      <c r="J1653" s="10"/>
      <c r="K1653" s="12"/>
    </row>
    <row r="1654" ht="15.75" customHeight="1">
      <c r="A1654" s="3" t="s">
        <v>12</v>
      </c>
      <c r="B1654" s="3" t="s">
        <v>359</v>
      </c>
      <c r="C1654" s="3" t="s">
        <v>9442</v>
      </c>
      <c r="D1654" s="8" t="str">
        <f t="shared" si="1"/>
        <v>Abrir anúncio ↗</v>
      </c>
      <c r="E1654" s="9" t="s">
        <v>9443</v>
      </c>
      <c r="F1654" s="3" t="s">
        <v>86</v>
      </c>
      <c r="G1654" s="9" t="s">
        <v>5013</v>
      </c>
      <c r="H1654" s="9" t="s">
        <v>5015</v>
      </c>
      <c r="I1654" s="3"/>
      <c r="J1654" s="3"/>
      <c r="K1654" s="9"/>
    </row>
    <row r="1655" ht="15.75" customHeight="1">
      <c r="A1655" s="10" t="s">
        <v>12</v>
      </c>
      <c r="B1655" s="10" t="s">
        <v>359</v>
      </c>
      <c r="C1655" s="10" t="s">
        <v>9444</v>
      </c>
      <c r="D1655" s="11" t="str">
        <f t="shared" si="1"/>
        <v>Abrir anúncio ↗</v>
      </c>
      <c r="E1655" s="12" t="s">
        <v>9445</v>
      </c>
      <c r="F1655" s="10" t="s">
        <v>86</v>
      </c>
      <c r="G1655" s="12" t="s">
        <v>4918</v>
      </c>
      <c r="H1655" s="12" t="s">
        <v>4919</v>
      </c>
      <c r="I1655" s="10"/>
      <c r="J1655" s="10"/>
      <c r="K1655" s="12"/>
    </row>
    <row r="1656" ht="15.75" customHeight="1">
      <c r="A1656" s="3" t="s">
        <v>12</v>
      </c>
      <c r="B1656" s="3" t="s">
        <v>359</v>
      </c>
      <c r="C1656" s="3" t="s">
        <v>9446</v>
      </c>
      <c r="D1656" s="8" t="str">
        <f t="shared" si="1"/>
        <v>Abrir anúncio ↗</v>
      </c>
      <c r="E1656" s="9" t="s">
        <v>9447</v>
      </c>
      <c r="F1656" s="3" t="s">
        <v>86</v>
      </c>
      <c r="G1656" s="9" t="s">
        <v>5013</v>
      </c>
      <c r="H1656" s="9" t="s">
        <v>5015</v>
      </c>
      <c r="I1656" s="3"/>
      <c r="J1656" s="3"/>
      <c r="K1656" s="9"/>
    </row>
    <row r="1657" ht="15.75" customHeight="1">
      <c r="A1657" s="10" t="s">
        <v>12</v>
      </c>
      <c r="B1657" s="10" t="s">
        <v>359</v>
      </c>
      <c r="C1657" s="10" t="s">
        <v>9448</v>
      </c>
      <c r="D1657" s="11" t="str">
        <f t="shared" si="1"/>
        <v>Abrir anúncio ↗</v>
      </c>
      <c r="E1657" s="12" t="s">
        <v>9449</v>
      </c>
      <c r="F1657" s="10" t="s">
        <v>29</v>
      </c>
      <c r="G1657" s="12" t="s">
        <v>5013</v>
      </c>
      <c r="H1657" s="12" t="s">
        <v>5015</v>
      </c>
      <c r="I1657" s="10"/>
      <c r="J1657" s="10"/>
      <c r="K1657" s="12"/>
    </row>
    <row r="1658" ht="15.75" customHeight="1">
      <c r="A1658" s="3" t="s">
        <v>12</v>
      </c>
      <c r="B1658" s="3" t="s">
        <v>359</v>
      </c>
      <c r="C1658" s="3" t="s">
        <v>9450</v>
      </c>
      <c r="D1658" s="8" t="str">
        <f t="shared" si="1"/>
        <v>Abrir anúncio ↗</v>
      </c>
      <c r="E1658" s="9" t="s">
        <v>9451</v>
      </c>
      <c r="F1658" s="3" t="s">
        <v>29</v>
      </c>
      <c r="G1658" s="9" t="s">
        <v>4918</v>
      </c>
      <c r="H1658" s="9" t="s">
        <v>4919</v>
      </c>
      <c r="I1658" s="3"/>
      <c r="J1658" s="3"/>
      <c r="K1658" s="9"/>
    </row>
    <row r="1659" ht="15.75" customHeight="1">
      <c r="A1659" s="10" t="s">
        <v>12</v>
      </c>
      <c r="B1659" s="10" t="s">
        <v>359</v>
      </c>
      <c r="C1659" s="10" t="s">
        <v>9452</v>
      </c>
      <c r="D1659" s="11" t="str">
        <f t="shared" si="1"/>
        <v>Abrir anúncio ↗</v>
      </c>
      <c r="E1659" s="12" t="s">
        <v>9453</v>
      </c>
      <c r="F1659" s="10" t="s">
        <v>86</v>
      </c>
      <c r="G1659" s="12" t="s">
        <v>5013</v>
      </c>
      <c r="H1659" s="12" t="s">
        <v>5015</v>
      </c>
      <c r="I1659" s="10"/>
      <c r="J1659" s="10"/>
      <c r="K1659" s="12"/>
    </row>
    <row r="1660" ht="15.75" customHeight="1">
      <c r="A1660" s="3" t="s">
        <v>12</v>
      </c>
      <c r="B1660" s="3" t="s">
        <v>359</v>
      </c>
      <c r="C1660" s="3" t="s">
        <v>8138</v>
      </c>
      <c r="D1660" s="8" t="str">
        <f t="shared" si="1"/>
        <v>Abrir anúncio ↗</v>
      </c>
      <c r="E1660" s="9" t="s">
        <v>8137</v>
      </c>
      <c r="F1660" s="3" t="s">
        <v>29</v>
      </c>
      <c r="G1660" s="9" t="s">
        <v>4918</v>
      </c>
      <c r="H1660" s="9" t="s">
        <v>4919</v>
      </c>
      <c r="I1660" s="3"/>
      <c r="J1660" s="3"/>
      <c r="K1660" s="9"/>
    </row>
    <row r="1661" ht="15.75" customHeight="1">
      <c r="A1661" s="10" t="s">
        <v>12</v>
      </c>
      <c r="B1661" s="10" t="s">
        <v>359</v>
      </c>
      <c r="C1661" s="10" t="s">
        <v>9454</v>
      </c>
      <c r="D1661" s="11" t="str">
        <f t="shared" si="1"/>
        <v>Abrir anúncio ↗</v>
      </c>
      <c r="E1661" s="12" t="s">
        <v>9455</v>
      </c>
      <c r="F1661" s="10" t="s">
        <v>29</v>
      </c>
      <c r="G1661" s="12" t="s">
        <v>4918</v>
      </c>
      <c r="H1661" s="12" t="s">
        <v>4919</v>
      </c>
      <c r="I1661" s="10"/>
      <c r="J1661" s="10"/>
      <c r="K1661" s="12"/>
    </row>
    <row r="1662" ht="15.75" customHeight="1">
      <c r="A1662" s="3" t="s">
        <v>12</v>
      </c>
      <c r="B1662" s="3" t="s">
        <v>359</v>
      </c>
      <c r="C1662" s="3" t="s">
        <v>9456</v>
      </c>
      <c r="D1662" s="8" t="str">
        <f t="shared" si="1"/>
        <v>Abrir anúncio ↗</v>
      </c>
      <c r="E1662" s="9" t="s">
        <v>9457</v>
      </c>
      <c r="F1662" s="3" t="s">
        <v>29</v>
      </c>
      <c r="G1662" s="9" t="s">
        <v>4918</v>
      </c>
      <c r="H1662" s="9" t="s">
        <v>4919</v>
      </c>
      <c r="I1662" s="3"/>
      <c r="J1662" s="3"/>
      <c r="K1662" s="9"/>
    </row>
    <row r="1663" ht="15.75" customHeight="1">
      <c r="A1663" s="10" t="s">
        <v>12</v>
      </c>
      <c r="B1663" s="10" t="s">
        <v>359</v>
      </c>
      <c r="C1663" s="10" t="s">
        <v>9458</v>
      </c>
      <c r="D1663" s="11" t="str">
        <f t="shared" si="1"/>
        <v>Abrir anúncio ↗</v>
      </c>
      <c r="E1663" s="12" t="s">
        <v>9459</v>
      </c>
      <c r="F1663" s="10" t="s">
        <v>29</v>
      </c>
      <c r="G1663" s="12" t="s">
        <v>5013</v>
      </c>
      <c r="H1663" s="12" t="s">
        <v>5015</v>
      </c>
      <c r="I1663" s="10"/>
      <c r="J1663" s="10"/>
      <c r="K1663" s="12"/>
    </row>
    <row r="1664" ht="15.75" customHeight="1">
      <c r="A1664" s="3" t="s">
        <v>12</v>
      </c>
      <c r="B1664" s="3" t="s">
        <v>359</v>
      </c>
      <c r="C1664" s="3" t="s">
        <v>9460</v>
      </c>
      <c r="D1664" s="8" t="str">
        <f t="shared" si="1"/>
        <v>Abrir anúncio ↗</v>
      </c>
      <c r="E1664" s="9" t="s">
        <v>9461</v>
      </c>
      <c r="F1664" s="3" t="s">
        <v>29</v>
      </c>
      <c r="G1664" s="9" t="s">
        <v>4918</v>
      </c>
      <c r="H1664" s="9" t="s">
        <v>4919</v>
      </c>
      <c r="I1664" s="3"/>
      <c r="J1664" s="3"/>
      <c r="K1664" s="9"/>
    </row>
    <row r="1665" ht="15.75" customHeight="1">
      <c r="A1665" s="10" t="s">
        <v>12</v>
      </c>
      <c r="B1665" s="10" t="s">
        <v>359</v>
      </c>
      <c r="C1665" s="10" t="s">
        <v>9462</v>
      </c>
      <c r="D1665" s="11" t="str">
        <f t="shared" si="1"/>
        <v>Abrir anúncio ↗</v>
      </c>
      <c r="E1665" s="12" t="s">
        <v>9463</v>
      </c>
      <c r="F1665" s="10" t="s">
        <v>29</v>
      </c>
      <c r="G1665" s="12" t="s">
        <v>5013</v>
      </c>
      <c r="H1665" s="12" t="s">
        <v>5015</v>
      </c>
      <c r="I1665" s="10"/>
      <c r="J1665" s="10"/>
      <c r="K1665" s="12"/>
    </row>
    <row r="1666" ht="15.75" customHeight="1">
      <c r="A1666" s="3" t="s">
        <v>12</v>
      </c>
      <c r="B1666" s="3" t="s">
        <v>359</v>
      </c>
      <c r="C1666" s="3" t="s">
        <v>9464</v>
      </c>
      <c r="D1666" s="8" t="str">
        <f t="shared" si="1"/>
        <v>Abrir anúncio ↗</v>
      </c>
      <c r="E1666" s="9" t="s">
        <v>9465</v>
      </c>
      <c r="F1666" s="3" t="s">
        <v>29</v>
      </c>
      <c r="G1666" s="9" t="s">
        <v>5013</v>
      </c>
      <c r="H1666" s="9" t="s">
        <v>5015</v>
      </c>
      <c r="I1666" s="3"/>
      <c r="J1666" s="3"/>
      <c r="K1666" s="9"/>
    </row>
    <row r="1667" ht="15.75" customHeight="1">
      <c r="A1667" s="10" t="s">
        <v>12</v>
      </c>
      <c r="B1667" s="10" t="s">
        <v>359</v>
      </c>
      <c r="C1667" s="10" t="s">
        <v>9466</v>
      </c>
      <c r="D1667" s="11" t="str">
        <f t="shared" si="1"/>
        <v>Abrir anúncio ↗</v>
      </c>
      <c r="E1667" s="12" t="s">
        <v>9467</v>
      </c>
      <c r="F1667" s="10" t="s">
        <v>29</v>
      </c>
      <c r="G1667" s="12" t="s">
        <v>4918</v>
      </c>
      <c r="H1667" s="12" t="s">
        <v>4919</v>
      </c>
      <c r="I1667" s="10"/>
      <c r="J1667" s="10"/>
      <c r="K1667" s="12"/>
    </row>
    <row r="1668" ht="15.75" customHeight="1">
      <c r="A1668" s="3" t="s">
        <v>12</v>
      </c>
      <c r="B1668" s="3" t="s">
        <v>359</v>
      </c>
      <c r="C1668" s="3" t="s">
        <v>9468</v>
      </c>
      <c r="D1668" s="8" t="str">
        <f t="shared" si="1"/>
        <v>Abrir anúncio ↗</v>
      </c>
      <c r="E1668" s="9" t="s">
        <v>9469</v>
      </c>
      <c r="F1668" s="3" t="s">
        <v>29</v>
      </c>
      <c r="G1668" s="9" t="s">
        <v>5013</v>
      </c>
      <c r="H1668" s="9" t="s">
        <v>5015</v>
      </c>
      <c r="I1668" s="3"/>
      <c r="J1668" s="3"/>
      <c r="K1668" s="9"/>
    </row>
    <row r="1669" ht="15.75" customHeight="1">
      <c r="A1669" s="10" t="s">
        <v>12</v>
      </c>
      <c r="B1669" s="10" t="s">
        <v>359</v>
      </c>
      <c r="C1669" s="10" t="s">
        <v>9470</v>
      </c>
      <c r="D1669" s="11" t="str">
        <f t="shared" si="1"/>
        <v>Abrir anúncio ↗</v>
      </c>
      <c r="E1669" s="12" t="s">
        <v>9471</v>
      </c>
      <c r="F1669" s="10" t="s">
        <v>29</v>
      </c>
      <c r="G1669" s="12" t="s">
        <v>4918</v>
      </c>
      <c r="H1669" s="12" t="s">
        <v>4919</v>
      </c>
      <c r="I1669" s="10"/>
      <c r="J1669" s="10"/>
      <c r="K1669" s="12"/>
    </row>
    <row r="1670" ht="15.75" customHeight="1">
      <c r="A1670" s="3" t="s">
        <v>12</v>
      </c>
      <c r="B1670" s="3" t="s">
        <v>359</v>
      </c>
      <c r="C1670" s="3" t="s">
        <v>8059</v>
      </c>
      <c r="D1670" s="8" t="str">
        <f t="shared" si="1"/>
        <v>Abrir anúncio ↗</v>
      </c>
      <c r="E1670" s="9" t="s">
        <v>8055</v>
      </c>
      <c r="F1670" s="3" t="s">
        <v>29</v>
      </c>
      <c r="G1670" s="9" t="s">
        <v>5013</v>
      </c>
      <c r="H1670" s="9" t="s">
        <v>5015</v>
      </c>
      <c r="I1670" s="3"/>
      <c r="J1670" s="3"/>
      <c r="K1670" s="9"/>
    </row>
    <row r="1671" ht="15.75" customHeight="1">
      <c r="A1671" s="10" t="s">
        <v>12</v>
      </c>
      <c r="B1671" s="10" t="s">
        <v>359</v>
      </c>
      <c r="C1671" s="10" t="s">
        <v>9472</v>
      </c>
      <c r="D1671" s="11" t="str">
        <f t="shared" si="1"/>
        <v>Abrir anúncio ↗</v>
      </c>
      <c r="E1671" s="12" t="s">
        <v>9473</v>
      </c>
      <c r="F1671" s="10" t="s">
        <v>29</v>
      </c>
      <c r="G1671" s="12" t="s">
        <v>4918</v>
      </c>
      <c r="H1671" s="12" t="s">
        <v>4919</v>
      </c>
      <c r="I1671" s="10"/>
      <c r="J1671" s="10"/>
      <c r="K1671" s="12"/>
    </row>
    <row r="1672" ht="15.75" customHeight="1">
      <c r="A1672" s="3" t="s">
        <v>12</v>
      </c>
      <c r="B1672" s="3" t="s">
        <v>359</v>
      </c>
      <c r="C1672" s="3" t="s">
        <v>9474</v>
      </c>
      <c r="D1672" s="8" t="str">
        <f t="shared" si="1"/>
        <v>Abrir anúncio ↗</v>
      </c>
      <c r="E1672" s="9" t="s">
        <v>9475</v>
      </c>
      <c r="F1672" s="3" t="s">
        <v>29</v>
      </c>
      <c r="G1672" s="9" t="s">
        <v>5013</v>
      </c>
      <c r="H1672" s="9" t="s">
        <v>5015</v>
      </c>
      <c r="I1672" s="3"/>
      <c r="J1672" s="3"/>
      <c r="K1672" s="9"/>
    </row>
    <row r="1673" ht="15.75" customHeight="1">
      <c r="A1673" s="10" t="s">
        <v>12</v>
      </c>
      <c r="B1673" s="10" t="s">
        <v>359</v>
      </c>
      <c r="C1673" s="10" t="s">
        <v>9476</v>
      </c>
      <c r="D1673" s="11" t="str">
        <f t="shared" si="1"/>
        <v>Abrir anúncio ↗</v>
      </c>
      <c r="E1673" s="12" t="s">
        <v>9477</v>
      </c>
      <c r="F1673" s="10" t="s">
        <v>29</v>
      </c>
      <c r="G1673" s="12" t="s">
        <v>5013</v>
      </c>
      <c r="H1673" s="12" t="s">
        <v>5015</v>
      </c>
      <c r="I1673" s="10"/>
      <c r="J1673" s="10"/>
      <c r="K1673" s="12"/>
    </row>
    <row r="1674" ht="15.75" customHeight="1">
      <c r="A1674" s="3" t="s">
        <v>12</v>
      </c>
      <c r="B1674" s="3" t="s">
        <v>359</v>
      </c>
      <c r="C1674" s="3" t="s">
        <v>9478</v>
      </c>
      <c r="D1674" s="8" t="str">
        <f t="shared" si="1"/>
        <v>Abrir anúncio ↗</v>
      </c>
      <c r="E1674" s="9" t="s">
        <v>9479</v>
      </c>
      <c r="F1674" s="3" t="s">
        <v>29</v>
      </c>
      <c r="G1674" s="9" t="s">
        <v>5013</v>
      </c>
      <c r="H1674" s="9" t="s">
        <v>5015</v>
      </c>
      <c r="I1674" s="3"/>
      <c r="J1674" s="3"/>
      <c r="K1674" s="9"/>
    </row>
    <row r="1675" ht="15.75" customHeight="1">
      <c r="A1675" s="10" t="s">
        <v>12</v>
      </c>
      <c r="B1675" s="10" t="s">
        <v>359</v>
      </c>
      <c r="C1675" s="10" t="s">
        <v>9480</v>
      </c>
      <c r="D1675" s="11" t="str">
        <f t="shared" si="1"/>
        <v>Abrir anúncio ↗</v>
      </c>
      <c r="E1675" s="12" t="s">
        <v>9481</v>
      </c>
      <c r="F1675" s="10" t="s">
        <v>29</v>
      </c>
      <c r="G1675" s="12" t="s">
        <v>5013</v>
      </c>
      <c r="H1675" s="12" t="s">
        <v>5015</v>
      </c>
      <c r="I1675" s="10"/>
      <c r="J1675" s="10"/>
      <c r="K1675" s="12"/>
    </row>
    <row r="1676" ht="15.75" customHeight="1">
      <c r="A1676" s="3" t="s">
        <v>12</v>
      </c>
      <c r="B1676" s="3" t="s">
        <v>359</v>
      </c>
      <c r="C1676" s="3" t="s">
        <v>9482</v>
      </c>
      <c r="D1676" s="8" t="str">
        <f t="shared" si="1"/>
        <v>Abrir anúncio ↗</v>
      </c>
      <c r="E1676" s="9" t="s">
        <v>9483</v>
      </c>
      <c r="F1676" s="3" t="s">
        <v>29</v>
      </c>
      <c r="G1676" s="9" t="s">
        <v>5013</v>
      </c>
      <c r="H1676" s="9" t="s">
        <v>5015</v>
      </c>
      <c r="I1676" s="3"/>
      <c r="J1676" s="3"/>
      <c r="K1676" s="9"/>
    </row>
    <row r="1677" ht="15.75" customHeight="1">
      <c r="A1677" s="10" t="s">
        <v>12</v>
      </c>
      <c r="B1677" s="10" t="s">
        <v>359</v>
      </c>
      <c r="C1677" s="10" t="s">
        <v>9484</v>
      </c>
      <c r="D1677" s="11" t="str">
        <f t="shared" si="1"/>
        <v>Abrir anúncio ↗</v>
      </c>
      <c r="E1677" s="12" t="s">
        <v>9485</v>
      </c>
      <c r="F1677" s="10" t="s">
        <v>29</v>
      </c>
      <c r="G1677" s="12" t="s">
        <v>5013</v>
      </c>
      <c r="H1677" s="12" t="s">
        <v>5015</v>
      </c>
      <c r="I1677" s="10"/>
      <c r="J1677" s="10"/>
      <c r="K1677" s="12"/>
    </row>
    <row r="1678" ht="15.75" customHeight="1">
      <c r="A1678" s="3" t="s">
        <v>12</v>
      </c>
      <c r="B1678" s="3" t="s">
        <v>359</v>
      </c>
      <c r="C1678" s="3" t="s">
        <v>9486</v>
      </c>
      <c r="D1678" s="8" t="str">
        <f t="shared" si="1"/>
        <v>Abrir anúncio ↗</v>
      </c>
      <c r="E1678" s="9" t="s">
        <v>9487</v>
      </c>
      <c r="F1678" s="3" t="s">
        <v>29</v>
      </c>
      <c r="G1678" s="9" t="s">
        <v>4918</v>
      </c>
      <c r="H1678" s="9" t="s">
        <v>4919</v>
      </c>
      <c r="I1678" s="3"/>
      <c r="J1678" s="3"/>
      <c r="K1678" s="9"/>
    </row>
    <row r="1679" ht="15.75" customHeight="1">
      <c r="A1679" s="10" t="s">
        <v>12</v>
      </c>
      <c r="B1679" s="10" t="s">
        <v>359</v>
      </c>
      <c r="C1679" s="10" t="s">
        <v>9488</v>
      </c>
      <c r="D1679" s="11" t="str">
        <f t="shared" si="1"/>
        <v>Abrir anúncio ↗</v>
      </c>
      <c r="E1679" s="12" t="s">
        <v>9489</v>
      </c>
      <c r="F1679" s="10" t="s">
        <v>86</v>
      </c>
      <c r="G1679" s="12" t="s">
        <v>5013</v>
      </c>
      <c r="H1679" s="12" t="s">
        <v>5015</v>
      </c>
      <c r="I1679" s="10"/>
      <c r="J1679" s="10"/>
      <c r="K1679" s="12"/>
    </row>
    <row r="1680" ht="15.75" customHeight="1">
      <c r="A1680" s="3" t="s">
        <v>12</v>
      </c>
      <c r="B1680" s="3" t="s">
        <v>359</v>
      </c>
      <c r="C1680" s="3" t="s">
        <v>9490</v>
      </c>
      <c r="D1680" s="8" t="str">
        <f t="shared" si="1"/>
        <v>Abrir anúncio ↗</v>
      </c>
      <c r="E1680" s="9" t="s">
        <v>9491</v>
      </c>
      <c r="F1680" s="3" t="s">
        <v>29</v>
      </c>
      <c r="G1680" s="9" t="s">
        <v>5013</v>
      </c>
      <c r="H1680" s="9" t="s">
        <v>5015</v>
      </c>
      <c r="I1680" s="3"/>
      <c r="J1680" s="3"/>
      <c r="K1680" s="9"/>
    </row>
    <row r="1681" ht="15.75" customHeight="1">
      <c r="A1681" s="10" t="s">
        <v>12</v>
      </c>
      <c r="B1681" s="10" t="s">
        <v>359</v>
      </c>
      <c r="C1681" s="10" t="s">
        <v>9492</v>
      </c>
      <c r="D1681" s="11" t="str">
        <f t="shared" si="1"/>
        <v>Abrir anúncio ↗</v>
      </c>
      <c r="E1681" s="12" t="s">
        <v>9493</v>
      </c>
      <c r="F1681" s="10" t="s">
        <v>29</v>
      </c>
      <c r="G1681" s="12" t="s">
        <v>5013</v>
      </c>
      <c r="H1681" s="12" t="s">
        <v>5015</v>
      </c>
      <c r="I1681" s="10"/>
      <c r="J1681" s="10"/>
      <c r="K1681" s="12"/>
    </row>
    <row r="1682" ht="15.75" customHeight="1">
      <c r="A1682" s="3" t="s">
        <v>12</v>
      </c>
      <c r="B1682" s="3" t="s">
        <v>359</v>
      </c>
      <c r="C1682" s="3" t="s">
        <v>9494</v>
      </c>
      <c r="D1682" s="8" t="str">
        <f t="shared" si="1"/>
        <v>Abrir anúncio ↗</v>
      </c>
      <c r="E1682" s="9" t="s">
        <v>9495</v>
      </c>
      <c r="F1682" s="3" t="s">
        <v>29</v>
      </c>
      <c r="G1682" s="9" t="s">
        <v>4918</v>
      </c>
      <c r="H1682" s="9" t="s">
        <v>4919</v>
      </c>
      <c r="I1682" s="3"/>
      <c r="J1682" s="3"/>
      <c r="K1682" s="9"/>
    </row>
    <row r="1683" ht="15.75" customHeight="1">
      <c r="A1683" s="10" t="s">
        <v>12</v>
      </c>
      <c r="B1683" s="10" t="s">
        <v>359</v>
      </c>
      <c r="C1683" s="10" t="s">
        <v>6697</v>
      </c>
      <c r="D1683" s="11" t="str">
        <f t="shared" si="1"/>
        <v>Abrir anúncio ↗</v>
      </c>
      <c r="E1683" s="12" t="s">
        <v>6693</v>
      </c>
      <c r="F1683" s="10" t="s">
        <v>29</v>
      </c>
      <c r="G1683" s="12" t="s">
        <v>4918</v>
      </c>
      <c r="H1683" s="12" t="s">
        <v>4919</v>
      </c>
      <c r="I1683" s="10"/>
      <c r="J1683" s="10"/>
      <c r="K1683" s="12"/>
    </row>
    <row r="1684" ht="15.75" customHeight="1">
      <c r="A1684" s="3" t="s">
        <v>12</v>
      </c>
      <c r="B1684" s="3" t="s">
        <v>359</v>
      </c>
      <c r="C1684" s="3" t="s">
        <v>9496</v>
      </c>
      <c r="D1684" s="8" t="str">
        <f t="shared" si="1"/>
        <v>Abrir anúncio ↗</v>
      </c>
      <c r="E1684" s="9" t="s">
        <v>9497</v>
      </c>
      <c r="F1684" s="3" t="s">
        <v>29</v>
      </c>
      <c r="G1684" s="9" t="s">
        <v>5013</v>
      </c>
      <c r="H1684" s="9" t="s">
        <v>5015</v>
      </c>
      <c r="I1684" s="3"/>
      <c r="J1684" s="3"/>
      <c r="K1684" s="9"/>
    </row>
    <row r="1685" ht="15.75" customHeight="1">
      <c r="A1685" s="10" t="s">
        <v>12</v>
      </c>
      <c r="B1685" s="10" t="s">
        <v>359</v>
      </c>
      <c r="C1685" s="10" t="s">
        <v>9498</v>
      </c>
      <c r="D1685" s="11" t="str">
        <f t="shared" si="1"/>
        <v>Abrir anúncio ↗</v>
      </c>
      <c r="E1685" s="12" t="s">
        <v>9499</v>
      </c>
      <c r="F1685" s="10" t="s">
        <v>29</v>
      </c>
      <c r="G1685" s="12" t="s">
        <v>4918</v>
      </c>
      <c r="H1685" s="12" t="s">
        <v>4919</v>
      </c>
      <c r="I1685" s="10"/>
      <c r="J1685" s="10"/>
      <c r="K1685" s="12"/>
    </row>
    <row r="1686" ht="15.75" customHeight="1">
      <c r="A1686" s="3" t="s">
        <v>12</v>
      </c>
      <c r="B1686" s="3" t="s">
        <v>359</v>
      </c>
      <c r="C1686" s="3" t="s">
        <v>9500</v>
      </c>
      <c r="D1686" s="8" t="str">
        <f t="shared" si="1"/>
        <v>Abrir anúncio ↗</v>
      </c>
      <c r="E1686" s="9" t="s">
        <v>9501</v>
      </c>
      <c r="F1686" s="3" t="s">
        <v>29</v>
      </c>
      <c r="G1686" s="9" t="s">
        <v>5013</v>
      </c>
      <c r="H1686" s="9" t="s">
        <v>5015</v>
      </c>
      <c r="I1686" s="3"/>
      <c r="J1686" s="3"/>
      <c r="K1686" s="9"/>
    </row>
    <row r="1687" ht="15.75" customHeight="1">
      <c r="A1687" s="10" t="s">
        <v>12</v>
      </c>
      <c r="B1687" s="10" t="s">
        <v>359</v>
      </c>
      <c r="C1687" s="10" t="s">
        <v>9502</v>
      </c>
      <c r="D1687" s="11" t="str">
        <f t="shared" si="1"/>
        <v>Abrir anúncio ↗</v>
      </c>
      <c r="E1687" s="12" t="s">
        <v>9503</v>
      </c>
      <c r="F1687" s="10" t="s">
        <v>29</v>
      </c>
      <c r="G1687" s="12" t="s">
        <v>4918</v>
      </c>
      <c r="H1687" s="12" t="s">
        <v>4919</v>
      </c>
      <c r="I1687" s="10"/>
      <c r="J1687" s="10"/>
      <c r="K1687" s="12"/>
    </row>
    <row r="1688" ht="15.75" customHeight="1">
      <c r="A1688" s="3" t="s">
        <v>12</v>
      </c>
      <c r="B1688" s="3" t="s">
        <v>359</v>
      </c>
      <c r="C1688" s="3" t="s">
        <v>9504</v>
      </c>
      <c r="D1688" s="8" t="str">
        <f t="shared" si="1"/>
        <v>Abrir anúncio ↗</v>
      </c>
      <c r="E1688" s="9" t="s">
        <v>9505</v>
      </c>
      <c r="F1688" s="3" t="s">
        <v>29</v>
      </c>
      <c r="G1688" s="9" t="s">
        <v>5013</v>
      </c>
      <c r="H1688" s="9" t="s">
        <v>5015</v>
      </c>
      <c r="I1688" s="3"/>
      <c r="J1688" s="3"/>
      <c r="K1688" s="9"/>
    </row>
    <row r="1689" ht="15.75" customHeight="1">
      <c r="A1689" s="10" t="s">
        <v>12</v>
      </c>
      <c r="B1689" s="10" t="s">
        <v>359</v>
      </c>
      <c r="C1689" s="10" t="s">
        <v>9506</v>
      </c>
      <c r="D1689" s="11" t="str">
        <f t="shared" si="1"/>
        <v>Abrir anúncio ↗</v>
      </c>
      <c r="E1689" s="12" t="s">
        <v>9507</v>
      </c>
      <c r="F1689" s="10" t="s">
        <v>29</v>
      </c>
      <c r="G1689" s="12" t="s">
        <v>5013</v>
      </c>
      <c r="H1689" s="12" t="s">
        <v>5015</v>
      </c>
      <c r="I1689" s="10"/>
      <c r="J1689" s="10"/>
      <c r="K1689" s="12"/>
    </row>
    <row r="1690" ht="15.75" customHeight="1">
      <c r="A1690" s="3" t="s">
        <v>12</v>
      </c>
      <c r="B1690" s="3" t="s">
        <v>359</v>
      </c>
      <c r="C1690" s="3" t="s">
        <v>7367</v>
      </c>
      <c r="D1690" s="8" t="str">
        <f t="shared" si="1"/>
        <v>Abrir anúncio ↗</v>
      </c>
      <c r="E1690" s="9" t="s">
        <v>7366</v>
      </c>
      <c r="F1690" s="3" t="s">
        <v>29</v>
      </c>
      <c r="G1690" s="9" t="s">
        <v>4918</v>
      </c>
      <c r="H1690" s="9" t="s">
        <v>4919</v>
      </c>
      <c r="I1690" s="3"/>
      <c r="J1690" s="3"/>
      <c r="K1690" s="9"/>
    </row>
    <row r="1691" ht="15.75" customHeight="1">
      <c r="A1691" s="10" t="s">
        <v>12</v>
      </c>
      <c r="B1691" s="10" t="s">
        <v>359</v>
      </c>
      <c r="C1691" s="10" t="s">
        <v>9508</v>
      </c>
      <c r="D1691" s="11" t="str">
        <f t="shared" si="1"/>
        <v>Abrir anúncio ↗</v>
      </c>
      <c r="E1691" s="12" t="s">
        <v>9509</v>
      </c>
      <c r="F1691" s="10" t="s">
        <v>29</v>
      </c>
      <c r="G1691" s="12" t="s">
        <v>5013</v>
      </c>
      <c r="H1691" s="12" t="s">
        <v>5015</v>
      </c>
      <c r="I1691" s="10"/>
      <c r="J1691" s="10"/>
      <c r="K1691" s="12"/>
    </row>
    <row r="1692" ht="15.75" customHeight="1">
      <c r="A1692" s="3" t="s">
        <v>12</v>
      </c>
      <c r="B1692" s="3" t="s">
        <v>359</v>
      </c>
      <c r="C1692" s="3" t="s">
        <v>9510</v>
      </c>
      <c r="D1692" s="8" t="str">
        <f t="shared" si="1"/>
        <v>Abrir anúncio ↗</v>
      </c>
      <c r="E1692" s="9" t="s">
        <v>9511</v>
      </c>
      <c r="F1692" s="3" t="s">
        <v>86</v>
      </c>
      <c r="G1692" s="9" t="s">
        <v>5013</v>
      </c>
      <c r="H1692" s="9" t="s">
        <v>5015</v>
      </c>
      <c r="I1692" s="3"/>
      <c r="J1692" s="3"/>
      <c r="K1692" s="9"/>
    </row>
    <row r="1693" ht="15.75" customHeight="1">
      <c r="A1693" s="10" t="s">
        <v>12</v>
      </c>
      <c r="B1693" s="10" t="s">
        <v>359</v>
      </c>
      <c r="C1693" s="10" t="s">
        <v>8145</v>
      </c>
      <c r="D1693" s="11" t="str">
        <f t="shared" si="1"/>
        <v>Abrir anúncio ↗</v>
      </c>
      <c r="E1693" s="12" t="s">
        <v>7700</v>
      </c>
      <c r="F1693" s="10" t="s">
        <v>29</v>
      </c>
      <c r="G1693" s="12" t="s">
        <v>4918</v>
      </c>
      <c r="H1693" s="12" t="s">
        <v>4919</v>
      </c>
      <c r="I1693" s="10"/>
      <c r="J1693" s="10"/>
      <c r="K1693" s="12"/>
    </row>
    <row r="1694" ht="15.75" customHeight="1">
      <c r="A1694" s="3" t="s">
        <v>12</v>
      </c>
      <c r="B1694" s="3" t="s">
        <v>359</v>
      </c>
      <c r="C1694" s="3" t="s">
        <v>9512</v>
      </c>
      <c r="D1694" s="8" t="str">
        <f t="shared" si="1"/>
        <v>Abrir anúncio ↗</v>
      </c>
      <c r="E1694" s="9" t="s">
        <v>9513</v>
      </c>
      <c r="F1694" s="3" t="s">
        <v>86</v>
      </c>
      <c r="G1694" s="9" t="s">
        <v>9514</v>
      </c>
      <c r="H1694" s="9" t="s">
        <v>9515</v>
      </c>
      <c r="I1694" s="3"/>
      <c r="J1694" s="3"/>
      <c r="K1694" s="9"/>
    </row>
    <row r="1695" ht="15.75" customHeight="1">
      <c r="A1695" s="10" t="s">
        <v>12</v>
      </c>
      <c r="B1695" s="10" t="s">
        <v>359</v>
      </c>
      <c r="C1695" s="10" t="s">
        <v>9516</v>
      </c>
      <c r="D1695" s="11" t="str">
        <f t="shared" si="1"/>
        <v>Abrir anúncio ↗</v>
      </c>
      <c r="E1695" s="12" t="s">
        <v>9517</v>
      </c>
      <c r="F1695" s="10" t="s">
        <v>29</v>
      </c>
      <c r="G1695" s="12" t="s">
        <v>4918</v>
      </c>
      <c r="H1695" s="12" t="s">
        <v>4919</v>
      </c>
      <c r="I1695" s="10"/>
      <c r="J1695" s="10"/>
      <c r="K1695" s="12"/>
    </row>
    <row r="1696" ht="15.75" customHeight="1">
      <c r="A1696" s="3" t="s">
        <v>12</v>
      </c>
      <c r="B1696" s="3" t="s">
        <v>359</v>
      </c>
      <c r="C1696" s="3" t="s">
        <v>9518</v>
      </c>
      <c r="D1696" s="8" t="str">
        <f t="shared" si="1"/>
        <v>Abrir anúncio ↗</v>
      </c>
      <c r="E1696" s="9" t="s">
        <v>9519</v>
      </c>
      <c r="F1696" s="3" t="s">
        <v>29</v>
      </c>
      <c r="G1696" s="9" t="s">
        <v>5013</v>
      </c>
      <c r="H1696" s="9" t="s">
        <v>5015</v>
      </c>
      <c r="I1696" s="3"/>
      <c r="J1696" s="3"/>
      <c r="K1696" s="9"/>
    </row>
    <row r="1697" ht="15.75" customHeight="1">
      <c r="A1697" s="10" t="s">
        <v>12</v>
      </c>
      <c r="B1697" s="10" t="s">
        <v>359</v>
      </c>
      <c r="C1697" s="10" t="s">
        <v>9520</v>
      </c>
      <c r="D1697" s="11" t="str">
        <f t="shared" si="1"/>
        <v>Abrir anúncio ↗</v>
      </c>
      <c r="E1697" s="12" t="s">
        <v>9521</v>
      </c>
      <c r="F1697" s="10" t="s">
        <v>29</v>
      </c>
      <c r="G1697" s="12" t="s">
        <v>5013</v>
      </c>
      <c r="H1697" s="12" t="s">
        <v>5015</v>
      </c>
      <c r="I1697" s="10"/>
      <c r="J1697" s="10"/>
      <c r="K1697" s="12"/>
    </row>
    <row r="1698" ht="15.75" customHeight="1">
      <c r="A1698" s="3" t="s">
        <v>12</v>
      </c>
      <c r="B1698" s="3" t="s">
        <v>359</v>
      </c>
      <c r="C1698" s="3" t="s">
        <v>9522</v>
      </c>
      <c r="D1698" s="8" t="str">
        <f t="shared" si="1"/>
        <v>Abrir anúncio ↗</v>
      </c>
      <c r="E1698" s="9" t="s">
        <v>9523</v>
      </c>
      <c r="F1698" s="3" t="s">
        <v>29</v>
      </c>
      <c r="G1698" s="9" t="s">
        <v>5013</v>
      </c>
      <c r="H1698" s="9" t="s">
        <v>5015</v>
      </c>
      <c r="I1698" s="3"/>
      <c r="J1698" s="3"/>
      <c r="K1698" s="9"/>
    </row>
    <row r="1699" ht="15.75" customHeight="1">
      <c r="A1699" s="10" t="s">
        <v>12</v>
      </c>
      <c r="B1699" s="10" t="s">
        <v>359</v>
      </c>
      <c r="C1699" s="10" t="s">
        <v>9524</v>
      </c>
      <c r="D1699" s="11" t="str">
        <f t="shared" si="1"/>
        <v>Abrir anúncio ↗</v>
      </c>
      <c r="E1699" s="12" t="s">
        <v>9525</v>
      </c>
      <c r="F1699" s="10" t="s">
        <v>29</v>
      </c>
      <c r="G1699" s="12" t="s">
        <v>9253</v>
      </c>
      <c r="H1699" s="12" t="s">
        <v>9254</v>
      </c>
      <c r="I1699" s="10"/>
      <c r="J1699" s="10"/>
      <c r="K1699" s="12"/>
    </row>
    <row r="1700" ht="15.75" customHeight="1">
      <c r="A1700" s="3" t="s">
        <v>12</v>
      </c>
      <c r="B1700" s="3" t="s">
        <v>359</v>
      </c>
      <c r="C1700" s="3" t="s">
        <v>9526</v>
      </c>
      <c r="D1700" s="8" t="str">
        <f t="shared" si="1"/>
        <v>Abrir anúncio ↗</v>
      </c>
      <c r="E1700" s="9" t="s">
        <v>9527</v>
      </c>
      <c r="F1700" s="3" t="s">
        <v>29</v>
      </c>
      <c r="G1700" s="9" t="s">
        <v>4918</v>
      </c>
      <c r="H1700" s="9" t="s">
        <v>4919</v>
      </c>
      <c r="I1700" s="3"/>
      <c r="J1700" s="3"/>
      <c r="K1700" s="9"/>
    </row>
    <row r="1701" ht="15.75" customHeight="1">
      <c r="A1701" s="10" t="s">
        <v>12</v>
      </c>
      <c r="B1701" s="10" t="s">
        <v>359</v>
      </c>
      <c r="C1701" s="10" t="s">
        <v>7899</v>
      </c>
      <c r="D1701" s="11" t="str">
        <f t="shared" si="1"/>
        <v>Abrir anúncio ↗</v>
      </c>
      <c r="E1701" s="12" t="s">
        <v>7898</v>
      </c>
      <c r="F1701" s="10" t="s">
        <v>29</v>
      </c>
      <c r="G1701" s="12" t="s">
        <v>9253</v>
      </c>
      <c r="H1701" s="12" t="s">
        <v>9254</v>
      </c>
      <c r="I1701" s="10"/>
      <c r="J1701" s="10"/>
      <c r="K1701" s="12"/>
    </row>
    <row r="1702" ht="15.75" customHeight="1">
      <c r="A1702" s="3" t="s">
        <v>12</v>
      </c>
      <c r="B1702" s="3" t="s">
        <v>359</v>
      </c>
      <c r="C1702" s="3" t="s">
        <v>9528</v>
      </c>
      <c r="D1702" s="8" t="str">
        <f t="shared" si="1"/>
        <v>Abrir anúncio ↗</v>
      </c>
      <c r="E1702" s="9" t="s">
        <v>9529</v>
      </c>
      <c r="F1702" s="3" t="s">
        <v>86</v>
      </c>
      <c r="G1702" s="9" t="s">
        <v>5013</v>
      </c>
      <c r="H1702" s="9" t="s">
        <v>5015</v>
      </c>
      <c r="I1702" s="3"/>
      <c r="J1702" s="3"/>
      <c r="K1702" s="9"/>
    </row>
    <row r="1703" ht="15.75" customHeight="1">
      <c r="A1703" s="10" t="s">
        <v>12</v>
      </c>
      <c r="B1703" s="10" t="s">
        <v>359</v>
      </c>
      <c r="C1703" s="10" t="s">
        <v>9530</v>
      </c>
      <c r="D1703" s="11" t="str">
        <f t="shared" si="1"/>
        <v>Abrir anúncio ↗</v>
      </c>
      <c r="E1703" s="12" t="s">
        <v>9531</v>
      </c>
      <c r="F1703" s="10" t="s">
        <v>29</v>
      </c>
      <c r="G1703" s="12" t="s">
        <v>9514</v>
      </c>
      <c r="H1703" s="12" t="s">
        <v>9515</v>
      </c>
      <c r="I1703" s="10"/>
      <c r="J1703" s="10"/>
      <c r="K1703" s="12"/>
    </row>
    <row r="1704" ht="15.75" customHeight="1">
      <c r="A1704" s="3" t="s">
        <v>12</v>
      </c>
      <c r="B1704" s="3" t="s">
        <v>359</v>
      </c>
      <c r="C1704" s="3" t="s">
        <v>9532</v>
      </c>
      <c r="D1704" s="8" t="str">
        <f t="shared" si="1"/>
        <v>Abrir anúncio ↗</v>
      </c>
      <c r="E1704" s="9" t="s">
        <v>9533</v>
      </c>
      <c r="F1704" s="3" t="s">
        <v>29</v>
      </c>
      <c r="G1704" s="9" t="s">
        <v>5013</v>
      </c>
      <c r="H1704" s="9" t="s">
        <v>5015</v>
      </c>
      <c r="I1704" s="3"/>
      <c r="J1704" s="3"/>
      <c r="K1704" s="9"/>
    </row>
    <row r="1705" ht="15.75" customHeight="1">
      <c r="A1705" s="10" t="s">
        <v>12</v>
      </c>
      <c r="B1705" s="10" t="s">
        <v>359</v>
      </c>
      <c r="C1705" s="10" t="s">
        <v>9534</v>
      </c>
      <c r="D1705" s="11" t="str">
        <f t="shared" si="1"/>
        <v>Abrir anúncio ↗</v>
      </c>
      <c r="E1705" s="12" t="s">
        <v>9535</v>
      </c>
      <c r="F1705" s="10" t="s">
        <v>29</v>
      </c>
      <c r="G1705" s="12" t="s">
        <v>9253</v>
      </c>
      <c r="H1705" s="12" t="s">
        <v>9254</v>
      </c>
      <c r="I1705" s="10"/>
      <c r="J1705" s="10"/>
      <c r="K1705" s="12"/>
    </row>
    <row r="1706" ht="15.75" customHeight="1">
      <c r="A1706" s="3" t="s">
        <v>12</v>
      </c>
      <c r="B1706" s="3" t="s">
        <v>359</v>
      </c>
      <c r="C1706" s="3" t="s">
        <v>8155</v>
      </c>
      <c r="D1706" s="8" t="str">
        <f t="shared" si="1"/>
        <v>Abrir anúncio ↗</v>
      </c>
      <c r="E1706" s="9" t="s">
        <v>8154</v>
      </c>
      <c r="F1706" s="3" t="s">
        <v>29</v>
      </c>
      <c r="G1706" s="9" t="s">
        <v>9253</v>
      </c>
      <c r="H1706" s="9" t="s">
        <v>9254</v>
      </c>
      <c r="I1706" s="3"/>
      <c r="J1706" s="3"/>
      <c r="K1706" s="9"/>
    </row>
    <row r="1707" ht="15.75" customHeight="1">
      <c r="A1707" s="10" t="s">
        <v>12</v>
      </c>
      <c r="B1707" s="10" t="s">
        <v>359</v>
      </c>
      <c r="C1707" s="10" t="s">
        <v>9536</v>
      </c>
      <c r="D1707" s="11" t="str">
        <f t="shared" si="1"/>
        <v>Abrir anúncio ↗</v>
      </c>
      <c r="E1707" s="12" t="s">
        <v>9537</v>
      </c>
      <c r="F1707" s="10" t="s">
        <v>29</v>
      </c>
      <c r="G1707" s="12" t="s">
        <v>9253</v>
      </c>
      <c r="H1707" s="12" t="s">
        <v>9254</v>
      </c>
      <c r="I1707" s="10"/>
      <c r="J1707" s="10"/>
      <c r="K1707" s="12"/>
    </row>
    <row r="1708" ht="15.75" customHeight="1">
      <c r="A1708" s="3" t="s">
        <v>12</v>
      </c>
      <c r="B1708" s="3" t="s">
        <v>359</v>
      </c>
      <c r="C1708" s="3" t="s">
        <v>8160</v>
      </c>
      <c r="D1708" s="8" t="str">
        <f t="shared" si="1"/>
        <v>Abrir anúncio ↗</v>
      </c>
      <c r="E1708" s="9" t="s">
        <v>8159</v>
      </c>
      <c r="F1708" s="3" t="s">
        <v>29</v>
      </c>
      <c r="G1708" s="9" t="s">
        <v>9253</v>
      </c>
      <c r="H1708" s="9" t="s">
        <v>9254</v>
      </c>
      <c r="I1708" s="3"/>
      <c r="J1708" s="3"/>
      <c r="K1708" s="9"/>
    </row>
    <row r="1709" ht="15.75" customHeight="1">
      <c r="A1709" s="10" t="s">
        <v>12</v>
      </c>
      <c r="B1709" s="10" t="s">
        <v>359</v>
      </c>
      <c r="C1709" s="10" t="s">
        <v>9538</v>
      </c>
      <c r="D1709" s="11" t="str">
        <f t="shared" si="1"/>
        <v>Abrir anúncio ↗</v>
      </c>
      <c r="E1709" s="12" t="s">
        <v>9539</v>
      </c>
      <c r="F1709" s="10" t="s">
        <v>29</v>
      </c>
      <c r="G1709" s="12" t="s">
        <v>4918</v>
      </c>
      <c r="H1709" s="12" t="s">
        <v>4919</v>
      </c>
      <c r="I1709" s="10"/>
      <c r="J1709" s="10"/>
      <c r="K1709" s="12"/>
    </row>
    <row r="1710" ht="15.75" customHeight="1">
      <c r="A1710" s="3" t="s">
        <v>12</v>
      </c>
      <c r="B1710" s="3" t="s">
        <v>359</v>
      </c>
      <c r="C1710" s="3" t="s">
        <v>9540</v>
      </c>
      <c r="D1710" s="8" t="str">
        <f t="shared" si="1"/>
        <v>Abrir anúncio ↗</v>
      </c>
      <c r="E1710" s="9" t="s">
        <v>9541</v>
      </c>
      <c r="F1710" s="3" t="s">
        <v>29</v>
      </c>
      <c r="G1710" s="9" t="s">
        <v>9514</v>
      </c>
      <c r="H1710" s="9" t="s">
        <v>9515</v>
      </c>
      <c r="I1710" s="3"/>
      <c r="J1710" s="3"/>
      <c r="K1710" s="9"/>
    </row>
    <row r="1711" ht="15.75" customHeight="1">
      <c r="A1711" s="10" t="s">
        <v>12</v>
      </c>
      <c r="B1711" s="10" t="s">
        <v>359</v>
      </c>
      <c r="C1711" s="10" t="s">
        <v>9542</v>
      </c>
      <c r="D1711" s="11" t="str">
        <f t="shared" si="1"/>
        <v>Abrir anúncio ↗</v>
      </c>
      <c r="E1711" s="12" t="s">
        <v>9543</v>
      </c>
      <c r="F1711" s="10" t="s">
        <v>29</v>
      </c>
      <c r="G1711" s="12" t="s">
        <v>9514</v>
      </c>
      <c r="H1711" s="12" t="s">
        <v>9515</v>
      </c>
      <c r="I1711" s="10"/>
      <c r="J1711" s="10"/>
      <c r="K1711" s="12"/>
    </row>
    <row r="1712" ht="15.75" customHeight="1">
      <c r="A1712" s="3" t="s">
        <v>12</v>
      </c>
      <c r="B1712" s="3" t="s">
        <v>359</v>
      </c>
      <c r="C1712" s="3" t="s">
        <v>9544</v>
      </c>
      <c r="D1712" s="8" t="str">
        <f t="shared" si="1"/>
        <v>Abrir anúncio ↗</v>
      </c>
      <c r="E1712" s="9" t="s">
        <v>9545</v>
      </c>
      <c r="F1712" s="3" t="s">
        <v>29</v>
      </c>
      <c r="G1712" s="9" t="s">
        <v>9253</v>
      </c>
      <c r="H1712" s="9" t="s">
        <v>9254</v>
      </c>
      <c r="I1712" s="3"/>
      <c r="J1712" s="3"/>
      <c r="K1712" s="9"/>
    </row>
    <row r="1713" ht="15.75" customHeight="1">
      <c r="A1713" s="10" t="s">
        <v>12</v>
      </c>
      <c r="B1713" s="10" t="s">
        <v>359</v>
      </c>
      <c r="C1713" s="10" t="s">
        <v>9546</v>
      </c>
      <c r="D1713" s="11" t="str">
        <f t="shared" si="1"/>
        <v>Abrir anúncio ↗</v>
      </c>
      <c r="E1713" s="12" t="s">
        <v>9547</v>
      </c>
      <c r="F1713" s="10" t="s">
        <v>29</v>
      </c>
      <c r="G1713" s="12" t="s">
        <v>4918</v>
      </c>
      <c r="H1713" s="12" t="s">
        <v>4919</v>
      </c>
      <c r="I1713" s="10"/>
      <c r="J1713" s="10"/>
      <c r="K1713" s="12"/>
    </row>
    <row r="1714" ht="15.75" customHeight="1">
      <c r="A1714" s="3" t="s">
        <v>12</v>
      </c>
      <c r="B1714" s="3" t="s">
        <v>359</v>
      </c>
      <c r="C1714" s="3" t="s">
        <v>9548</v>
      </c>
      <c r="D1714" s="8" t="str">
        <f t="shared" si="1"/>
        <v>Abrir anúncio ↗</v>
      </c>
      <c r="E1714" s="9" t="s">
        <v>9549</v>
      </c>
      <c r="F1714" s="3" t="s">
        <v>29</v>
      </c>
      <c r="G1714" s="9" t="s">
        <v>9514</v>
      </c>
      <c r="H1714" s="9" t="s">
        <v>9515</v>
      </c>
      <c r="I1714" s="3"/>
      <c r="J1714" s="3"/>
      <c r="K1714" s="9"/>
    </row>
    <row r="1715" ht="15.75" customHeight="1">
      <c r="A1715" s="10" t="s">
        <v>12</v>
      </c>
      <c r="B1715" s="10" t="s">
        <v>359</v>
      </c>
      <c r="C1715" s="10" t="s">
        <v>9550</v>
      </c>
      <c r="D1715" s="11" t="str">
        <f t="shared" si="1"/>
        <v>Abrir anúncio ↗</v>
      </c>
      <c r="E1715" s="12" t="s">
        <v>9551</v>
      </c>
      <c r="F1715" s="10" t="s">
        <v>29</v>
      </c>
      <c r="G1715" s="12" t="s">
        <v>9514</v>
      </c>
      <c r="H1715" s="12" t="s">
        <v>9515</v>
      </c>
      <c r="I1715" s="10"/>
      <c r="J1715" s="10"/>
      <c r="K1715" s="12"/>
    </row>
    <row r="1716" ht="15.75" customHeight="1">
      <c r="A1716" s="3" t="s">
        <v>12</v>
      </c>
      <c r="B1716" s="3" t="s">
        <v>359</v>
      </c>
      <c r="C1716" s="3" t="s">
        <v>9552</v>
      </c>
      <c r="D1716" s="8" t="str">
        <f t="shared" si="1"/>
        <v>Abrir anúncio ↗</v>
      </c>
      <c r="E1716" s="9" t="s">
        <v>9553</v>
      </c>
      <c r="F1716" s="3" t="s">
        <v>29</v>
      </c>
      <c r="G1716" s="9" t="s">
        <v>9253</v>
      </c>
      <c r="H1716" s="9" t="s">
        <v>9254</v>
      </c>
      <c r="I1716" s="3"/>
      <c r="J1716" s="3"/>
      <c r="K1716" s="9"/>
    </row>
    <row r="1717" ht="15.75" customHeight="1">
      <c r="A1717" s="10" t="s">
        <v>12</v>
      </c>
      <c r="B1717" s="10" t="s">
        <v>359</v>
      </c>
      <c r="C1717" s="10" t="s">
        <v>9554</v>
      </c>
      <c r="D1717" s="11" t="str">
        <f t="shared" si="1"/>
        <v>Abrir anúncio ↗</v>
      </c>
      <c r="E1717" s="12" t="s">
        <v>9555</v>
      </c>
      <c r="F1717" s="10" t="s">
        <v>29</v>
      </c>
      <c r="G1717" s="12" t="s">
        <v>9253</v>
      </c>
      <c r="H1717" s="12" t="s">
        <v>9254</v>
      </c>
      <c r="I1717" s="10"/>
      <c r="J1717" s="10"/>
      <c r="K1717" s="12"/>
    </row>
    <row r="1718" ht="15.75" customHeight="1">
      <c r="A1718" s="3" t="s">
        <v>12</v>
      </c>
      <c r="B1718" s="3" t="s">
        <v>359</v>
      </c>
      <c r="C1718" s="3" t="s">
        <v>9556</v>
      </c>
      <c r="D1718" s="8" t="str">
        <f t="shared" si="1"/>
        <v>Abrir anúncio ↗</v>
      </c>
      <c r="E1718" s="9" t="s">
        <v>9557</v>
      </c>
      <c r="F1718" s="3" t="s">
        <v>29</v>
      </c>
      <c r="G1718" s="9" t="s">
        <v>4918</v>
      </c>
      <c r="H1718" s="9" t="s">
        <v>4919</v>
      </c>
      <c r="I1718" s="3"/>
      <c r="J1718" s="3"/>
      <c r="K1718" s="9"/>
    </row>
    <row r="1719" ht="15.75" customHeight="1">
      <c r="A1719" s="10" t="s">
        <v>12</v>
      </c>
      <c r="B1719" s="10" t="s">
        <v>359</v>
      </c>
      <c r="C1719" s="10" t="s">
        <v>9558</v>
      </c>
      <c r="D1719" s="11" t="str">
        <f t="shared" si="1"/>
        <v>Abrir anúncio ↗</v>
      </c>
      <c r="E1719" s="12" t="s">
        <v>9559</v>
      </c>
      <c r="F1719" s="10" t="s">
        <v>29</v>
      </c>
      <c r="G1719" s="12" t="s">
        <v>9253</v>
      </c>
      <c r="H1719" s="12" t="s">
        <v>9254</v>
      </c>
      <c r="I1719" s="10"/>
      <c r="J1719" s="10"/>
      <c r="K1719" s="12"/>
    </row>
    <row r="1720" ht="15.75" customHeight="1">
      <c r="A1720" s="3" t="s">
        <v>12</v>
      </c>
      <c r="B1720" s="3" t="s">
        <v>359</v>
      </c>
      <c r="C1720" s="3" t="s">
        <v>9560</v>
      </c>
      <c r="D1720" s="8" t="str">
        <f t="shared" si="1"/>
        <v>Abrir anúncio ↗</v>
      </c>
      <c r="E1720" s="9" t="s">
        <v>9561</v>
      </c>
      <c r="F1720" s="3" t="s">
        <v>29</v>
      </c>
      <c r="G1720" s="9" t="s">
        <v>5013</v>
      </c>
      <c r="H1720" s="9" t="s">
        <v>5015</v>
      </c>
      <c r="I1720" s="3"/>
      <c r="J1720" s="3"/>
      <c r="K1720" s="9"/>
    </row>
    <row r="1721" ht="15.75" customHeight="1">
      <c r="A1721" s="10" t="s">
        <v>12</v>
      </c>
      <c r="B1721" s="10" t="s">
        <v>359</v>
      </c>
      <c r="C1721" s="10" t="s">
        <v>9562</v>
      </c>
      <c r="D1721" s="11" t="str">
        <f t="shared" si="1"/>
        <v>Abrir anúncio ↗</v>
      </c>
      <c r="E1721" s="12" t="s">
        <v>9563</v>
      </c>
      <c r="F1721" s="10" t="s">
        <v>29</v>
      </c>
      <c r="G1721" s="12" t="s">
        <v>9253</v>
      </c>
      <c r="H1721" s="12" t="s">
        <v>9254</v>
      </c>
      <c r="I1721" s="10"/>
      <c r="J1721" s="10"/>
      <c r="K1721" s="12"/>
    </row>
    <row r="1722" ht="15.75" customHeight="1">
      <c r="A1722" s="3" t="s">
        <v>12</v>
      </c>
      <c r="B1722" s="3" t="s">
        <v>359</v>
      </c>
      <c r="C1722" s="3" t="s">
        <v>9564</v>
      </c>
      <c r="D1722" s="8" t="str">
        <f t="shared" si="1"/>
        <v>Abrir anúncio ↗</v>
      </c>
      <c r="E1722" s="9" t="s">
        <v>9565</v>
      </c>
      <c r="F1722" s="3" t="s">
        <v>29</v>
      </c>
      <c r="G1722" s="9" t="s">
        <v>9253</v>
      </c>
      <c r="H1722" s="9" t="s">
        <v>9254</v>
      </c>
      <c r="I1722" s="3"/>
      <c r="J1722" s="3"/>
      <c r="K1722" s="9"/>
    </row>
    <row r="1723" ht="15.75" customHeight="1">
      <c r="A1723" s="10" t="s">
        <v>12</v>
      </c>
      <c r="B1723" s="10" t="s">
        <v>359</v>
      </c>
      <c r="C1723" s="10" t="s">
        <v>9566</v>
      </c>
      <c r="D1723" s="11" t="str">
        <f t="shared" si="1"/>
        <v>Abrir anúncio ↗</v>
      </c>
      <c r="E1723" s="12" t="s">
        <v>9567</v>
      </c>
      <c r="F1723" s="10" t="s">
        <v>29</v>
      </c>
      <c r="G1723" s="12" t="s">
        <v>9514</v>
      </c>
      <c r="H1723" s="12" t="s">
        <v>9515</v>
      </c>
      <c r="I1723" s="10"/>
      <c r="J1723" s="10"/>
      <c r="K1723" s="12"/>
    </row>
    <row r="1724" ht="15.75" customHeight="1">
      <c r="A1724" s="3" t="s">
        <v>12</v>
      </c>
      <c r="B1724" s="3" t="s">
        <v>359</v>
      </c>
      <c r="C1724" s="3" t="s">
        <v>9568</v>
      </c>
      <c r="D1724" s="8" t="str">
        <f t="shared" si="1"/>
        <v>Abrir anúncio ↗</v>
      </c>
      <c r="E1724" s="9" t="s">
        <v>9569</v>
      </c>
      <c r="F1724" s="3" t="s">
        <v>29</v>
      </c>
      <c r="G1724" s="9" t="s">
        <v>4918</v>
      </c>
      <c r="H1724" s="9" t="s">
        <v>4919</v>
      </c>
      <c r="I1724" s="3"/>
      <c r="J1724" s="3"/>
      <c r="K1724" s="9"/>
    </row>
    <row r="1725" ht="15.75" customHeight="1">
      <c r="A1725" s="10" t="s">
        <v>12</v>
      </c>
      <c r="B1725" s="10" t="s">
        <v>359</v>
      </c>
      <c r="C1725" s="10" t="s">
        <v>9570</v>
      </c>
      <c r="D1725" s="11" t="str">
        <f t="shared" si="1"/>
        <v>Abrir anúncio ↗</v>
      </c>
      <c r="E1725" s="12" t="s">
        <v>9571</v>
      </c>
      <c r="F1725" s="10" t="s">
        <v>29</v>
      </c>
      <c r="G1725" s="12" t="s">
        <v>9514</v>
      </c>
      <c r="H1725" s="12" t="s">
        <v>9515</v>
      </c>
      <c r="I1725" s="10"/>
      <c r="J1725" s="10"/>
      <c r="K1725" s="12"/>
    </row>
    <row r="1726" ht="15.75" customHeight="1">
      <c r="A1726" s="3" t="s">
        <v>12</v>
      </c>
      <c r="B1726" s="3" t="s">
        <v>359</v>
      </c>
      <c r="C1726" s="3" t="s">
        <v>9572</v>
      </c>
      <c r="D1726" s="8" t="str">
        <f t="shared" si="1"/>
        <v>Abrir anúncio ↗</v>
      </c>
      <c r="E1726" s="9" t="s">
        <v>9573</v>
      </c>
      <c r="F1726" s="3" t="s">
        <v>29</v>
      </c>
      <c r="G1726" s="9" t="s">
        <v>9514</v>
      </c>
      <c r="H1726" s="9" t="s">
        <v>9515</v>
      </c>
      <c r="I1726" s="3"/>
      <c r="J1726" s="3"/>
      <c r="K1726" s="9"/>
    </row>
    <row r="1727" ht="15.75" customHeight="1">
      <c r="A1727" s="10" t="s">
        <v>12</v>
      </c>
      <c r="B1727" s="10" t="s">
        <v>359</v>
      </c>
      <c r="C1727" s="10" t="s">
        <v>9574</v>
      </c>
      <c r="D1727" s="11" t="str">
        <f t="shared" si="1"/>
        <v>Abrir anúncio ↗</v>
      </c>
      <c r="E1727" s="12" t="s">
        <v>9575</v>
      </c>
      <c r="F1727" s="10" t="s">
        <v>29</v>
      </c>
      <c r="G1727" s="12" t="s">
        <v>9514</v>
      </c>
      <c r="H1727" s="12" t="s">
        <v>9515</v>
      </c>
      <c r="I1727" s="10"/>
      <c r="J1727" s="10"/>
      <c r="K1727" s="12"/>
    </row>
    <row r="1728" ht="15.75" customHeight="1">
      <c r="A1728" s="3" t="s">
        <v>12</v>
      </c>
      <c r="B1728" s="3" t="s">
        <v>359</v>
      </c>
      <c r="C1728" s="3" t="s">
        <v>9576</v>
      </c>
      <c r="D1728" s="8" t="str">
        <f t="shared" si="1"/>
        <v>Abrir anúncio ↗</v>
      </c>
      <c r="E1728" s="9" t="s">
        <v>9577</v>
      </c>
      <c r="F1728" s="3" t="s">
        <v>29</v>
      </c>
      <c r="G1728" s="9" t="s">
        <v>9253</v>
      </c>
      <c r="H1728" s="9" t="s">
        <v>9254</v>
      </c>
      <c r="I1728" s="3"/>
      <c r="J1728" s="3"/>
      <c r="K1728" s="9"/>
    </row>
    <row r="1729" ht="15.75" customHeight="1">
      <c r="A1729" s="10" t="s">
        <v>12</v>
      </c>
      <c r="B1729" s="10" t="s">
        <v>359</v>
      </c>
      <c r="C1729" s="10" t="s">
        <v>9578</v>
      </c>
      <c r="D1729" s="11" t="str">
        <f t="shared" si="1"/>
        <v>Abrir anúncio ↗</v>
      </c>
      <c r="E1729" s="12" t="s">
        <v>9579</v>
      </c>
      <c r="F1729" s="10" t="s">
        <v>29</v>
      </c>
      <c r="G1729" s="12" t="s">
        <v>4918</v>
      </c>
      <c r="H1729" s="12" t="s">
        <v>4919</v>
      </c>
      <c r="I1729" s="10"/>
      <c r="J1729" s="10"/>
      <c r="K1729" s="12"/>
    </row>
    <row r="1730" ht="15.75" customHeight="1">
      <c r="A1730" s="3" t="s">
        <v>12</v>
      </c>
      <c r="B1730" s="3" t="s">
        <v>359</v>
      </c>
      <c r="C1730" s="3" t="s">
        <v>9580</v>
      </c>
      <c r="D1730" s="8" t="str">
        <f t="shared" si="1"/>
        <v>Abrir anúncio ↗</v>
      </c>
      <c r="E1730" s="9" t="s">
        <v>9581</v>
      </c>
      <c r="F1730" s="3" t="s">
        <v>29</v>
      </c>
      <c r="G1730" s="9" t="s">
        <v>4918</v>
      </c>
      <c r="H1730" s="9" t="s">
        <v>4919</v>
      </c>
      <c r="I1730" s="3"/>
      <c r="J1730" s="3"/>
      <c r="K1730" s="9"/>
    </row>
    <row r="1731" ht="15.75" customHeight="1">
      <c r="A1731" s="10" t="s">
        <v>12</v>
      </c>
      <c r="B1731" s="10" t="s">
        <v>359</v>
      </c>
      <c r="C1731" s="10" t="s">
        <v>7766</v>
      </c>
      <c r="D1731" s="11" t="str">
        <f t="shared" si="1"/>
        <v>Abrir anúncio ↗</v>
      </c>
      <c r="E1731" s="12" t="s">
        <v>6734</v>
      </c>
      <c r="F1731" s="10" t="s">
        <v>29</v>
      </c>
      <c r="G1731" s="12" t="s">
        <v>4918</v>
      </c>
      <c r="H1731" s="12" t="s">
        <v>4919</v>
      </c>
      <c r="I1731" s="10"/>
      <c r="J1731" s="10"/>
      <c r="K1731" s="12"/>
    </row>
    <row r="1732" ht="15.75" customHeight="1">
      <c r="A1732" s="3" t="s">
        <v>12</v>
      </c>
      <c r="B1732" s="3" t="s">
        <v>359</v>
      </c>
      <c r="C1732" s="3" t="s">
        <v>9582</v>
      </c>
      <c r="D1732" s="8" t="str">
        <f t="shared" si="1"/>
        <v>Abrir anúncio ↗</v>
      </c>
      <c r="E1732" s="9" t="s">
        <v>9583</v>
      </c>
      <c r="F1732" s="3" t="s">
        <v>29</v>
      </c>
      <c r="G1732" s="9" t="s">
        <v>4918</v>
      </c>
      <c r="H1732" s="9" t="s">
        <v>4919</v>
      </c>
      <c r="I1732" s="3"/>
      <c r="J1732" s="3"/>
      <c r="K1732" s="9"/>
    </row>
    <row r="1733" ht="15.75" customHeight="1">
      <c r="A1733" s="10" t="s">
        <v>12</v>
      </c>
      <c r="B1733" s="10" t="s">
        <v>359</v>
      </c>
      <c r="C1733" s="10" t="s">
        <v>8165</v>
      </c>
      <c r="D1733" s="11" t="str">
        <f t="shared" si="1"/>
        <v>Abrir anúncio ↗</v>
      </c>
      <c r="E1733" s="12" t="s">
        <v>7638</v>
      </c>
      <c r="F1733" s="10" t="s">
        <v>29</v>
      </c>
      <c r="G1733" s="12" t="s">
        <v>9253</v>
      </c>
      <c r="H1733" s="12" t="s">
        <v>9254</v>
      </c>
      <c r="I1733" s="10"/>
      <c r="J1733" s="10"/>
      <c r="K1733" s="12"/>
    </row>
    <row r="1734" ht="15.75" customHeight="1">
      <c r="A1734" s="3" t="s">
        <v>12</v>
      </c>
      <c r="B1734" s="3" t="s">
        <v>359</v>
      </c>
      <c r="C1734" s="3" t="s">
        <v>9584</v>
      </c>
      <c r="D1734" s="8" t="str">
        <f t="shared" si="1"/>
        <v>Abrir anúncio ↗</v>
      </c>
      <c r="E1734" s="9" t="s">
        <v>9585</v>
      </c>
      <c r="F1734" s="3" t="s">
        <v>29</v>
      </c>
      <c r="G1734" s="9" t="s">
        <v>9253</v>
      </c>
      <c r="H1734" s="9" t="s">
        <v>9254</v>
      </c>
      <c r="I1734" s="3"/>
      <c r="J1734" s="3"/>
      <c r="K1734" s="9"/>
    </row>
    <row r="1735" ht="15.75" customHeight="1">
      <c r="A1735" s="10" t="s">
        <v>12</v>
      </c>
      <c r="B1735" s="10" t="s">
        <v>359</v>
      </c>
      <c r="C1735" s="10" t="s">
        <v>9586</v>
      </c>
      <c r="D1735" s="11" t="str">
        <f t="shared" si="1"/>
        <v>Abrir anúncio ↗</v>
      </c>
      <c r="E1735" s="12" t="s">
        <v>9587</v>
      </c>
      <c r="F1735" s="10" t="s">
        <v>29</v>
      </c>
      <c r="G1735" s="12" t="s">
        <v>9253</v>
      </c>
      <c r="H1735" s="12" t="s">
        <v>9254</v>
      </c>
      <c r="I1735" s="10"/>
      <c r="J1735" s="10"/>
      <c r="K1735" s="12"/>
    </row>
    <row r="1736" ht="15.75" customHeight="1">
      <c r="A1736" s="3" t="s">
        <v>12</v>
      </c>
      <c r="B1736" s="3" t="s">
        <v>359</v>
      </c>
      <c r="C1736" s="3" t="s">
        <v>9588</v>
      </c>
      <c r="D1736" s="8" t="str">
        <f t="shared" si="1"/>
        <v>Abrir anúncio ↗</v>
      </c>
      <c r="E1736" s="9" t="s">
        <v>9589</v>
      </c>
      <c r="F1736" s="3" t="s">
        <v>29</v>
      </c>
      <c r="G1736" s="9" t="s">
        <v>9253</v>
      </c>
      <c r="H1736" s="9" t="s">
        <v>9254</v>
      </c>
      <c r="I1736" s="3"/>
      <c r="J1736" s="3"/>
      <c r="K1736" s="9"/>
    </row>
    <row r="1737" ht="15.75" customHeight="1">
      <c r="A1737" s="10" t="s">
        <v>12</v>
      </c>
      <c r="B1737" s="10" t="s">
        <v>359</v>
      </c>
      <c r="C1737" s="10" t="s">
        <v>9590</v>
      </c>
      <c r="D1737" s="11" t="str">
        <f t="shared" si="1"/>
        <v>Abrir anúncio ↗</v>
      </c>
      <c r="E1737" s="12" t="s">
        <v>9591</v>
      </c>
      <c r="F1737" s="10" t="s">
        <v>29</v>
      </c>
      <c r="G1737" s="12" t="s">
        <v>4918</v>
      </c>
      <c r="H1737" s="12" t="s">
        <v>4919</v>
      </c>
      <c r="I1737" s="10"/>
      <c r="J1737" s="10"/>
      <c r="K1737" s="12"/>
    </row>
    <row r="1738" ht="15.75" customHeight="1">
      <c r="A1738" s="3" t="s">
        <v>12</v>
      </c>
      <c r="B1738" s="3" t="s">
        <v>359</v>
      </c>
      <c r="C1738" s="3" t="s">
        <v>7436</v>
      </c>
      <c r="D1738" s="8" t="str">
        <f t="shared" si="1"/>
        <v>Abrir anúncio ↗</v>
      </c>
      <c r="E1738" s="9" t="s">
        <v>7430</v>
      </c>
      <c r="F1738" s="3" t="s">
        <v>29</v>
      </c>
      <c r="G1738" s="9" t="s">
        <v>4918</v>
      </c>
      <c r="H1738" s="9" t="s">
        <v>4919</v>
      </c>
      <c r="I1738" s="3"/>
      <c r="J1738" s="3"/>
      <c r="K1738" s="9"/>
    </row>
    <row r="1739" ht="15.75" customHeight="1">
      <c r="A1739" s="10" t="s">
        <v>12</v>
      </c>
      <c r="B1739" s="10" t="s">
        <v>359</v>
      </c>
      <c r="C1739" s="10" t="s">
        <v>9592</v>
      </c>
      <c r="D1739" s="11" t="str">
        <f t="shared" si="1"/>
        <v>Abrir anúncio ↗</v>
      </c>
      <c r="E1739" s="12" t="s">
        <v>9593</v>
      </c>
      <c r="F1739" s="10" t="s">
        <v>29</v>
      </c>
      <c r="G1739" s="12" t="s">
        <v>9514</v>
      </c>
      <c r="H1739" s="12" t="s">
        <v>9515</v>
      </c>
      <c r="I1739" s="10"/>
      <c r="J1739" s="10"/>
      <c r="K1739" s="12"/>
    </row>
    <row r="1740" ht="15.75" customHeight="1">
      <c r="A1740" s="3" t="s">
        <v>12</v>
      </c>
      <c r="B1740" s="3" t="s">
        <v>359</v>
      </c>
      <c r="C1740" s="3" t="s">
        <v>9594</v>
      </c>
      <c r="D1740" s="8" t="str">
        <f t="shared" si="1"/>
        <v>Abrir anúncio ↗</v>
      </c>
      <c r="E1740" s="9" t="s">
        <v>9595</v>
      </c>
      <c r="F1740" s="3" t="s">
        <v>29</v>
      </c>
      <c r="G1740" s="9" t="s">
        <v>4918</v>
      </c>
      <c r="H1740" s="9" t="s">
        <v>4919</v>
      </c>
      <c r="I1740" s="3"/>
      <c r="J1740" s="3"/>
      <c r="K1740" s="9"/>
    </row>
    <row r="1741" ht="15.75" customHeight="1">
      <c r="A1741" s="10" t="s">
        <v>12</v>
      </c>
      <c r="B1741" s="10" t="s">
        <v>359</v>
      </c>
      <c r="C1741" s="10" t="s">
        <v>8492</v>
      </c>
      <c r="D1741" s="11" t="str">
        <f t="shared" si="1"/>
        <v>Abrir anúncio ↗</v>
      </c>
      <c r="E1741" s="12" t="s">
        <v>616</v>
      </c>
      <c r="F1741" s="10" t="s">
        <v>29</v>
      </c>
      <c r="G1741" s="12" t="s">
        <v>9514</v>
      </c>
      <c r="H1741" s="12" t="s">
        <v>9515</v>
      </c>
      <c r="I1741" s="10"/>
      <c r="J1741" s="10"/>
      <c r="K1741" s="12"/>
    </row>
    <row r="1742" ht="15.75" customHeight="1">
      <c r="A1742" s="3" t="s">
        <v>12</v>
      </c>
      <c r="B1742" s="3" t="s">
        <v>359</v>
      </c>
      <c r="C1742" s="3" t="s">
        <v>9596</v>
      </c>
      <c r="D1742" s="8" t="str">
        <f t="shared" si="1"/>
        <v>Abrir anúncio ↗</v>
      </c>
      <c r="E1742" s="9" t="s">
        <v>9597</v>
      </c>
      <c r="F1742" s="3" t="s">
        <v>29</v>
      </c>
      <c r="G1742" s="9" t="s">
        <v>9514</v>
      </c>
      <c r="H1742" s="9" t="s">
        <v>9515</v>
      </c>
      <c r="I1742" s="3"/>
      <c r="J1742" s="3"/>
      <c r="K1742" s="9"/>
    </row>
    <row r="1743" ht="15.75" customHeight="1">
      <c r="A1743" s="10" t="s">
        <v>12</v>
      </c>
      <c r="B1743" s="10" t="s">
        <v>359</v>
      </c>
      <c r="C1743" s="10" t="s">
        <v>9598</v>
      </c>
      <c r="D1743" s="11" t="str">
        <f t="shared" si="1"/>
        <v>Abrir anúncio ↗</v>
      </c>
      <c r="E1743" s="12" t="s">
        <v>9599</v>
      </c>
      <c r="F1743" s="10" t="s">
        <v>29</v>
      </c>
      <c r="G1743" s="12" t="s">
        <v>9253</v>
      </c>
      <c r="H1743" s="12" t="s">
        <v>9254</v>
      </c>
      <c r="I1743" s="10"/>
      <c r="J1743" s="10"/>
      <c r="K1743" s="12"/>
    </row>
    <row r="1744" ht="15.75" customHeight="1">
      <c r="A1744" s="3" t="s">
        <v>12</v>
      </c>
      <c r="B1744" s="3" t="s">
        <v>359</v>
      </c>
      <c r="C1744" s="3" t="s">
        <v>9600</v>
      </c>
      <c r="D1744" s="8" t="str">
        <f t="shared" si="1"/>
        <v>Abrir anúncio ↗</v>
      </c>
      <c r="E1744" s="9" t="s">
        <v>9601</v>
      </c>
      <c r="F1744" s="3" t="s">
        <v>29</v>
      </c>
      <c r="G1744" s="9" t="s">
        <v>4918</v>
      </c>
      <c r="H1744" s="9" t="s">
        <v>4919</v>
      </c>
      <c r="I1744" s="3"/>
      <c r="J1744" s="3"/>
      <c r="K1744" s="9"/>
    </row>
    <row r="1745" ht="15.75" customHeight="1">
      <c r="A1745" s="10" t="s">
        <v>12</v>
      </c>
      <c r="B1745" s="10" t="s">
        <v>359</v>
      </c>
      <c r="C1745" s="10" t="s">
        <v>9602</v>
      </c>
      <c r="D1745" s="11" t="str">
        <f t="shared" si="1"/>
        <v>Abrir anúncio ↗</v>
      </c>
      <c r="E1745" s="12" t="s">
        <v>9603</v>
      </c>
      <c r="F1745" s="10" t="s">
        <v>29</v>
      </c>
      <c r="G1745" s="12" t="s">
        <v>4918</v>
      </c>
      <c r="H1745" s="12" t="s">
        <v>4919</v>
      </c>
      <c r="I1745" s="10"/>
      <c r="J1745" s="10"/>
      <c r="K1745" s="12"/>
    </row>
    <row r="1746" ht="15.75" customHeight="1">
      <c r="A1746" s="3" t="s">
        <v>12</v>
      </c>
      <c r="B1746" s="3" t="s">
        <v>359</v>
      </c>
      <c r="C1746" s="3" t="s">
        <v>9604</v>
      </c>
      <c r="D1746" s="8" t="str">
        <f t="shared" si="1"/>
        <v>Abrir anúncio ↗</v>
      </c>
      <c r="E1746" s="9" t="s">
        <v>9605</v>
      </c>
      <c r="F1746" s="3" t="s">
        <v>29</v>
      </c>
      <c r="G1746" s="9" t="s">
        <v>9253</v>
      </c>
      <c r="H1746" s="9" t="s">
        <v>9254</v>
      </c>
      <c r="I1746" s="3"/>
      <c r="J1746" s="3"/>
      <c r="K1746" s="9"/>
    </row>
    <row r="1747" ht="15.75" customHeight="1">
      <c r="A1747" s="10" t="s">
        <v>12</v>
      </c>
      <c r="B1747" s="10" t="s">
        <v>359</v>
      </c>
      <c r="C1747" s="10" t="s">
        <v>9606</v>
      </c>
      <c r="D1747" s="11" t="str">
        <f t="shared" si="1"/>
        <v>Abrir anúncio ↗</v>
      </c>
      <c r="E1747" s="12" t="s">
        <v>9607</v>
      </c>
      <c r="F1747" s="10" t="s">
        <v>29</v>
      </c>
      <c r="G1747" s="12" t="s">
        <v>9514</v>
      </c>
      <c r="H1747" s="12" t="s">
        <v>9515</v>
      </c>
      <c r="I1747" s="10"/>
      <c r="J1747" s="10"/>
      <c r="K1747" s="12"/>
    </row>
    <row r="1748" ht="15.75" customHeight="1">
      <c r="A1748" s="3" t="s">
        <v>12</v>
      </c>
      <c r="B1748" s="3" t="s">
        <v>359</v>
      </c>
      <c r="C1748" s="3" t="s">
        <v>9608</v>
      </c>
      <c r="D1748" s="8" t="str">
        <f t="shared" si="1"/>
        <v>Abrir anúncio ↗</v>
      </c>
      <c r="E1748" s="9" t="s">
        <v>9609</v>
      </c>
      <c r="F1748" s="3" t="s">
        <v>29</v>
      </c>
      <c r="G1748" s="9" t="s">
        <v>9253</v>
      </c>
      <c r="H1748" s="9" t="s">
        <v>9254</v>
      </c>
      <c r="I1748" s="3"/>
      <c r="J1748" s="3"/>
      <c r="K1748" s="9"/>
    </row>
    <row r="1749" ht="15.75" customHeight="1">
      <c r="A1749" s="10" t="s">
        <v>12</v>
      </c>
      <c r="B1749" s="10" t="s">
        <v>359</v>
      </c>
      <c r="C1749" s="10" t="s">
        <v>9610</v>
      </c>
      <c r="D1749" s="11" t="str">
        <f t="shared" si="1"/>
        <v>Abrir anúncio ↗</v>
      </c>
      <c r="E1749" s="12" t="s">
        <v>9611</v>
      </c>
      <c r="F1749" s="10" t="s">
        <v>29</v>
      </c>
      <c r="G1749" s="12" t="s">
        <v>9253</v>
      </c>
      <c r="H1749" s="12" t="s">
        <v>9254</v>
      </c>
      <c r="I1749" s="10"/>
      <c r="J1749" s="10"/>
      <c r="K1749" s="12"/>
    </row>
    <row r="1750" ht="15.75" customHeight="1">
      <c r="A1750" s="3" t="s">
        <v>12</v>
      </c>
      <c r="B1750" s="3" t="s">
        <v>359</v>
      </c>
      <c r="C1750" s="3" t="s">
        <v>8095</v>
      </c>
      <c r="D1750" s="8" t="str">
        <f t="shared" si="1"/>
        <v>Abrir anúncio ↗</v>
      </c>
      <c r="E1750" s="9" t="s">
        <v>8091</v>
      </c>
      <c r="F1750" s="3" t="s">
        <v>29</v>
      </c>
      <c r="G1750" s="9" t="s">
        <v>9253</v>
      </c>
      <c r="H1750" s="9" t="s">
        <v>9254</v>
      </c>
      <c r="I1750" s="3"/>
      <c r="J1750" s="3"/>
      <c r="K1750" s="9"/>
    </row>
    <row r="1751" ht="15.75" customHeight="1">
      <c r="A1751" s="10" t="s">
        <v>12</v>
      </c>
      <c r="B1751" s="10" t="s">
        <v>359</v>
      </c>
      <c r="C1751" s="10" t="s">
        <v>9612</v>
      </c>
      <c r="D1751" s="11" t="str">
        <f t="shared" si="1"/>
        <v>Abrir anúncio ↗</v>
      </c>
      <c r="E1751" s="12" t="s">
        <v>9613</v>
      </c>
      <c r="F1751" s="10" t="s">
        <v>29</v>
      </c>
      <c r="G1751" s="12" t="s">
        <v>9514</v>
      </c>
      <c r="H1751" s="12" t="s">
        <v>9515</v>
      </c>
      <c r="I1751" s="10"/>
      <c r="J1751" s="10"/>
      <c r="K1751" s="12"/>
    </row>
    <row r="1752" ht="15.75" customHeight="1">
      <c r="A1752" s="3" t="s">
        <v>12</v>
      </c>
      <c r="B1752" s="3" t="s">
        <v>359</v>
      </c>
      <c r="C1752" s="3" t="s">
        <v>9614</v>
      </c>
      <c r="D1752" s="8" t="str">
        <f t="shared" si="1"/>
        <v>Abrir anúncio ↗</v>
      </c>
      <c r="E1752" s="9" t="s">
        <v>9615</v>
      </c>
      <c r="F1752" s="3" t="s">
        <v>29</v>
      </c>
      <c r="G1752" s="9" t="s">
        <v>4918</v>
      </c>
      <c r="H1752" s="9" t="s">
        <v>4919</v>
      </c>
      <c r="I1752" s="3"/>
      <c r="J1752" s="3"/>
      <c r="K1752" s="9"/>
    </row>
    <row r="1753" ht="15.75" customHeight="1">
      <c r="A1753" s="10" t="s">
        <v>12</v>
      </c>
      <c r="B1753" s="10" t="s">
        <v>359</v>
      </c>
      <c r="C1753" s="10" t="s">
        <v>9616</v>
      </c>
      <c r="D1753" s="11" t="str">
        <f t="shared" si="1"/>
        <v>Abrir anúncio ↗</v>
      </c>
      <c r="E1753" s="12" t="s">
        <v>9617</v>
      </c>
      <c r="F1753" s="10" t="s">
        <v>29</v>
      </c>
      <c r="G1753" s="12" t="s">
        <v>9514</v>
      </c>
      <c r="H1753" s="12" t="s">
        <v>9515</v>
      </c>
      <c r="I1753" s="10"/>
      <c r="J1753" s="10"/>
      <c r="K1753" s="12"/>
    </row>
    <row r="1754" ht="15.75" customHeight="1">
      <c r="A1754" s="3" t="s">
        <v>12</v>
      </c>
      <c r="B1754" s="3" t="s">
        <v>359</v>
      </c>
      <c r="C1754" s="3" t="s">
        <v>9618</v>
      </c>
      <c r="D1754" s="8" t="str">
        <f t="shared" si="1"/>
        <v>Abrir anúncio ↗</v>
      </c>
      <c r="E1754" s="9" t="s">
        <v>9619</v>
      </c>
      <c r="F1754" s="3" t="s">
        <v>29</v>
      </c>
      <c r="G1754" s="9" t="s">
        <v>9253</v>
      </c>
      <c r="H1754" s="9" t="s">
        <v>9254</v>
      </c>
      <c r="I1754" s="3"/>
      <c r="J1754" s="3"/>
      <c r="K1754" s="9"/>
    </row>
    <row r="1755" ht="15.75" customHeight="1">
      <c r="A1755" s="10" t="s">
        <v>12</v>
      </c>
      <c r="B1755" s="10" t="s">
        <v>359</v>
      </c>
      <c r="C1755" s="10" t="s">
        <v>9620</v>
      </c>
      <c r="D1755" s="11" t="str">
        <f t="shared" si="1"/>
        <v>Abrir anúncio ↗</v>
      </c>
      <c r="E1755" s="12" t="s">
        <v>9621</v>
      </c>
      <c r="F1755" s="10" t="s">
        <v>29</v>
      </c>
      <c r="G1755" s="12" t="s">
        <v>9514</v>
      </c>
      <c r="H1755" s="12" t="s">
        <v>9515</v>
      </c>
      <c r="I1755" s="10"/>
      <c r="J1755" s="10"/>
      <c r="K1755" s="12"/>
    </row>
    <row r="1756" ht="15.75" customHeight="1">
      <c r="A1756" s="3" t="s">
        <v>12</v>
      </c>
      <c r="B1756" s="3" t="s">
        <v>359</v>
      </c>
      <c r="C1756" s="3" t="s">
        <v>9622</v>
      </c>
      <c r="D1756" s="8" t="str">
        <f t="shared" si="1"/>
        <v>Abrir anúncio ↗</v>
      </c>
      <c r="E1756" s="9" t="s">
        <v>9623</v>
      </c>
      <c r="F1756" s="3" t="s">
        <v>29</v>
      </c>
      <c r="G1756" s="9" t="s">
        <v>9514</v>
      </c>
      <c r="H1756" s="9" t="s">
        <v>9515</v>
      </c>
      <c r="I1756" s="3"/>
      <c r="J1756" s="3"/>
      <c r="K1756" s="9"/>
    </row>
    <row r="1757" ht="15.75" customHeight="1">
      <c r="A1757" s="10" t="s">
        <v>12</v>
      </c>
      <c r="B1757" s="10" t="s">
        <v>359</v>
      </c>
      <c r="C1757" s="10" t="s">
        <v>9624</v>
      </c>
      <c r="D1757" s="11" t="str">
        <f t="shared" si="1"/>
        <v>Abrir anúncio ↗</v>
      </c>
      <c r="E1757" s="12" t="s">
        <v>9625</v>
      </c>
      <c r="F1757" s="10" t="s">
        <v>29</v>
      </c>
      <c r="G1757" s="12" t="s">
        <v>9253</v>
      </c>
      <c r="H1757" s="12" t="s">
        <v>9254</v>
      </c>
      <c r="I1757" s="10"/>
      <c r="J1757" s="10"/>
      <c r="K1757" s="12"/>
    </row>
    <row r="1758" ht="15.75" customHeight="1">
      <c r="A1758" s="3" t="s">
        <v>12</v>
      </c>
      <c r="B1758" s="3" t="s">
        <v>359</v>
      </c>
      <c r="C1758" s="3" t="s">
        <v>9626</v>
      </c>
      <c r="D1758" s="8" t="str">
        <f t="shared" si="1"/>
        <v>Abrir anúncio ↗</v>
      </c>
      <c r="E1758" s="9" t="s">
        <v>9627</v>
      </c>
      <c r="F1758" s="3" t="s">
        <v>29</v>
      </c>
      <c r="G1758" s="9" t="s">
        <v>9253</v>
      </c>
      <c r="H1758" s="9" t="s">
        <v>9254</v>
      </c>
      <c r="I1758" s="3"/>
      <c r="J1758" s="3"/>
      <c r="K1758" s="9"/>
    </row>
    <row r="1759" ht="15.75" customHeight="1">
      <c r="A1759" s="10" t="s">
        <v>12</v>
      </c>
      <c r="B1759" s="10" t="s">
        <v>359</v>
      </c>
      <c r="C1759" s="10" t="s">
        <v>9628</v>
      </c>
      <c r="D1759" s="11" t="str">
        <f t="shared" si="1"/>
        <v>Abrir anúncio ↗</v>
      </c>
      <c r="E1759" s="12" t="s">
        <v>9629</v>
      </c>
      <c r="F1759" s="10" t="s">
        <v>29</v>
      </c>
      <c r="G1759" s="12" t="s">
        <v>9514</v>
      </c>
      <c r="H1759" s="12" t="s">
        <v>9515</v>
      </c>
      <c r="I1759" s="10"/>
      <c r="J1759" s="10"/>
      <c r="K1759" s="12"/>
    </row>
    <row r="1760" ht="15.75" customHeight="1">
      <c r="A1760" s="3" t="s">
        <v>12</v>
      </c>
      <c r="B1760" s="3" t="s">
        <v>359</v>
      </c>
      <c r="C1760" s="3" t="s">
        <v>9630</v>
      </c>
      <c r="D1760" s="8" t="str">
        <f t="shared" si="1"/>
        <v>Abrir anúncio ↗</v>
      </c>
      <c r="E1760" s="9" t="s">
        <v>9631</v>
      </c>
      <c r="F1760" s="3" t="s">
        <v>29</v>
      </c>
      <c r="G1760" s="9" t="s">
        <v>9253</v>
      </c>
      <c r="H1760" s="9" t="s">
        <v>9254</v>
      </c>
      <c r="I1760" s="3"/>
      <c r="J1760" s="3"/>
      <c r="K1760" s="9"/>
    </row>
    <row r="1761" ht="15.75" customHeight="1">
      <c r="A1761" s="10" t="s">
        <v>12</v>
      </c>
      <c r="B1761" s="10" t="s">
        <v>359</v>
      </c>
      <c r="C1761" s="10" t="s">
        <v>9632</v>
      </c>
      <c r="D1761" s="11" t="str">
        <f t="shared" si="1"/>
        <v>Abrir anúncio ↗</v>
      </c>
      <c r="E1761" s="12" t="s">
        <v>9633</v>
      </c>
      <c r="F1761" s="10" t="s">
        <v>29</v>
      </c>
      <c r="G1761" s="12" t="s">
        <v>9514</v>
      </c>
      <c r="H1761" s="12" t="s">
        <v>9515</v>
      </c>
      <c r="I1761" s="10"/>
      <c r="J1761" s="10"/>
      <c r="K1761" s="12"/>
    </row>
    <row r="1762" ht="15.75" customHeight="1">
      <c r="A1762" s="3" t="s">
        <v>12</v>
      </c>
      <c r="B1762" s="3" t="s">
        <v>359</v>
      </c>
      <c r="C1762" s="3" t="s">
        <v>9634</v>
      </c>
      <c r="D1762" s="8" t="str">
        <f t="shared" si="1"/>
        <v>Abrir anúncio ↗</v>
      </c>
      <c r="E1762" s="9" t="s">
        <v>9635</v>
      </c>
      <c r="F1762" s="3" t="s">
        <v>29</v>
      </c>
      <c r="G1762" s="9" t="s">
        <v>5013</v>
      </c>
      <c r="H1762" s="9" t="s">
        <v>5015</v>
      </c>
      <c r="I1762" s="3"/>
      <c r="J1762" s="3"/>
      <c r="K1762" s="9"/>
    </row>
    <row r="1763" ht="15.75" customHeight="1">
      <c r="A1763" s="10" t="s">
        <v>12</v>
      </c>
      <c r="B1763" s="10" t="s">
        <v>359</v>
      </c>
      <c r="C1763" s="10" t="s">
        <v>9636</v>
      </c>
      <c r="D1763" s="11" t="str">
        <f t="shared" si="1"/>
        <v>Abrir anúncio ↗</v>
      </c>
      <c r="E1763" s="12" t="s">
        <v>9637</v>
      </c>
      <c r="F1763" s="10" t="s">
        <v>29</v>
      </c>
      <c r="G1763" s="12" t="s">
        <v>5013</v>
      </c>
      <c r="H1763" s="12" t="s">
        <v>5015</v>
      </c>
      <c r="I1763" s="10"/>
      <c r="J1763" s="10"/>
      <c r="K1763" s="12"/>
    </row>
    <row r="1764" ht="15.75" customHeight="1">
      <c r="A1764" s="3" t="s">
        <v>12</v>
      </c>
      <c r="B1764" s="3" t="s">
        <v>359</v>
      </c>
      <c r="C1764" s="3" t="s">
        <v>9638</v>
      </c>
      <c r="D1764" s="8" t="str">
        <f t="shared" si="1"/>
        <v>Abrir anúncio ↗</v>
      </c>
      <c r="E1764" s="9" t="s">
        <v>9639</v>
      </c>
      <c r="F1764" s="3" t="s">
        <v>29</v>
      </c>
      <c r="G1764" s="9" t="s">
        <v>9253</v>
      </c>
      <c r="H1764" s="9" t="s">
        <v>9254</v>
      </c>
      <c r="I1764" s="3"/>
      <c r="J1764" s="3"/>
      <c r="K1764" s="9"/>
    </row>
    <row r="1765" ht="15.75" customHeight="1">
      <c r="A1765" s="10" t="s">
        <v>12</v>
      </c>
      <c r="B1765" s="10" t="s">
        <v>359</v>
      </c>
      <c r="C1765" s="10" t="s">
        <v>9640</v>
      </c>
      <c r="D1765" s="11" t="str">
        <f t="shared" si="1"/>
        <v>Abrir anúncio ↗</v>
      </c>
      <c r="E1765" s="12" t="s">
        <v>9641</v>
      </c>
      <c r="F1765" s="10" t="s">
        <v>29</v>
      </c>
      <c r="G1765" s="12" t="s">
        <v>9253</v>
      </c>
      <c r="H1765" s="12" t="s">
        <v>9254</v>
      </c>
      <c r="I1765" s="10"/>
      <c r="J1765" s="10"/>
      <c r="K1765" s="12"/>
    </row>
    <row r="1766" ht="15.75" customHeight="1">
      <c r="A1766" s="3" t="s">
        <v>12</v>
      </c>
      <c r="B1766" s="3" t="s">
        <v>359</v>
      </c>
      <c r="C1766" s="3" t="s">
        <v>9642</v>
      </c>
      <c r="D1766" s="8" t="str">
        <f t="shared" si="1"/>
        <v>Abrir anúncio ↗</v>
      </c>
      <c r="E1766" s="9" t="s">
        <v>9643</v>
      </c>
      <c r="F1766" s="3" t="s">
        <v>29</v>
      </c>
      <c r="G1766" s="9" t="s">
        <v>9514</v>
      </c>
      <c r="H1766" s="9" t="s">
        <v>9515</v>
      </c>
      <c r="I1766" s="3"/>
      <c r="J1766" s="3"/>
      <c r="K1766" s="9"/>
    </row>
    <row r="1767" ht="15.75" customHeight="1">
      <c r="A1767" s="10" t="s">
        <v>12</v>
      </c>
      <c r="B1767" s="10" t="s">
        <v>359</v>
      </c>
      <c r="C1767" s="10" t="s">
        <v>9644</v>
      </c>
      <c r="D1767" s="11" t="str">
        <f t="shared" si="1"/>
        <v>Abrir anúncio ↗</v>
      </c>
      <c r="E1767" s="12" t="s">
        <v>9645</v>
      </c>
      <c r="F1767" s="10" t="s">
        <v>29</v>
      </c>
      <c r="G1767" s="12" t="s">
        <v>9253</v>
      </c>
      <c r="H1767" s="12" t="s">
        <v>9254</v>
      </c>
      <c r="I1767" s="10"/>
      <c r="J1767" s="10"/>
      <c r="K1767" s="12"/>
    </row>
    <row r="1768" ht="15.75" customHeight="1">
      <c r="A1768" s="3" t="s">
        <v>12</v>
      </c>
      <c r="B1768" s="3" t="s">
        <v>359</v>
      </c>
      <c r="C1768" s="3" t="s">
        <v>9646</v>
      </c>
      <c r="D1768" s="8" t="str">
        <f t="shared" si="1"/>
        <v>Abrir anúncio ↗</v>
      </c>
      <c r="E1768" s="9" t="s">
        <v>9647</v>
      </c>
      <c r="F1768" s="3" t="s">
        <v>29</v>
      </c>
      <c r="G1768" s="9" t="s">
        <v>9514</v>
      </c>
      <c r="H1768" s="9" t="s">
        <v>9515</v>
      </c>
      <c r="I1768" s="3"/>
      <c r="J1768" s="3"/>
      <c r="K1768" s="9"/>
    </row>
    <row r="1769" ht="15.75" customHeight="1">
      <c r="A1769" s="10" t="s">
        <v>12</v>
      </c>
      <c r="B1769" s="10" t="s">
        <v>359</v>
      </c>
      <c r="C1769" s="10" t="s">
        <v>7545</v>
      </c>
      <c r="D1769" s="11" t="str">
        <f t="shared" si="1"/>
        <v>Abrir anúncio ↗</v>
      </c>
      <c r="E1769" s="12" t="s">
        <v>7543</v>
      </c>
      <c r="F1769" s="10" t="s">
        <v>29</v>
      </c>
      <c r="G1769" s="12" t="s">
        <v>4918</v>
      </c>
      <c r="H1769" s="12" t="s">
        <v>4919</v>
      </c>
      <c r="I1769" s="10"/>
      <c r="J1769" s="10"/>
      <c r="K1769" s="12"/>
    </row>
    <row r="1770" ht="15.75" customHeight="1">
      <c r="A1770" s="3" t="s">
        <v>12</v>
      </c>
      <c r="B1770" s="3" t="s">
        <v>359</v>
      </c>
      <c r="C1770" s="3" t="s">
        <v>7528</v>
      </c>
      <c r="D1770" s="8" t="str">
        <f t="shared" si="1"/>
        <v>Abrir anúncio ↗</v>
      </c>
      <c r="E1770" s="9" t="s">
        <v>7524</v>
      </c>
      <c r="F1770" s="3" t="s">
        <v>29</v>
      </c>
      <c r="G1770" s="9" t="s">
        <v>9253</v>
      </c>
      <c r="H1770" s="9" t="s">
        <v>9254</v>
      </c>
      <c r="I1770" s="3"/>
      <c r="J1770" s="3"/>
      <c r="K1770" s="9"/>
    </row>
    <row r="1771" ht="15.75" customHeight="1">
      <c r="A1771" s="10" t="s">
        <v>12</v>
      </c>
      <c r="B1771" s="10" t="s">
        <v>359</v>
      </c>
      <c r="C1771" s="10" t="s">
        <v>9648</v>
      </c>
      <c r="D1771" s="11" t="str">
        <f t="shared" si="1"/>
        <v>Abrir anúncio ↗</v>
      </c>
      <c r="E1771" s="12" t="s">
        <v>9649</v>
      </c>
      <c r="F1771" s="10" t="s">
        <v>29</v>
      </c>
      <c r="G1771" s="12" t="s">
        <v>9514</v>
      </c>
      <c r="H1771" s="12" t="s">
        <v>9515</v>
      </c>
      <c r="I1771" s="10"/>
      <c r="J1771" s="10"/>
      <c r="K1771" s="12"/>
    </row>
    <row r="1772" ht="15.75" customHeight="1">
      <c r="A1772" s="3" t="s">
        <v>12</v>
      </c>
      <c r="B1772" s="3" t="s">
        <v>359</v>
      </c>
      <c r="C1772" s="3" t="s">
        <v>9650</v>
      </c>
      <c r="D1772" s="8" t="str">
        <f t="shared" si="1"/>
        <v>Abrir anúncio ↗</v>
      </c>
      <c r="E1772" s="9" t="s">
        <v>9651</v>
      </c>
      <c r="F1772" s="3" t="s">
        <v>29</v>
      </c>
      <c r="G1772" s="9" t="s">
        <v>5013</v>
      </c>
      <c r="H1772" s="9" t="s">
        <v>5015</v>
      </c>
      <c r="I1772" s="3"/>
      <c r="J1772" s="3"/>
      <c r="K1772" s="9"/>
    </row>
    <row r="1773" ht="15.75" customHeight="1">
      <c r="A1773" s="10" t="s">
        <v>12</v>
      </c>
      <c r="B1773" s="10" t="s">
        <v>359</v>
      </c>
      <c r="C1773" s="10" t="s">
        <v>9652</v>
      </c>
      <c r="D1773" s="11" t="str">
        <f t="shared" si="1"/>
        <v>Abrir anúncio ↗</v>
      </c>
      <c r="E1773" s="12" t="s">
        <v>9653</v>
      </c>
      <c r="F1773" s="10" t="s">
        <v>29</v>
      </c>
      <c r="G1773" s="12" t="s">
        <v>9514</v>
      </c>
      <c r="H1773" s="12" t="s">
        <v>9515</v>
      </c>
      <c r="I1773" s="10"/>
      <c r="J1773" s="10"/>
      <c r="K1773" s="12"/>
    </row>
    <row r="1774" ht="15.75" customHeight="1">
      <c r="A1774" s="3" t="s">
        <v>12</v>
      </c>
      <c r="B1774" s="3" t="s">
        <v>359</v>
      </c>
      <c r="C1774" s="3" t="s">
        <v>9654</v>
      </c>
      <c r="D1774" s="8" t="str">
        <f t="shared" si="1"/>
        <v>Abrir anúncio ↗</v>
      </c>
      <c r="E1774" s="9" t="s">
        <v>9655</v>
      </c>
      <c r="F1774" s="3" t="s">
        <v>29</v>
      </c>
      <c r="G1774" s="9" t="s">
        <v>9253</v>
      </c>
      <c r="H1774" s="9" t="s">
        <v>9254</v>
      </c>
      <c r="I1774" s="3"/>
      <c r="J1774" s="3"/>
      <c r="K1774" s="9"/>
    </row>
    <row r="1775" ht="15.75" customHeight="1">
      <c r="A1775" s="10" t="s">
        <v>12</v>
      </c>
      <c r="B1775" s="10" t="s">
        <v>359</v>
      </c>
      <c r="C1775" s="10" t="s">
        <v>9656</v>
      </c>
      <c r="D1775" s="11" t="str">
        <f t="shared" si="1"/>
        <v>Abrir anúncio ↗</v>
      </c>
      <c r="E1775" s="12" t="s">
        <v>9657</v>
      </c>
      <c r="F1775" s="10" t="s">
        <v>29</v>
      </c>
      <c r="G1775" s="12" t="s">
        <v>9514</v>
      </c>
      <c r="H1775" s="12" t="s">
        <v>9515</v>
      </c>
      <c r="I1775" s="10"/>
      <c r="J1775" s="10"/>
      <c r="K1775" s="12"/>
    </row>
    <row r="1776" ht="15.75" customHeight="1">
      <c r="A1776" s="3" t="s">
        <v>12</v>
      </c>
      <c r="B1776" s="3" t="s">
        <v>359</v>
      </c>
      <c r="C1776" s="3" t="s">
        <v>9658</v>
      </c>
      <c r="D1776" s="8" t="str">
        <f t="shared" si="1"/>
        <v>Abrir anúncio ↗</v>
      </c>
      <c r="E1776" s="9" t="s">
        <v>9659</v>
      </c>
      <c r="F1776" s="3" t="s">
        <v>29</v>
      </c>
      <c r="G1776" s="9" t="s">
        <v>9253</v>
      </c>
      <c r="H1776" s="9" t="s">
        <v>9254</v>
      </c>
      <c r="I1776" s="3"/>
      <c r="J1776" s="3"/>
      <c r="K1776" s="9"/>
    </row>
    <row r="1777" ht="15.75" customHeight="1">
      <c r="A1777" s="10" t="s">
        <v>12</v>
      </c>
      <c r="B1777" s="10" t="s">
        <v>359</v>
      </c>
      <c r="C1777" s="10" t="s">
        <v>9660</v>
      </c>
      <c r="D1777" s="11" t="str">
        <f t="shared" si="1"/>
        <v>Abrir anúncio ↗</v>
      </c>
      <c r="E1777" s="12" t="s">
        <v>9661</v>
      </c>
      <c r="F1777" s="10" t="s">
        <v>29</v>
      </c>
      <c r="G1777" s="12" t="s">
        <v>9514</v>
      </c>
      <c r="H1777" s="12" t="s">
        <v>9515</v>
      </c>
      <c r="I1777" s="10"/>
      <c r="J1777" s="10"/>
      <c r="K1777" s="12"/>
    </row>
    <row r="1778" ht="15.75" customHeight="1">
      <c r="A1778" s="3" t="s">
        <v>12</v>
      </c>
      <c r="B1778" s="3" t="s">
        <v>359</v>
      </c>
      <c r="C1778" s="3" t="s">
        <v>9662</v>
      </c>
      <c r="D1778" s="8" t="str">
        <f t="shared" si="1"/>
        <v>Abrir anúncio ↗</v>
      </c>
      <c r="E1778" s="9" t="s">
        <v>9663</v>
      </c>
      <c r="F1778" s="3" t="s">
        <v>29</v>
      </c>
      <c r="G1778" s="9" t="s">
        <v>4918</v>
      </c>
      <c r="H1778" s="9" t="s">
        <v>4919</v>
      </c>
      <c r="I1778" s="3"/>
      <c r="J1778" s="3"/>
      <c r="K1778" s="9"/>
    </row>
    <row r="1779" ht="15.75" customHeight="1">
      <c r="A1779" s="10" t="s">
        <v>12</v>
      </c>
      <c r="B1779" s="10" t="s">
        <v>359</v>
      </c>
      <c r="C1779" s="10" t="s">
        <v>9664</v>
      </c>
      <c r="D1779" s="11" t="str">
        <f t="shared" si="1"/>
        <v>Abrir anúncio ↗</v>
      </c>
      <c r="E1779" s="12" t="s">
        <v>9665</v>
      </c>
      <c r="F1779" s="10" t="s">
        <v>29</v>
      </c>
      <c r="G1779" s="12" t="s">
        <v>5013</v>
      </c>
      <c r="H1779" s="12" t="s">
        <v>5015</v>
      </c>
      <c r="I1779" s="10"/>
      <c r="J1779" s="10"/>
      <c r="K1779" s="12"/>
    </row>
    <row r="1780" ht="15.75" customHeight="1">
      <c r="A1780" s="3" t="s">
        <v>12</v>
      </c>
      <c r="B1780" s="3" t="s">
        <v>359</v>
      </c>
      <c r="C1780" s="3" t="s">
        <v>9666</v>
      </c>
      <c r="D1780" s="8" t="str">
        <f t="shared" si="1"/>
        <v>Abrir anúncio ↗</v>
      </c>
      <c r="E1780" s="9" t="s">
        <v>9667</v>
      </c>
      <c r="F1780" s="3" t="s">
        <v>29</v>
      </c>
      <c r="G1780" s="9" t="s">
        <v>9253</v>
      </c>
      <c r="H1780" s="9" t="s">
        <v>9254</v>
      </c>
      <c r="I1780" s="3"/>
      <c r="J1780" s="3"/>
      <c r="K1780" s="9"/>
    </row>
    <row r="1781" ht="15.75" customHeight="1">
      <c r="A1781" s="10" t="s">
        <v>12</v>
      </c>
      <c r="B1781" s="10" t="s">
        <v>359</v>
      </c>
      <c r="C1781" s="10" t="s">
        <v>9668</v>
      </c>
      <c r="D1781" s="11" t="str">
        <f t="shared" si="1"/>
        <v>Abrir anúncio ↗</v>
      </c>
      <c r="E1781" s="12" t="s">
        <v>9669</v>
      </c>
      <c r="F1781" s="10" t="s">
        <v>29</v>
      </c>
      <c r="G1781" s="12" t="s">
        <v>9514</v>
      </c>
      <c r="H1781" s="12" t="s">
        <v>9515</v>
      </c>
      <c r="I1781" s="10"/>
      <c r="J1781" s="10"/>
      <c r="K1781" s="12"/>
    </row>
    <row r="1782" ht="15.75" customHeight="1">
      <c r="A1782" s="3" t="s">
        <v>12</v>
      </c>
      <c r="B1782" s="3" t="s">
        <v>359</v>
      </c>
      <c r="C1782" s="3" t="s">
        <v>9670</v>
      </c>
      <c r="D1782" s="8" t="str">
        <f t="shared" si="1"/>
        <v>Abrir anúncio ↗</v>
      </c>
      <c r="E1782" s="9" t="s">
        <v>9671</v>
      </c>
      <c r="F1782" s="3" t="s">
        <v>29</v>
      </c>
      <c r="G1782" s="9" t="s">
        <v>9514</v>
      </c>
      <c r="H1782" s="9" t="s">
        <v>9515</v>
      </c>
      <c r="I1782" s="3"/>
      <c r="J1782" s="3"/>
      <c r="K1782" s="9"/>
    </row>
    <row r="1783" ht="15.75" customHeight="1">
      <c r="A1783" s="10" t="s">
        <v>12</v>
      </c>
      <c r="B1783" s="10" t="s">
        <v>359</v>
      </c>
      <c r="C1783" s="10" t="s">
        <v>9672</v>
      </c>
      <c r="D1783" s="11" t="str">
        <f t="shared" si="1"/>
        <v>Abrir anúncio ↗</v>
      </c>
      <c r="E1783" s="12" t="s">
        <v>9673</v>
      </c>
      <c r="F1783" s="10" t="s">
        <v>29</v>
      </c>
      <c r="G1783" s="12" t="s">
        <v>9514</v>
      </c>
      <c r="H1783" s="12" t="s">
        <v>9515</v>
      </c>
      <c r="I1783" s="10"/>
      <c r="J1783" s="10"/>
      <c r="K1783" s="12"/>
    </row>
    <row r="1784" ht="15.75" customHeight="1">
      <c r="A1784" s="3" t="s">
        <v>12</v>
      </c>
      <c r="B1784" s="3" t="s">
        <v>359</v>
      </c>
      <c r="C1784" s="3" t="s">
        <v>9674</v>
      </c>
      <c r="D1784" s="8" t="str">
        <f t="shared" si="1"/>
        <v>Abrir anúncio ↗</v>
      </c>
      <c r="E1784" s="9" t="s">
        <v>9675</v>
      </c>
      <c r="F1784" s="3" t="s">
        <v>29</v>
      </c>
      <c r="G1784" s="9" t="s">
        <v>5013</v>
      </c>
      <c r="H1784" s="9" t="s">
        <v>5015</v>
      </c>
      <c r="I1784" s="3"/>
      <c r="J1784" s="3"/>
      <c r="K1784" s="9"/>
    </row>
    <row r="1785" ht="15.75" customHeight="1">
      <c r="A1785" s="10" t="s">
        <v>12</v>
      </c>
      <c r="B1785" s="10" t="s">
        <v>359</v>
      </c>
      <c r="C1785" s="10" t="s">
        <v>9676</v>
      </c>
      <c r="D1785" s="11" t="str">
        <f t="shared" si="1"/>
        <v>Abrir anúncio ↗</v>
      </c>
      <c r="E1785" s="12" t="s">
        <v>9677</v>
      </c>
      <c r="F1785" s="10" t="s">
        <v>29</v>
      </c>
      <c r="G1785" s="12" t="s">
        <v>9253</v>
      </c>
      <c r="H1785" s="12" t="s">
        <v>9254</v>
      </c>
      <c r="I1785" s="10"/>
      <c r="J1785" s="10"/>
      <c r="K1785" s="12"/>
    </row>
    <row r="1786" ht="15.75" customHeight="1">
      <c r="A1786" s="3" t="s">
        <v>12</v>
      </c>
      <c r="B1786" s="3" t="s">
        <v>359</v>
      </c>
      <c r="C1786" s="3" t="s">
        <v>9678</v>
      </c>
      <c r="D1786" s="8" t="str">
        <f t="shared" si="1"/>
        <v>Abrir anúncio ↗</v>
      </c>
      <c r="E1786" s="9" t="s">
        <v>9679</v>
      </c>
      <c r="F1786" s="3" t="s">
        <v>29</v>
      </c>
      <c r="G1786" s="9" t="s">
        <v>9253</v>
      </c>
      <c r="H1786" s="9" t="s">
        <v>9254</v>
      </c>
      <c r="I1786" s="3"/>
      <c r="J1786" s="3"/>
      <c r="K1786" s="9"/>
    </row>
    <row r="1787" ht="15.75" customHeight="1">
      <c r="A1787" s="10" t="s">
        <v>12</v>
      </c>
      <c r="B1787" s="10" t="s">
        <v>359</v>
      </c>
      <c r="C1787" s="10" t="s">
        <v>9680</v>
      </c>
      <c r="D1787" s="11" t="str">
        <f t="shared" si="1"/>
        <v>Abrir anúncio ↗</v>
      </c>
      <c r="E1787" s="12" t="s">
        <v>9681</v>
      </c>
      <c r="F1787" s="10" t="s">
        <v>29</v>
      </c>
      <c r="G1787" s="12" t="s">
        <v>5013</v>
      </c>
      <c r="H1787" s="12" t="s">
        <v>5015</v>
      </c>
      <c r="I1787" s="10"/>
      <c r="J1787" s="10"/>
      <c r="K1787" s="12"/>
    </row>
    <row r="1788" ht="15.75" customHeight="1">
      <c r="A1788" s="3" t="s">
        <v>12</v>
      </c>
      <c r="B1788" s="3" t="s">
        <v>359</v>
      </c>
      <c r="C1788" s="3" t="s">
        <v>9682</v>
      </c>
      <c r="D1788" s="8" t="str">
        <f t="shared" si="1"/>
        <v>Abrir anúncio ↗</v>
      </c>
      <c r="E1788" s="9" t="s">
        <v>9683</v>
      </c>
      <c r="F1788" s="3" t="s">
        <v>29</v>
      </c>
      <c r="G1788" s="9" t="s">
        <v>9253</v>
      </c>
      <c r="H1788" s="9" t="s">
        <v>9254</v>
      </c>
      <c r="I1788" s="3"/>
      <c r="J1788" s="3"/>
      <c r="K1788" s="9"/>
    </row>
    <row r="1789" ht="15.75" customHeight="1">
      <c r="A1789" s="10" t="s">
        <v>12</v>
      </c>
      <c r="B1789" s="10" t="s">
        <v>359</v>
      </c>
      <c r="C1789" s="10" t="s">
        <v>9684</v>
      </c>
      <c r="D1789" s="11" t="str">
        <f t="shared" si="1"/>
        <v>Abrir anúncio ↗</v>
      </c>
      <c r="E1789" s="12" t="s">
        <v>9685</v>
      </c>
      <c r="F1789" s="10" t="s">
        <v>29</v>
      </c>
      <c r="G1789" s="12" t="s">
        <v>9514</v>
      </c>
      <c r="H1789" s="12" t="s">
        <v>9515</v>
      </c>
      <c r="I1789" s="10"/>
      <c r="J1789" s="10"/>
      <c r="K1789" s="12"/>
    </row>
    <row r="1790" ht="15.75" customHeight="1">
      <c r="A1790" s="3" t="s">
        <v>12</v>
      </c>
      <c r="B1790" s="3" t="s">
        <v>359</v>
      </c>
      <c r="C1790" s="3" t="s">
        <v>7846</v>
      </c>
      <c r="D1790" s="8" t="str">
        <f t="shared" si="1"/>
        <v>Abrir anúncio ↗</v>
      </c>
      <c r="E1790" s="9" t="s">
        <v>6442</v>
      </c>
      <c r="F1790" s="3" t="s">
        <v>29</v>
      </c>
      <c r="G1790" s="9" t="s">
        <v>9253</v>
      </c>
      <c r="H1790" s="9" t="s">
        <v>9254</v>
      </c>
      <c r="I1790" s="3"/>
      <c r="J1790" s="3"/>
      <c r="K1790" s="9"/>
    </row>
    <row r="1791" ht="15.75" customHeight="1">
      <c r="A1791" s="10" t="s">
        <v>12</v>
      </c>
      <c r="B1791" s="10" t="s">
        <v>359</v>
      </c>
      <c r="C1791" s="10" t="s">
        <v>7296</v>
      </c>
      <c r="D1791" s="11" t="str">
        <f t="shared" si="1"/>
        <v>Abrir anúncio ↗</v>
      </c>
      <c r="E1791" s="12" t="s">
        <v>7295</v>
      </c>
      <c r="F1791" s="10" t="s">
        <v>29</v>
      </c>
      <c r="G1791" s="12" t="s">
        <v>4918</v>
      </c>
      <c r="H1791" s="12" t="s">
        <v>4919</v>
      </c>
      <c r="I1791" s="10"/>
      <c r="J1791" s="10"/>
      <c r="K1791" s="12"/>
    </row>
    <row r="1792" ht="15.75" customHeight="1">
      <c r="A1792" s="3" t="s">
        <v>12</v>
      </c>
      <c r="B1792" s="3" t="s">
        <v>359</v>
      </c>
      <c r="C1792" s="3" t="s">
        <v>9686</v>
      </c>
      <c r="D1792" s="8" t="str">
        <f t="shared" si="1"/>
        <v>Abrir anúncio ↗</v>
      </c>
      <c r="E1792" s="9" t="s">
        <v>9687</v>
      </c>
      <c r="F1792" s="3" t="s">
        <v>29</v>
      </c>
      <c r="G1792" s="9" t="s">
        <v>4918</v>
      </c>
      <c r="H1792" s="9" t="s">
        <v>4919</v>
      </c>
      <c r="I1792" s="3"/>
      <c r="J1792" s="3"/>
      <c r="K1792" s="9"/>
    </row>
    <row r="1793" ht="15.75" customHeight="1">
      <c r="A1793" s="10" t="s">
        <v>12</v>
      </c>
      <c r="B1793" s="10" t="s">
        <v>359</v>
      </c>
      <c r="C1793" s="10" t="s">
        <v>9688</v>
      </c>
      <c r="D1793" s="11" t="str">
        <f t="shared" si="1"/>
        <v>Abrir anúncio ↗</v>
      </c>
      <c r="E1793" s="12" t="s">
        <v>9689</v>
      </c>
      <c r="F1793" s="10" t="s">
        <v>29</v>
      </c>
      <c r="G1793" s="12" t="s">
        <v>4918</v>
      </c>
      <c r="H1793" s="12" t="s">
        <v>4919</v>
      </c>
      <c r="I1793" s="10"/>
      <c r="J1793" s="10"/>
      <c r="K1793" s="12"/>
    </row>
    <row r="1794" ht="15.75" customHeight="1">
      <c r="A1794" s="3" t="s">
        <v>12</v>
      </c>
      <c r="B1794" s="3" t="s">
        <v>359</v>
      </c>
      <c r="C1794" s="3" t="s">
        <v>9690</v>
      </c>
      <c r="D1794" s="8" t="str">
        <f t="shared" si="1"/>
        <v>Abrir anúncio ↗</v>
      </c>
      <c r="E1794" s="9" t="s">
        <v>9691</v>
      </c>
      <c r="F1794" s="3" t="s">
        <v>29</v>
      </c>
      <c r="G1794" s="9" t="s">
        <v>4918</v>
      </c>
      <c r="H1794" s="9" t="s">
        <v>4919</v>
      </c>
      <c r="I1794" s="3"/>
      <c r="J1794" s="3"/>
      <c r="K1794" s="9"/>
    </row>
    <row r="1795" ht="15.75" customHeight="1">
      <c r="A1795" s="10" t="s">
        <v>12</v>
      </c>
      <c r="B1795" s="10" t="s">
        <v>359</v>
      </c>
      <c r="C1795" s="10" t="s">
        <v>9692</v>
      </c>
      <c r="D1795" s="11" t="str">
        <f t="shared" si="1"/>
        <v>Abrir anúncio ↗</v>
      </c>
      <c r="E1795" s="12" t="s">
        <v>9693</v>
      </c>
      <c r="F1795" s="10" t="s">
        <v>29</v>
      </c>
      <c r="G1795" s="12" t="s">
        <v>4918</v>
      </c>
      <c r="H1795" s="12" t="s">
        <v>4919</v>
      </c>
      <c r="I1795" s="10"/>
      <c r="J1795" s="10"/>
      <c r="K1795" s="12"/>
    </row>
    <row r="1796" ht="15.75" customHeight="1">
      <c r="A1796" s="3" t="s">
        <v>12</v>
      </c>
      <c r="B1796" s="3" t="s">
        <v>359</v>
      </c>
      <c r="C1796" s="3" t="s">
        <v>9694</v>
      </c>
      <c r="D1796" s="8" t="str">
        <f t="shared" si="1"/>
        <v>Abrir anúncio ↗</v>
      </c>
      <c r="E1796" s="9" t="s">
        <v>9695</v>
      </c>
      <c r="F1796" s="3" t="s">
        <v>29</v>
      </c>
      <c r="G1796" s="9" t="s">
        <v>9514</v>
      </c>
      <c r="H1796" s="9" t="s">
        <v>9515</v>
      </c>
      <c r="I1796" s="3"/>
      <c r="J1796" s="3"/>
      <c r="K1796" s="9"/>
    </row>
    <row r="1797" ht="15.75" customHeight="1">
      <c r="A1797" s="10" t="s">
        <v>12</v>
      </c>
      <c r="B1797" s="10" t="s">
        <v>359</v>
      </c>
      <c r="C1797" s="10" t="s">
        <v>9696</v>
      </c>
      <c r="D1797" s="11" t="str">
        <f t="shared" si="1"/>
        <v>Abrir anúncio ↗</v>
      </c>
      <c r="E1797" s="12" t="s">
        <v>9697</v>
      </c>
      <c r="F1797" s="10" t="s">
        <v>29</v>
      </c>
      <c r="G1797" s="12" t="s">
        <v>9514</v>
      </c>
      <c r="H1797" s="12" t="s">
        <v>9515</v>
      </c>
      <c r="I1797" s="10"/>
      <c r="J1797" s="10"/>
      <c r="K1797" s="12"/>
    </row>
    <row r="1798" ht="15.75" customHeight="1">
      <c r="A1798" s="3" t="s">
        <v>12</v>
      </c>
      <c r="B1798" s="3" t="s">
        <v>359</v>
      </c>
      <c r="C1798" s="3" t="s">
        <v>9698</v>
      </c>
      <c r="D1798" s="8" t="str">
        <f t="shared" si="1"/>
        <v>Abrir anúncio ↗</v>
      </c>
      <c r="E1798" s="9" t="s">
        <v>9699</v>
      </c>
      <c r="F1798" s="3" t="s">
        <v>29</v>
      </c>
      <c r="G1798" s="9" t="s">
        <v>9514</v>
      </c>
      <c r="H1798" s="9" t="s">
        <v>9515</v>
      </c>
      <c r="I1798" s="3"/>
      <c r="J1798" s="3"/>
      <c r="K1798" s="9"/>
    </row>
    <row r="1799" ht="15.75" customHeight="1">
      <c r="A1799" s="10" t="s">
        <v>12</v>
      </c>
      <c r="B1799" s="10" t="s">
        <v>359</v>
      </c>
      <c r="C1799" s="10" t="s">
        <v>9700</v>
      </c>
      <c r="D1799" s="11" t="str">
        <f t="shared" si="1"/>
        <v>Abrir anúncio ↗</v>
      </c>
      <c r="E1799" s="12" t="s">
        <v>9701</v>
      </c>
      <c r="F1799" s="10" t="s">
        <v>29</v>
      </c>
      <c r="G1799" s="12" t="s">
        <v>9514</v>
      </c>
      <c r="H1799" s="12" t="s">
        <v>9515</v>
      </c>
      <c r="I1799" s="10"/>
      <c r="J1799" s="10"/>
      <c r="K1799" s="12"/>
    </row>
    <row r="1800" ht="15.75" customHeight="1">
      <c r="A1800" s="3" t="s">
        <v>12</v>
      </c>
      <c r="B1800" s="3" t="s">
        <v>359</v>
      </c>
      <c r="C1800" s="3" t="s">
        <v>9702</v>
      </c>
      <c r="D1800" s="8" t="str">
        <f t="shared" si="1"/>
        <v>Abrir anúncio ↗</v>
      </c>
      <c r="E1800" s="9" t="s">
        <v>9703</v>
      </c>
      <c r="F1800" s="3" t="s">
        <v>29</v>
      </c>
      <c r="G1800" s="9" t="s">
        <v>9253</v>
      </c>
      <c r="H1800" s="9" t="s">
        <v>9254</v>
      </c>
      <c r="I1800" s="3"/>
      <c r="J1800" s="3"/>
      <c r="K1800" s="9"/>
    </row>
    <row r="1801" ht="15.75" customHeight="1">
      <c r="A1801" s="10" t="s">
        <v>12</v>
      </c>
      <c r="B1801" s="10" t="s">
        <v>359</v>
      </c>
      <c r="C1801" s="10" t="s">
        <v>9704</v>
      </c>
      <c r="D1801" s="11" t="str">
        <f t="shared" si="1"/>
        <v>Abrir anúncio ↗</v>
      </c>
      <c r="E1801" s="12" t="s">
        <v>9705</v>
      </c>
      <c r="F1801" s="10" t="s">
        <v>29</v>
      </c>
      <c r="G1801" s="12" t="s">
        <v>9514</v>
      </c>
      <c r="H1801" s="12" t="s">
        <v>9515</v>
      </c>
      <c r="I1801" s="10"/>
      <c r="J1801" s="10"/>
      <c r="K1801" s="12"/>
    </row>
    <row r="1802" ht="15.75" customHeight="1">
      <c r="A1802" s="3" t="s">
        <v>12</v>
      </c>
      <c r="B1802" s="3" t="s">
        <v>359</v>
      </c>
      <c r="C1802" s="3" t="s">
        <v>9706</v>
      </c>
      <c r="D1802" s="8" t="str">
        <f t="shared" si="1"/>
        <v>Abrir anúncio ↗</v>
      </c>
      <c r="E1802" s="9" t="s">
        <v>9707</v>
      </c>
      <c r="F1802" s="3" t="s">
        <v>29</v>
      </c>
      <c r="G1802" s="9" t="s">
        <v>9253</v>
      </c>
      <c r="H1802" s="9" t="s">
        <v>9254</v>
      </c>
      <c r="I1802" s="3"/>
      <c r="J1802" s="3"/>
      <c r="K1802" s="9"/>
    </row>
    <row r="1803" ht="15.75" customHeight="1">
      <c r="A1803" s="10" t="s">
        <v>12</v>
      </c>
      <c r="B1803" s="10" t="s">
        <v>359</v>
      </c>
      <c r="C1803" s="10" t="s">
        <v>9708</v>
      </c>
      <c r="D1803" s="11" t="str">
        <f t="shared" si="1"/>
        <v>Abrir anúncio ↗</v>
      </c>
      <c r="E1803" s="12" t="s">
        <v>9709</v>
      </c>
      <c r="F1803" s="10" t="s">
        <v>29</v>
      </c>
      <c r="G1803" s="12" t="s">
        <v>5013</v>
      </c>
      <c r="H1803" s="12" t="s">
        <v>5015</v>
      </c>
      <c r="I1803" s="10"/>
      <c r="J1803" s="10"/>
      <c r="K1803" s="12"/>
    </row>
    <row r="1804" ht="15.75" customHeight="1">
      <c r="A1804" s="3" t="s">
        <v>12</v>
      </c>
      <c r="B1804" s="3" t="s">
        <v>359</v>
      </c>
      <c r="C1804" s="3" t="s">
        <v>9710</v>
      </c>
      <c r="D1804" s="8" t="str">
        <f t="shared" si="1"/>
        <v>Abrir anúncio ↗</v>
      </c>
      <c r="E1804" s="9" t="s">
        <v>9711</v>
      </c>
      <c r="F1804" s="3" t="s">
        <v>86</v>
      </c>
      <c r="G1804" s="9" t="s">
        <v>9514</v>
      </c>
      <c r="H1804" s="9" t="s">
        <v>9515</v>
      </c>
      <c r="I1804" s="3"/>
      <c r="J1804" s="3"/>
      <c r="K1804" s="9"/>
    </row>
    <row r="1805" ht="15.75" customHeight="1">
      <c r="A1805" s="10" t="s">
        <v>12</v>
      </c>
      <c r="B1805" s="10" t="s">
        <v>359</v>
      </c>
      <c r="C1805" s="10" t="s">
        <v>9712</v>
      </c>
      <c r="D1805" s="11" t="str">
        <f t="shared" si="1"/>
        <v>Abrir anúncio ↗</v>
      </c>
      <c r="E1805" s="12" t="s">
        <v>9713</v>
      </c>
      <c r="F1805" s="10" t="s">
        <v>29</v>
      </c>
      <c r="G1805" s="12" t="s">
        <v>9514</v>
      </c>
      <c r="H1805" s="12" t="s">
        <v>9515</v>
      </c>
      <c r="I1805" s="10"/>
      <c r="J1805" s="10"/>
      <c r="K1805" s="12"/>
    </row>
    <row r="1806" ht="15.75" customHeight="1">
      <c r="A1806" s="3" t="s">
        <v>12</v>
      </c>
      <c r="B1806" s="3" t="s">
        <v>359</v>
      </c>
      <c r="C1806" s="3" t="s">
        <v>9714</v>
      </c>
      <c r="D1806" s="8" t="str">
        <f t="shared" si="1"/>
        <v>Abrir anúncio ↗</v>
      </c>
      <c r="E1806" s="9" t="s">
        <v>9715</v>
      </c>
      <c r="F1806" s="3" t="s">
        <v>29</v>
      </c>
      <c r="G1806" s="9" t="s">
        <v>9514</v>
      </c>
      <c r="H1806" s="9" t="s">
        <v>9515</v>
      </c>
      <c r="I1806" s="3"/>
      <c r="J1806" s="3"/>
      <c r="K1806" s="9"/>
    </row>
    <row r="1807" ht="15.75" customHeight="1">
      <c r="A1807" s="10" t="s">
        <v>12</v>
      </c>
      <c r="B1807" s="10" t="s">
        <v>359</v>
      </c>
      <c r="C1807" s="10" t="s">
        <v>9716</v>
      </c>
      <c r="D1807" s="11" t="str">
        <f t="shared" si="1"/>
        <v>Abrir anúncio ↗</v>
      </c>
      <c r="E1807" s="12" t="s">
        <v>9717</v>
      </c>
      <c r="F1807" s="10" t="s">
        <v>29</v>
      </c>
      <c r="G1807" s="12" t="s">
        <v>9514</v>
      </c>
      <c r="H1807" s="12" t="s">
        <v>9515</v>
      </c>
      <c r="I1807" s="10"/>
      <c r="J1807" s="10"/>
      <c r="K1807" s="12"/>
    </row>
    <row r="1808" ht="15.75" customHeight="1">
      <c r="A1808" s="3" t="s">
        <v>12</v>
      </c>
      <c r="B1808" s="3" t="s">
        <v>359</v>
      </c>
      <c r="C1808" s="3" t="s">
        <v>9718</v>
      </c>
      <c r="D1808" s="8" t="str">
        <f t="shared" si="1"/>
        <v>Abrir anúncio ↗</v>
      </c>
      <c r="E1808" s="9" t="s">
        <v>9719</v>
      </c>
      <c r="F1808" s="3" t="s">
        <v>29</v>
      </c>
      <c r="G1808" s="9" t="s">
        <v>9514</v>
      </c>
      <c r="H1808" s="9" t="s">
        <v>9515</v>
      </c>
      <c r="I1808" s="3"/>
      <c r="J1808" s="3"/>
      <c r="K1808" s="9"/>
    </row>
    <row r="1809" ht="15.75" customHeight="1">
      <c r="A1809" s="10" t="s">
        <v>12</v>
      </c>
      <c r="B1809" s="10" t="s">
        <v>359</v>
      </c>
      <c r="C1809" s="10" t="s">
        <v>9720</v>
      </c>
      <c r="D1809" s="11" t="str">
        <f t="shared" si="1"/>
        <v>Abrir anúncio ↗</v>
      </c>
      <c r="E1809" s="12" t="s">
        <v>9721</v>
      </c>
      <c r="F1809" s="10" t="s">
        <v>29</v>
      </c>
      <c r="G1809" s="12" t="s">
        <v>9253</v>
      </c>
      <c r="H1809" s="12" t="s">
        <v>9254</v>
      </c>
      <c r="I1809" s="10"/>
      <c r="J1809" s="10"/>
      <c r="K1809" s="12"/>
    </row>
    <row r="1810" ht="15.75" customHeight="1">
      <c r="A1810" s="3" t="s">
        <v>12</v>
      </c>
      <c r="B1810" s="3" t="s">
        <v>359</v>
      </c>
      <c r="C1810" s="3" t="s">
        <v>9722</v>
      </c>
      <c r="D1810" s="8" t="str">
        <f t="shared" si="1"/>
        <v>Abrir anúncio ↗</v>
      </c>
      <c r="E1810" s="9" t="s">
        <v>9723</v>
      </c>
      <c r="F1810" s="3" t="s">
        <v>29</v>
      </c>
      <c r="G1810" s="9" t="s">
        <v>9253</v>
      </c>
      <c r="H1810" s="9" t="s">
        <v>9254</v>
      </c>
      <c r="I1810" s="3"/>
      <c r="J1810" s="3"/>
      <c r="K1810" s="9"/>
    </row>
    <row r="1811" ht="15.75" customHeight="1">
      <c r="A1811" s="10" t="s">
        <v>12</v>
      </c>
      <c r="B1811" s="10" t="s">
        <v>359</v>
      </c>
      <c r="C1811" s="10" t="s">
        <v>9724</v>
      </c>
      <c r="D1811" s="11" t="str">
        <f t="shared" si="1"/>
        <v>Abrir anúncio ↗</v>
      </c>
      <c r="E1811" s="12" t="s">
        <v>9725</v>
      </c>
      <c r="F1811" s="10" t="s">
        <v>29</v>
      </c>
      <c r="G1811" s="12" t="s">
        <v>4918</v>
      </c>
      <c r="H1811" s="12" t="s">
        <v>4919</v>
      </c>
      <c r="I1811" s="10"/>
      <c r="J1811" s="10"/>
      <c r="K1811" s="12"/>
    </row>
    <row r="1812" ht="15.75" customHeight="1">
      <c r="A1812" s="3" t="s">
        <v>12</v>
      </c>
      <c r="B1812" s="3" t="s">
        <v>359</v>
      </c>
      <c r="C1812" s="3" t="s">
        <v>9726</v>
      </c>
      <c r="D1812" s="8" t="str">
        <f t="shared" si="1"/>
        <v>Abrir anúncio ↗</v>
      </c>
      <c r="E1812" s="9" t="s">
        <v>9727</v>
      </c>
      <c r="F1812" s="3" t="s">
        <v>29</v>
      </c>
      <c r="G1812" s="9" t="s">
        <v>9514</v>
      </c>
      <c r="H1812" s="9" t="s">
        <v>9515</v>
      </c>
      <c r="I1812" s="3"/>
      <c r="J1812" s="3"/>
      <c r="K1812" s="9"/>
    </row>
    <row r="1813" ht="15.75" customHeight="1">
      <c r="A1813" s="10" t="s">
        <v>12</v>
      </c>
      <c r="B1813" s="10" t="s">
        <v>359</v>
      </c>
      <c r="C1813" s="10" t="s">
        <v>9728</v>
      </c>
      <c r="D1813" s="11" t="str">
        <f t="shared" si="1"/>
        <v>Abrir anúncio ↗</v>
      </c>
      <c r="E1813" s="12" t="s">
        <v>9729</v>
      </c>
      <c r="F1813" s="10" t="s">
        <v>29</v>
      </c>
      <c r="G1813" s="12" t="s">
        <v>9514</v>
      </c>
      <c r="H1813" s="12" t="s">
        <v>9515</v>
      </c>
      <c r="I1813" s="10"/>
      <c r="J1813" s="10"/>
      <c r="K1813" s="12"/>
    </row>
    <row r="1814" ht="15.75" customHeight="1">
      <c r="A1814" s="3" t="s">
        <v>12</v>
      </c>
      <c r="B1814" s="3" t="s">
        <v>359</v>
      </c>
      <c r="C1814" s="3" t="s">
        <v>9730</v>
      </c>
      <c r="D1814" s="8" t="str">
        <f t="shared" si="1"/>
        <v>Abrir anúncio ↗</v>
      </c>
      <c r="E1814" s="9" t="s">
        <v>9731</v>
      </c>
      <c r="F1814" s="3" t="s">
        <v>29</v>
      </c>
      <c r="G1814" s="9" t="s">
        <v>9514</v>
      </c>
      <c r="H1814" s="9" t="s">
        <v>9515</v>
      </c>
      <c r="I1814" s="3"/>
      <c r="J1814" s="3"/>
      <c r="K1814" s="9"/>
    </row>
    <row r="1815" ht="15.75" customHeight="1">
      <c r="A1815" s="10" t="s">
        <v>12</v>
      </c>
      <c r="B1815" s="10" t="s">
        <v>359</v>
      </c>
      <c r="C1815" s="10" t="s">
        <v>9732</v>
      </c>
      <c r="D1815" s="11" t="str">
        <f t="shared" si="1"/>
        <v>Abrir anúncio ↗</v>
      </c>
      <c r="E1815" s="12" t="s">
        <v>9733</v>
      </c>
      <c r="F1815" s="10" t="s">
        <v>29</v>
      </c>
      <c r="G1815" s="12" t="s">
        <v>9514</v>
      </c>
      <c r="H1815" s="12" t="s">
        <v>9515</v>
      </c>
      <c r="I1815" s="10"/>
      <c r="J1815" s="10"/>
      <c r="K1815" s="12"/>
    </row>
    <row r="1816" ht="15.75" customHeight="1">
      <c r="A1816" s="3" t="s">
        <v>12</v>
      </c>
      <c r="B1816" s="3" t="s">
        <v>359</v>
      </c>
      <c r="C1816" s="3" t="s">
        <v>7906</v>
      </c>
      <c r="D1816" s="8" t="str">
        <f t="shared" si="1"/>
        <v>Abrir anúncio ↗</v>
      </c>
      <c r="E1816" s="9" t="s">
        <v>7905</v>
      </c>
      <c r="F1816" s="3" t="s">
        <v>29</v>
      </c>
      <c r="G1816" s="9" t="s">
        <v>9253</v>
      </c>
      <c r="H1816" s="9" t="s">
        <v>9254</v>
      </c>
      <c r="I1816" s="3"/>
      <c r="J1816" s="3"/>
      <c r="K1816" s="9"/>
    </row>
    <row r="1817" ht="15.75" customHeight="1">
      <c r="A1817" s="10" t="s">
        <v>12</v>
      </c>
      <c r="B1817" s="10" t="s">
        <v>359</v>
      </c>
      <c r="C1817" s="10" t="s">
        <v>9734</v>
      </c>
      <c r="D1817" s="11" t="str">
        <f t="shared" si="1"/>
        <v>Abrir anúncio ↗</v>
      </c>
      <c r="E1817" s="12" t="s">
        <v>9735</v>
      </c>
      <c r="F1817" s="10" t="s">
        <v>29</v>
      </c>
      <c r="G1817" s="12" t="s">
        <v>9253</v>
      </c>
      <c r="H1817" s="12" t="s">
        <v>9254</v>
      </c>
      <c r="I1817" s="10"/>
      <c r="J1817" s="10"/>
      <c r="K1817" s="12"/>
    </row>
    <row r="1818" ht="15.75" customHeight="1">
      <c r="A1818" s="3" t="s">
        <v>12</v>
      </c>
      <c r="B1818" s="3" t="s">
        <v>359</v>
      </c>
      <c r="C1818" s="3" t="s">
        <v>9736</v>
      </c>
      <c r="D1818" s="8" t="str">
        <f t="shared" si="1"/>
        <v>Abrir anúncio ↗</v>
      </c>
      <c r="E1818" s="9" t="s">
        <v>9737</v>
      </c>
      <c r="F1818" s="3" t="s">
        <v>86</v>
      </c>
      <c r="G1818" s="9" t="s">
        <v>9514</v>
      </c>
      <c r="H1818" s="9" t="s">
        <v>9515</v>
      </c>
      <c r="I1818" s="3"/>
      <c r="J1818" s="3"/>
      <c r="K1818" s="9"/>
    </row>
    <row r="1819" ht="15.75" customHeight="1">
      <c r="A1819" s="10" t="s">
        <v>12</v>
      </c>
      <c r="B1819" s="10" t="s">
        <v>359</v>
      </c>
      <c r="C1819" s="10" t="s">
        <v>9738</v>
      </c>
      <c r="D1819" s="11" t="str">
        <f t="shared" si="1"/>
        <v>Abrir anúncio ↗</v>
      </c>
      <c r="E1819" s="12" t="s">
        <v>9739</v>
      </c>
      <c r="F1819" s="10" t="s">
        <v>29</v>
      </c>
      <c r="G1819" s="12" t="s">
        <v>9514</v>
      </c>
      <c r="H1819" s="12" t="s">
        <v>9515</v>
      </c>
      <c r="I1819" s="10"/>
      <c r="J1819" s="10"/>
      <c r="K1819" s="12"/>
    </row>
    <row r="1820" ht="15.75" customHeight="1">
      <c r="A1820" s="3" t="s">
        <v>12</v>
      </c>
      <c r="B1820" s="3" t="s">
        <v>359</v>
      </c>
      <c r="C1820" s="3" t="s">
        <v>9740</v>
      </c>
      <c r="D1820" s="8" t="str">
        <f t="shared" si="1"/>
        <v>Abrir anúncio ↗</v>
      </c>
      <c r="E1820" s="9" t="s">
        <v>9741</v>
      </c>
      <c r="F1820" s="3" t="s">
        <v>29</v>
      </c>
      <c r="G1820" s="9" t="s">
        <v>9514</v>
      </c>
      <c r="H1820" s="9" t="s">
        <v>9515</v>
      </c>
      <c r="I1820" s="3"/>
      <c r="J1820" s="3"/>
      <c r="K1820" s="9"/>
    </row>
    <row r="1821" ht="15.75" customHeight="1">
      <c r="A1821" s="10" t="s">
        <v>12</v>
      </c>
      <c r="B1821" s="10" t="s">
        <v>359</v>
      </c>
      <c r="C1821" s="10" t="s">
        <v>9742</v>
      </c>
      <c r="D1821" s="11" t="str">
        <f t="shared" si="1"/>
        <v>Abrir anúncio ↗</v>
      </c>
      <c r="E1821" s="12" t="s">
        <v>9743</v>
      </c>
      <c r="F1821" s="10" t="s">
        <v>29</v>
      </c>
      <c r="G1821" s="12" t="s">
        <v>9253</v>
      </c>
      <c r="H1821" s="12" t="s">
        <v>9254</v>
      </c>
      <c r="I1821" s="10"/>
      <c r="J1821" s="10"/>
      <c r="K1821" s="12"/>
    </row>
    <row r="1822" ht="15.75" customHeight="1">
      <c r="A1822" s="3" t="s">
        <v>12</v>
      </c>
      <c r="B1822" s="3" t="s">
        <v>359</v>
      </c>
      <c r="C1822" s="3" t="s">
        <v>9744</v>
      </c>
      <c r="D1822" s="8" t="str">
        <f t="shared" si="1"/>
        <v>Abrir anúncio ↗</v>
      </c>
      <c r="E1822" s="9" t="s">
        <v>9745</v>
      </c>
      <c r="F1822" s="3" t="s">
        <v>29</v>
      </c>
      <c r="G1822" s="9" t="s">
        <v>9253</v>
      </c>
      <c r="H1822" s="9" t="s">
        <v>9254</v>
      </c>
      <c r="I1822" s="3"/>
      <c r="J1822" s="3"/>
      <c r="K1822" s="9"/>
    </row>
    <row r="1823" ht="15.75" customHeight="1">
      <c r="A1823" s="10" t="s">
        <v>12</v>
      </c>
      <c r="B1823" s="10" t="s">
        <v>359</v>
      </c>
      <c r="C1823" s="10" t="s">
        <v>9746</v>
      </c>
      <c r="D1823" s="11" t="str">
        <f t="shared" si="1"/>
        <v>Abrir anúncio ↗</v>
      </c>
      <c r="E1823" s="12" t="s">
        <v>9747</v>
      </c>
      <c r="F1823" s="10" t="s">
        <v>29</v>
      </c>
      <c r="G1823" s="12" t="s">
        <v>9514</v>
      </c>
      <c r="H1823" s="12" t="s">
        <v>9515</v>
      </c>
      <c r="I1823" s="10"/>
      <c r="J1823" s="10"/>
      <c r="K1823" s="12"/>
    </row>
    <row r="1824" ht="15.75" customHeight="1">
      <c r="A1824" s="3" t="s">
        <v>12</v>
      </c>
      <c r="B1824" s="3" t="s">
        <v>359</v>
      </c>
      <c r="C1824" s="3" t="s">
        <v>9748</v>
      </c>
      <c r="D1824" s="8" t="str">
        <f t="shared" si="1"/>
        <v>Abrir anúncio ↗</v>
      </c>
      <c r="E1824" s="9" t="s">
        <v>9749</v>
      </c>
      <c r="F1824" s="3" t="s">
        <v>29</v>
      </c>
      <c r="G1824" s="9" t="s">
        <v>4918</v>
      </c>
      <c r="H1824" s="9" t="s">
        <v>4919</v>
      </c>
      <c r="I1824" s="3"/>
      <c r="J1824" s="3"/>
      <c r="K1824" s="9"/>
    </row>
    <row r="1825" ht="15.75" customHeight="1">
      <c r="A1825" s="10" t="s">
        <v>12</v>
      </c>
      <c r="B1825" s="10" t="s">
        <v>359</v>
      </c>
      <c r="C1825" s="10" t="s">
        <v>9750</v>
      </c>
      <c r="D1825" s="11" t="str">
        <f t="shared" si="1"/>
        <v>Abrir anúncio ↗</v>
      </c>
      <c r="E1825" s="12" t="s">
        <v>9751</v>
      </c>
      <c r="F1825" s="10" t="s">
        <v>29</v>
      </c>
      <c r="G1825" s="12" t="s">
        <v>9514</v>
      </c>
      <c r="H1825" s="12" t="s">
        <v>9515</v>
      </c>
      <c r="I1825" s="10"/>
      <c r="J1825" s="10"/>
      <c r="K1825" s="12"/>
    </row>
    <row r="1826" ht="15.75" customHeight="1">
      <c r="A1826" s="3" t="s">
        <v>12</v>
      </c>
      <c r="B1826" s="3" t="s">
        <v>359</v>
      </c>
      <c r="C1826" s="3" t="s">
        <v>9752</v>
      </c>
      <c r="D1826" s="8" t="str">
        <f t="shared" si="1"/>
        <v>Abrir anúncio ↗</v>
      </c>
      <c r="E1826" s="9" t="s">
        <v>9753</v>
      </c>
      <c r="F1826" s="3" t="s">
        <v>29</v>
      </c>
      <c r="G1826" s="9" t="s">
        <v>9253</v>
      </c>
      <c r="H1826" s="9" t="s">
        <v>9254</v>
      </c>
      <c r="I1826" s="3"/>
      <c r="J1826" s="3"/>
      <c r="K1826" s="9"/>
    </row>
    <row r="1827" ht="15.75" customHeight="1">
      <c r="A1827" s="10" t="s">
        <v>12</v>
      </c>
      <c r="B1827" s="10" t="s">
        <v>359</v>
      </c>
      <c r="C1827" s="10" t="s">
        <v>9754</v>
      </c>
      <c r="D1827" s="11" t="str">
        <f t="shared" si="1"/>
        <v>Abrir anúncio ↗</v>
      </c>
      <c r="E1827" s="12" t="s">
        <v>9755</v>
      </c>
      <c r="F1827" s="10" t="s">
        <v>29</v>
      </c>
      <c r="G1827" s="12" t="s">
        <v>9514</v>
      </c>
      <c r="H1827" s="12" t="s">
        <v>9515</v>
      </c>
      <c r="I1827" s="10"/>
      <c r="J1827" s="10"/>
      <c r="K1827" s="12"/>
    </row>
    <row r="1828" ht="15.75" customHeight="1">
      <c r="A1828" s="3" t="s">
        <v>12</v>
      </c>
      <c r="B1828" s="3" t="s">
        <v>359</v>
      </c>
      <c r="C1828" s="3" t="s">
        <v>9756</v>
      </c>
      <c r="D1828" s="8" t="str">
        <f t="shared" si="1"/>
        <v>Abrir anúncio ↗</v>
      </c>
      <c r="E1828" s="9" t="s">
        <v>9757</v>
      </c>
      <c r="F1828" s="3" t="s">
        <v>29</v>
      </c>
      <c r="G1828" s="9" t="s">
        <v>4918</v>
      </c>
      <c r="H1828" s="9" t="s">
        <v>4919</v>
      </c>
      <c r="I1828" s="3"/>
      <c r="J1828" s="3"/>
      <c r="K1828" s="9"/>
    </row>
    <row r="1829" ht="15.75" customHeight="1">
      <c r="A1829" s="10" t="s">
        <v>12</v>
      </c>
      <c r="B1829" s="10" t="s">
        <v>359</v>
      </c>
      <c r="C1829" s="10" t="s">
        <v>9758</v>
      </c>
      <c r="D1829" s="11" t="str">
        <f t="shared" si="1"/>
        <v>Abrir anúncio ↗</v>
      </c>
      <c r="E1829" s="12" t="s">
        <v>9759</v>
      </c>
      <c r="F1829" s="10" t="s">
        <v>29</v>
      </c>
      <c r="G1829" s="12" t="s">
        <v>4918</v>
      </c>
      <c r="H1829" s="12" t="s">
        <v>4919</v>
      </c>
      <c r="I1829" s="10"/>
      <c r="J1829" s="10"/>
      <c r="K1829" s="12"/>
    </row>
    <row r="1830" ht="15.75" customHeight="1">
      <c r="A1830" s="3" t="s">
        <v>12</v>
      </c>
      <c r="B1830" s="3" t="s">
        <v>359</v>
      </c>
      <c r="C1830" s="3" t="s">
        <v>9760</v>
      </c>
      <c r="D1830" s="8" t="str">
        <f t="shared" si="1"/>
        <v>Abrir anúncio ↗</v>
      </c>
      <c r="E1830" s="9" t="s">
        <v>9761</v>
      </c>
      <c r="F1830" s="3" t="s">
        <v>29</v>
      </c>
      <c r="G1830" s="9" t="s">
        <v>4918</v>
      </c>
      <c r="H1830" s="9" t="s">
        <v>4919</v>
      </c>
      <c r="I1830" s="3"/>
      <c r="J1830" s="3"/>
      <c r="K1830" s="9"/>
    </row>
    <row r="1831" ht="15.75" customHeight="1">
      <c r="A1831" s="10" t="s">
        <v>12</v>
      </c>
      <c r="B1831" s="10" t="s">
        <v>359</v>
      </c>
      <c r="C1831" s="10" t="s">
        <v>9762</v>
      </c>
      <c r="D1831" s="11" t="str">
        <f t="shared" si="1"/>
        <v>Abrir anúncio ↗</v>
      </c>
      <c r="E1831" s="12" t="s">
        <v>9763</v>
      </c>
      <c r="F1831" s="10" t="s">
        <v>29</v>
      </c>
      <c r="G1831" s="12" t="s">
        <v>9514</v>
      </c>
      <c r="H1831" s="12" t="s">
        <v>9515</v>
      </c>
      <c r="I1831" s="10"/>
      <c r="J1831" s="10"/>
      <c r="K1831" s="12"/>
    </row>
    <row r="1832" ht="15.75" customHeight="1">
      <c r="A1832" s="3" t="s">
        <v>12</v>
      </c>
      <c r="B1832" s="3" t="s">
        <v>359</v>
      </c>
      <c r="C1832" s="3" t="s">
        <v>8170</v>
      </c>
      <c r="D1832" s="8" t="str">
        <f t="shared" si="1"/>
        <v>Abrir anúncio ↗</v>
      </c>
      <c r="E1832" s="9" t="s">
        <v>7790</v>
      </c>
      <c r="F1832" s="3" t="s">
        <v>29</v>
      </c>
      <c r="G1832" s="9" t="s">
        <v>9253</v>
      </c>
      <c r="H1832" s="9" t="s">
        <v>9254</v>
      </c>
      <c r="I1832" s="3"/>
      <c r="J1832" s="3"/>
      <c r="K1832" s="9"/>
    </row>
    <row r="1833" ht="15.75" customHeight="1">
      <c r="A1833" s="10" t="s">
        <v>12</v>
      </c>
      <c r="B1833" s="10" t="s">
        <v>359</v>
      </c>
      <c r="C1833" s="10" t="s">
        <v>9764</v>
      </c>
      <c r="D1833" s="11" t="str">
        <f t="shared" si="1"/>
        <v>Abrir anúncio ↗</v>
      </c>
      <c r="E1833" s="12" t="s">
        <v>9765</v>
      </c>
      <c r="F1833" s="10" t="s">
        <v>29</v>
      </c>
      <c r="G1833" s="12" t="s">
        <v>9253</v>
      </c>
      <c r="H1833" s="12" t="s">
        <v>9254</v>
      </c>
      <c r="I1833" s="10"/>
      <c r="J1833" s="10"/>
      <c r="K1833" s="12"/>
    </row>
    <row r="1834" ht="15.75" customHeight="1">
      <c r="A1834" s="3" t="s">
        <v>12</v>
      </c>
      <c r="B1834" s="3" t="s">
        <v>359</v>
      </c>
      <c r="C1834" s="3" t="s">
        <v>9766</v>
      </c>
      <c r="D1834" s="8" t="str">
        <f t="shared" si="1"/>
        <v>Abrir anúncio ↗</v>
      </c>
      <c r="E1834" s="9" t="s">
        <v>9767</v>
      </c>
      <c r="F1834" s="3" t="s">
        <v>29</v>
      </c>
      <c r="G1834" s="9" t="s">
        <v>9514</v>
      </c>
      <c r="H1834" s="9" t="s">
        <v>9515</v>
      </c>
      <c r="I1834" s="3"/>
      <c r="J1834" s="3"/>
      <c r="K1834" s="9"/>
    </row>
    <row r="1835" ht="15.75" customHeight="1">
      <c r="A1835" s="10" t="s">
        <v>12</v>
      </c>
      <c r="B1835" s="10" t="s">
        <v>359</v>
      </c>
      <c r="C1835" s="10" t="s">
        <v>9768</v>
      </c>
      <c r="D1835" s="11" t="str">
        <f t="shared" si="1"/>
        <v>Abrir anúncio ↗</v>
      </c>
      <c r="E1835" s="12" t="s">
        <v>9769</v>
      </c>
      <c r="F1835" s="10" t="s">
        <v>29</v>
      </c>
      <c r="G1835" s="12" t="s">
        <v>9514</v>
      </c>
      <c r="H1835" s="12" t="s">
        <v>9515</v>
      </c>
      <c r="I1835" s="10"/>
      <c r="J1835" s="10"/>
      <c r="K1835" s="12"/>
    </row>
    <row r="1836" ht="15.75" customHeight="1">
      <c r="A1836" s="3" t="s">
        <v>12</v>
      </c>
      <c r="B1836" s="3" t="s">
        <v>359</v>
      </c>
      <c r="C1836" s="3" t="s">
        <v>9770</v>
      </c>
      <c r="D1836" s="8" t="str">
        <f t="shared" si="1"/>
        <v>Abrir anúncio ↗</v>
      </c>
      <c r="E1836" s="9" t="s">
        <v>9771</v>
      </c>
      <c r="F1836" s="3" t="s">
        <v>86</v>
      </c>
      <c r="G1836" s="9" t="s">
        <v>5013</v>
      </c>
      <c r="H1836" s="9" t="s">
        <v>5015</v>
      </c>
      <c r="I1836" s="3"/>
      <c r="J1836" s="3"/>
      <c r="K1836" s="9"/>
    </row>
    <row r="1837" ht="15.75" customHeight="1">
      <c r="A1837" s="10" t="s">
        <v>12</v>
      </c>
      <c r="B1837" s="10" t="s">
        <v>359</v>
      </c>
      <c r="C1837" s="10" t="s">
        <v>9772</v>
      </c>
      <c r="D1837" s="11" t="str">
        <f t="shared" si="1"/>
        <v>Abrir anúncio ↗</v>
      </c>
      <c r="E1837" s="12" t="s">
        <v>9773</v>
      </c>
      <c r="F1837" s="10" t="s">
        <v>29</v>
      </c>
      <c r="G1837" s="12" t="s">
        <v>9514</v>
      </c>
      <c r="H1837" s="12" t="s">
        <v>9515</v>
      </c>
      <c r="I1837" s="10"/>
      <c r="J1837" s="10"/>
      <c r="K1837" s="12"/>
    </row>
    <row r="1838" ht="15.75" customHeight="1">
      <c r="A1838" s="3" t="s">
        <v>12</v>
      </c>
      <c r="B1838" s="3" t="s">
        <v>359</v>
      </c>
      <c r="C1838" s="3" t="s">
        <v>9774</v>
      </c>
      <c r="D1838" s="8" t="str">
        <f t="shared" si="1"/>
        <v>Abrir anúncio ↗</v>
      </c>
      <c r="E1838" s="9" t="s">
        <v>9775</v>
      </c>
      <c r="F1838" s="3" t="s">
        <v>29</v>
      </c>
      <c r="G1838" s="9" t="s">
        <v>9253</v>
      </c>
      <c r="H1838" s="9" t="s">
        <v>9254</v>
      </c>
      <c r="I1838" s="3"/>
      <c r="J1838" s="3"/>
      <c r="K1838" s="9"/>
    </row>
    <row r="1839" ht="15.75" customHeight="1">
      <c r="A1839" s="10" t="s">
        <v>12</v>
      </c>
      <c r="B1839" s="10" t="s">
        <v>359</v>
      </c>
      <c r="C1839" s="10" t="s">
        <v>9776</v>
      </c>
      <c r="D1839" s="11" t="str">
        <f t="shared" si="1"/>
        <v>Abrir anúncio ↗</v>
      </c>
      <c r="E1839" s="12" t="s">
        <v>9777</v>
      </c>
      <c r="F1839" s="10" t="s">
        <v>29</v>
      </c>
      <c r="G1839" s="12" t="s">
        <v>9253</v>
      </c>
      <c r="H1839" s="12" t="s">
        <v>9254</v>
      </c>
      <c r="I1839" s="10"/>
      <c r="J1839" s="10"/>
      <c r="K1839" s="12"/>
    </row>
    <row r="1840" ht="15.75" customHeight="1">
      <c r="A1840" s="3" t="s">
        <v>12</v>
      </c>
      <c r="B1840" s="3" t="s">
        <v>359</v>
      </c>
      <c r="C1840" s="3" t="s">
        <v>9778</v>
      </c>
      <c r="D1840" s="8" t="str">
        <f t="shared" si="1"/>
        <v>Abrir anúncio ↗</v>
      </c>
      <c r="E1840" s="9" t="s">
        <v>9779</v>
      </c>
      <c r="F1840" s="3" t="s">
        <v>29</v>
      </c>
      <c r="G1840" s="9" t="s">
        <v>9514</v>
      </c>
      <c r="H1840" s="9" t="s">
        <v>9515</v>
      </c>
      <c r="I1840" s="3"/>
      <c r="J1840" s="3"/>
      <c r="K1840" s="9"/>
    </row>
    <row r="1841" ht="15.75" customHeight="1">
      <c r="A1841" s="10" t="s">
        <v>12</v>
      </c>
      <c r="B1841" s="10" t="s">
        <v>359</v>
      </c>
      <c r="C1841" s="10" t="s">
        <v>9780</v>
      </c>
      <c r="D1841" s="11" t="str">
        <f t="shared" si="1"/>
        <v>Abrir anúncio ↗</v>
      </c>
      <c r="E1841" s="12" t="s">
        <v>9781</v>
      </c>
      <c r="F1841" s="10" t="s">
        <v>29</v>
      </c>
      <c r="G1841" s="12" t="s">
        <v>4918</v>
      </c>
      <c r="H1841" s="12" t="s">
        <v>4919</v>
      </c>
      <c r="I1841" s="10"/>
      <c r="J1841" s="10"/>
      <c r="K1841" s="12"/>
    </row>
    <row r="1842" ht="15.75" customHeight="1">
      <c r="A1842" s="3" t="s">
        <v>12</v>
      </c>
      <c r="B1842" s="3" t="s">
        <v>359</v>
      </c>
      <c r="C1842" s="3" t="s">
        <v>9782</v>
      </c>
      <c r="D1842" s="8" t="str">
        <f t="shared" si="1"/>
        <v>Abrir anúncio ↗</v>
      </c>
      <c r="E1842" s="9" t="s">
        <v>9783</v>
      </c>
      <c r="F1842" s="3" t="s">
        <v>29</v>
      </c>
      <c r="G1842" s="9" t="s">
        <v>4918</v>
      </c>
      <c r="H1842" s="9" t="s">
        <v>4919</v>
      </c>
      <c r="I1842" s="3"/>
      <c r="J1842" s="3"/>
      <c r="K1842" s="9"/>
    </row>
    <row r="1843" ht="15.75" customHeight="1">
      <c r="A1843" s="10" t="s">
        <v>12</v>
      </c>
      <c r="B1843" s="10" t="s">
        <v>359</v>
      </c>
      <c r="C1843" s="10" t="s">
        <v>7262</v>
      </c>
      <c r="D1843" s="11" t="str">
        <f t="shared" si="1"/>
        <v>Abrir anúncio ↗</v>
      </c>
      <c r="E1843" s="12" t="s">
        <v>7260</v>
      </c>
      <c r="F1843" s="10" t="s">
        <v>29</v>
      </c>
      <c r="G1843" s="12" t="s">
        <v>4918</v>
      </c>
      <c r="H1843" s="12" t="s">
        <v>4919</v>
      </c>
      <c r="I1843" s="10"/>
      <c r="J1843" s="10"/>
      <c r="K1843" s="12"/>
    </row>
    <row r="1844" ht="15.75" customHeight="1">
      <c r="A1844" s="3" t="s">
        <v>12</v>
      </c>
      <c r="B1844" s="3" t="s">
        <v>359</v>
      </c>
      <c r="C1844" s="3" t="s">
        <v>9784</v>
      </c>
      <c r="D1844" s="8" t="str">
        <f t="shared" si="1"/>
        <v>Abrir anúncio ↗</v>
      </c>
      <c r="E1844" s="9" t="s">
        <v>9785</v>
      </c>
      <c r="F1844" s="3" t="s">
        <v>86</v>
      </c>
      <c r="G1844" s="9" t="s">
        <v>9514</v>
      </c>
      <c r="H1844" s="9" t="s">
        <v>9515</v>
      </c>
      <c r="I1844" s="3"/>
      <c r="J1844" s="3"/>
      <c r="K1844" s="9"/>
    </row>
    <row r="1845" ht="15.75" customHeight="1">
      <c r="A1845" s="10" t="s">
        <v>12</v>
      </c>
      <c r="B1845" s="10" t="s">
        <v>359</v>
      </c>
      <c r="C1845" s="10" t="s">
        <v>9786</v>
      </c>
      <c r="D1845" s="11" t="str">
        <f t="shared" si="1"/>
        <v>Abrir anúncio ↗</v>
      </c>
      <c r="E1845" s="12" t="s">
        <v>9787</v>
      </c>
      <c r="F1845" s="10" t="s">
        <v>29</v>
      </c>
      <c r="G1845" s="12" t="s">
        <v>4918</v>
      </c>
      <c r="H1845" s="12" t="s">
        <v>4919</v>
      </c>
      <c r="I1845" s="10"/>
      <c r="J1845" s="10"/>
      <c r="K1845" s="12"/>
    </row>
    <row r="1846" ht="15.75" customHeight="1">
      <c r="A1846" s="3" t="s">
        <v>12</v>
      </c>
      <c r="B1846" s="3" t="s">
        <v>359</v>
      </c>
      <c r="C1846" s="3" t="s">
        <v>9788</v>
      </c>
      <c r="D1846" s="8" t="str">
        <f t="shared" si="1"/>
        <v>Abrir anúncio ↗</v>
      </c>
      <c r="E1846" s="9" t="s">
        <v>9789</v>
      </c>
      <c r="F1846" s="3" t="s">
        <v>29</v>
      </c>
      <c r="G1846" s="9" t="s">
        <v>9285</v>
      </c>
      <c r="H1846" s="9" t="s">
        <v>9790</v>
      </c>
      <c r="I1846" s="3"/>
      <c r="J1846" s="3"/>
      <c r="K1846" s="9"/>
    </row>
    <row r="1847" ht="15.75" customHeight="1">
      <c r="A1847" s="10" t="s">
        <v>12</v>
      </c>
      <c r="B1847" s="10" t="s">
        <v>359</v>
      </c>
      <c r="C1847" s="10" t="s">
        <v>9791</v>
      </c>
      <c r="D1847" s="11" t="str">
        <f t="shared" si="1"/>
        <v>Abrir anúncio ↗</v>
      </c>
      <c r="E1847" s="12" t="s">
        <v>9792</v>
      </c>
      <c r="F1847" s="10" t="s">
        <v>29</v>
      </c>
      <c r="G1847" s="12" t="s">
        <v>9253</v>
      </c>
      <c r="H1847" s="12" t="s">
        <v>9254</v>
      </c>
      <c r="I1847" s="10"/>
      <c r="J1847" s="10"/>
      <c r="K1847" s="12"/>
    </row>
    <row r="1848" ht="15.75" customHeight="1">
      <c r="A1848" s="3" t="s">
        <v>12</v>
      </c>
      <c r="B1848" s="3" t="s">
        <v>359</v>
      </c>
      <c r="C1848" s="3" t="s">
        <v>9793</v>
      </c>
      <c r="D1848" s="8" t="str">
        <f t="shared" si="1"/>
        <v>Abrir anúncio ↗</v>
      </c>
      <c r="E1848" s="9" t="s">
        <v>9794</v>
      </c>
      <c r="F1848" s="3" t="s">
        <v>29</v>
      </c>
      <c r="G1848" s="9" t="s">
        <v>4918</v>
      </c>
      <c r="H1848" s="9" t="s">
        <v>4919</v>
      </c>
      <c r="I1848" s="3"/>
      <c r="J1848" s="3"/>
      <c r="K1848" s="9"/>
    </row>
    <row r="1849" ht="15.75" customHeight="1">
      <c r="A1849" s="10" t="s">
        <v>12</v>
      </c>
      <c r="B1849" s="10" t="s">
        <v>359</v>
      </c>
      <c r="C1849" s="10" t="s">
        <v>9795</v>
      </c>
      <c r="D1849" s="11" t="str">
        <f t="shared" si="1"/>
        <v>Abrir anúncio ↗</v>
      </c>
      <c r="E1849" s="12" t="s">
        <v>9796</v>
      </c>
      <c r="F1849" s="10" t="s">
        <v>29</v>
      </c>
      <c r="G1849" s="12" t="s">
        <v>5013</v>
      </c>
      <c r="H1849" s="12" t="s">
        <v>5015</v>
      </c>
      <c r="I1849" s="10"/>
      <c r="J1849" s="10"/>
      <c r="K1849" s="12"/>
    </row>
    <row r="1850" ht="15.75" customHeight="1">
      <c r="A1850" s="3" t="s">
        <v>12</v>
      </c>
      <c r="B1850" s="3" t="s">
        <v>359</v>
      </c>
      <c r="C1850" s="3" t="s">
        <v>9797</v>
      </c>
      <c r="D1850" s="8" t="str">
        <f t="shared" si="1"/>
        <v>Abrir anúncio ↗</v>
      </c>
      <c r="E1850" s="9" t="s">
        <v>9798</v>
      </c>
      <c r="F1850" s="3" t="s">
        <v>29</v>
      </c>
      <c r="G1850" s="9" t="s">
        <v>4918</v>
      </c>
      <c r="H1850" s="9" t="s">
        <v>4919</v>
      </c>
      <c r="I1850" s="3"/>
      <c r="J1850" s="3"/>
      <c r="K1850" s="9"/>
    </row>
    <row r="1851" ht="15.75" customHeight="1">
      <c r="A1851" s="10" t="s">
        <v>12</v>
      </c>
      <c r="B1851" s="10" t="s">
        <v>359</v>
      </c>
      <c r="C1851" s="10" t="s">
        <v>7911</v>
      </c>
      <c r="D1851" s="11" t="str">
        <f t="shared" si="1"/>
        <v>Abrir anúncio ↗</v>
      </c>
      <c r="E1851" s="12" t="s">
        <v>7910</v>
      </c>
      <c r="F1851" s="10" t="s">
        <v>29</v>
      </c>
      <c r="G1851" s="12" t="s">
        <v>4918</v>
      </c>
      <c r="H1851" s="12" t="s">
        <v>4919</v>
      </c>
      <c r="I1851" s="10"/>
      <c r="J1851" s="10"/>
      <c r="K1851" s="12"/>
    </row>
    <row r="1852" ht="15.75" customHeight="1">
      <c r="A1852" s="3" t="s">
        <v>12</v>
      </c>
      <c r="B1852" s="3" t="s">
        <v>359</v>
      </c>
      <c r="C1852" s="3" t="s">
        <v>9799</v>
      </c>
      <c r="D1852" s="8" t="str">
        <f t="shared" si="1"/>
        <v>Abrir anúncio ↗</v>
      </c>
      <c r="E1852" s="9" t="s">
        <v>9800</v>
      </c>
      <c r="F1852" s="3" t="s">
        <v>29</v>
      </c>
      <c r="G1852" s="9" t="s">
        <v>9253</v>
      </c>
      <c r="H1852" s="9" t="s">
        <v>9254</v>
      </c>
      <c r="I1852" s="3"/>
      <c r="J1852" s="3"/>
      <c r="K1852" s="9"/>
    </row>
    <row r="1853" ht="15.75" customHeight="1">
      <c r="A1853" s="10" t="s">
        <v>12</v>
      </c>
      <c r="B1853" s="10" t="s">
        <v>359</v>
      </c>
      <c r="C1853" s="10" t="s">
        <v>9801</v>
      </c>
      <c r="D1853" s="11" t="str">
        <f t="shared" si="1"/>
        <v>Abrir anúncio ↗</v>
      </c>
      <c r="E1853" s="12" t="s">
        <v>9802</v>
      </c>
      <c r="F1853" s="10" t="s">
        <v>29</v>
      </c>
      <c r="G1853" s="12" t="s">
        <v>5013</v>
      </c>
      <c r="H1853" s="12" t="s">
        <v>5015</v>
      </c>
      <c r="I1853" s="10"/>
      <c r="J1853" s="10"/>
      <c r="K1853" s="12"/>
    </row>
    <row r="1854" ht="15.75" customHeight="1">
      <c r="A1854" s="3" t="s">
        <v>12</v>
      </c>
      <c r="B1854" s="3" t="s">
        <v>359</v>
      </c>
      <c r="C1854" s="3" t="s">
        <v>9803</v>
      </c>
      <c r="D1854" s="8" t="str">
        <f t="shared" si="1"/>
        <v>Abrir anúncio ↗</v>
      </c>
      <c r="E1854" s="9" t="s">
        <v>9804</v>
      </c>
      <c r="F1854" s="3" t="s">
        <v>86</v>
      </c>
      <c r="G1854" s="9" t="s">
        <v>9514</v>
      </c>
      <c r="H1854" s="9" t="s">
        <v>9515</v>
      </c>
      <c r="I1854" s="3"/>
      <c r="J1854" s="3"/>
      <c r="K1854" s="9"/>
    </row>
    <row r="1855" ht="15.75" customHeight="1">
      <c r="A1855" s="10" t="s">
        <v>12</v>
      </c>
      <c r="B1855" s="10" t="s">
        <v>359</v>
      </c>
      <c r="C1855" s="10" t="s">
        <v>9805</v>
      </c>
      <c r="D1855" s="11" t="str">
        <f t="shared" si="1"/>
        <v>Abrir anúncio ↗</v>
      </c>
      <c r="E1855" s="12" t="s">
        <v>9806</v>
      </c>
      <c r="F1855" s="10" t="s">
        <v>29</v>
      </c>
      <c r="G1855" s="12" t="s">
        <v>4918</v>
      </c>
      <c r="H1855" s="12" t="s">
        <v>4919</v>
      </c>
      <c r="I1855" s="10"/>
      <c r="J1855" s="10"/>
      <c r="K1855" s="12"/>
    </row>
    <row r="1856" ht="15.75" customHeight="1">
      <c r="A1856" s="3" t="s">
        <v>12</v>
      </c>
      <c r="B1856" s="3" t="s">
        <v>359</v>
      </c>
      <c r="C1856" s="3" t="s">
        <v>9807</v>
      </c>
      <c r="D1856" s="8" t="str">
        <f t="shared" si="1"/>
        <v>Abrir anúncio ↗</v>
      </c>
      <c r="E1856" s="9" t="s">
        <v>9808</v>
      </c>
      <c r="F1856" s="3" t="s">
        <v>29</v>
      </c>
      <c r="G1856" s="9" t="s">
        <v>9253</v>
      </c>
      <c r="H1856" s="9" t="s">
        <v>9254</v>
      </c>
      <c r="I1856" s="3"/>
      <c r="J1856" s="3"/>
      <c r="K1856" s="9"/>
    </row>
    <row r="1857" ht="15.75" customHeight="1">
      <c r="A1857" s="10" t="s">
        <v>12</v>
      </c>
      <c r="B1857" s="10" t="s">
        <v>359</v>
      </c>
      <c r="C1857" s="10" t="s">
        <v>9809</v>
      </c>
      <c r="D1857" s="11" t="str">
        <f t="shared" si="1"/>
        <v>Abrir anúncio ↗</v>
      </c>
      <c r="E1857" s="12" t="s">
        <v>9810</v>
      </c>
      <c r="F1857" s="10" t="s">
        <v>29</v>
      </c>
      <c r="G1857" s="12" t="s">
        <v>5013</v>
      </c>
      <c r="H1857" s="12" t="s">
        <v>5015</v>
      </c>
      <c r="I1857" s="10"/>
      <c r="J1857" s="10"/>
      <c r="K1857" s="12"/>
    </row>
    <row r="1858" ht="15.75" customHeight="1">
      <c r="A1858" s="3" t="s">
        <v>12</v>
      </c>
      <c r="B1858" s="3" t="s">
        <v>359</v>
      </c>
      <c r="C1858" s="3" t="s">
        <v>9811</v>
      </c>
      <c r="D1858" s="8" t="str">
        <f t="shared" si="1"/>
        <v>Abrir anúncio ↗</v>
      </c>
      <c r="E1858" s="9" t="s">
        <v>9812</v>
      </c>
      <c r="F1858" s="3" t="s">
        <v>29</v>
      </c>
      <c r="G1858" s="9" t="s">
        <v>9514</v>
      </c>
      <c r="H1858" s="9" t="s">
        <v>9515</v>
      </c>
      <c r="I1858" s="3"/>
      <c r="J1858" s="3"/>
      <c r="K1858" s="9"/>
    </row>
    <row r="1859" ht="15.75" customHeight="1">
      <c r="A1859" s="10" t="s">
        <v>12</v>
      </c>
      <c r="B1859" s="10" t="s">
        <v>359</v>
      </c>
      <c r="C1859" s="10" t="s">
        <v>9813</v>
      </c>
      <c r="D1859" s="11" t="str">
        <f t="shared" si="1"/>
        <v>Abrir anúncio ↗</v>
      </c>
      <c r="E1859" s="12" t="s">
        <v>9814</v>
      </c>
      <c r="F1859" s="10" t="s">
        <v>29</v>
      </c>
      <c r="G1859" s="12" t="s">
        <v>4918</v>
      </c>
      <c r="H1859" s="12" t="s">
        <v>4919</v>
      </c>
      <c r="I1859" s="10"/>
      <c r="J1859" s="10"/>
      <c r="K1859" s="12"/>
    </row>
    <row r="1860" ht="15.75" customHeight="1">
      <c r="A1860" s="3" t="s">
        <v>12</v>
      </c>
      <c r="B1860" s="3" t="s">
        <v>359</v>
      </c>
      <c r="C1860" s="3" t="s">
        <v>9815</v>
      </c>
      <c r="D1860" s="8" t="str">
        <f t="shared" si="1"/>
        <v>Abrir anúncio ↗</v>
      </c>
      <c r="E1860" s="9" t="s">
        <v>9816</v>
      </c>
      <c r="F1860" s="3" t="s">
        <v>29</v>
      </c>
      <c r="G1860" s="9" t="s">
        <v>9514</v>
      </c>
      <c r="H1860" s="9" t="s">
        <v>9515</v>
      </c>
      <c r="I1860" s="3"/>
      <c r="J1860" s="3"/>
      <c r="K1860" s="9"/>
    </row>
    <row r="1861" ht="15.75" customHeight="1">
      <c r="A1861" s="10" t="s">
        <v>12</v>
      </c>
      <c r="B1861" s="10" t="s">
        <v>359</v>
      </c>
      <c r="C1861" s="10" t="s">
        <v>9817</v>
      </c>
      <c r="D1861" s="11" t="str">
        <f t="shared" si="1"/>
        <v>Abrir anúncio ↗</v>
      </c>
      <c r="E1861" s="12" t="s">
        <v>9818</v>
      </c>
      <c r="F1861" s="10" t="s">
        <v>29</v>
      </c>
      <c r="G1861" s="12" t="s">
        <v>9514</v>
      </c>
      <c r="H1861" s="12" t="s">
        <v>9515</v>
      </c>
      <c r="I1861" s="10"/>
      <c r="J1861" s="10"/>
      <c r="K1861" s="12"/>
    </row>
    <row r="1862" ht="15.75" customHeight="1">
      <c r="A1862" s="3" t="s">
        <v>12</v>
      </c>
      <c r="B1862" s="3" t="s">
        <v>359</v>
      </c>
      <c r="C1862" s="3" t="s">
        <v>9819</v>
      </c>
      <c r="D1862" s="8" t="str">
        <f t="shared" si="1"/>
        <v>Abrir anúncio ↗</v>
      </c>
      <c r="E1862" s="9" t="s">
        <v>9820</v>
      </c>
      <c r="F1862" s="3" t="s">
        <v>29</v>
      </c>
      <c r="G1862" s="9" t="s">
        <v>9514</v>
      </c>
      <c r="H1862" s="9" t="s">
        <v>9515</v>
      </c>
      <c r="I1862" s="3"/>
      <c r="J1862" s="3"/>
      <c r="K1862" s="9"/>
    </row>
    <row r="1863" ht="15.75" customHeight="1">
      <c r="A1863" s="10" t="s">
        <v>12</v>
      </c>
      <c r="B1863" s="10" t="s">
        <v>359</v>
      </c>
      <c r="C1863" s="10" t="s">
        <v>9821</v>
      </c>
      <c r="D1863" s="11" t="str">
        <f t="shared" si="1"/>
        <v>Abrir anúncio ↗</v>
      </c>
      <c r="E1863" s="12" t="s">
        <v>9822</v>
      </c>
      <c r="F1863" s="10" t="s">
        <v>29</v>
      </c>
      <c r="G1863" s="12" t="s">
        <v>9253</v>
      </c>
      <c r="H1863" s="12" t="s">
        <v>9254</v>
      </c>
      <c r="I1863" s="10"/>
      <c r="J1863" s="10"/>
      <c r="K1863" s="12"/>
    </row>
    <row r="1864" ht="15.75" customHeight="1">
      <c r="A1864" s="3" t="s">
        <v>12</v>
      </c>
      <c r="B1864" s="3" t="s">
        <v>359</v>
      </c>
      <c r="C1864" s="3" t="s">
        <v>9823</v>
      </c>
      <c r="D1864" s="8" t="str">
        <f t="shared" si="1"/>
        <v>Abrir anúncio ↗</v>
      </c>
      <c r="E1864" s="9" t="s">
        <v>9824</v>
      </c>
      <c r="F1864" s="3" t="s">
        <v>29</v>
      </c>
      <c r="G1864" s="9" t="s">
        <v>9514</v>
      </c>
      <c r="H1864" s="9" t="s">
        <v>9515</v>
      </c>
      <c r="I1864" s="3"/>
      <c r="J1864" s="3"/>
      <c r="K1864" s="9"/>
    </row>
    <row r="1865" ht="15.75" customHeight="1">
      <c r="A1865" s="10" t="s">
        <v>12</v>
      </c>
      <c r="B1865" s="10" t="s">
        <v>359</v>
      </c>
      <c r="C1865" s="10" t="s">
        <v>9825</v>
      </c>
      <c r="D1865" s="11" t="str">
        <f t="shared" si="1"/>
        <v>Abrir anúncio ↗</v>
      </c>
      <c r="E1865" s="12" t="s">
        <v>9826</v>
      </c>
      <c r="F1865" s="10" t="s">
        <v>29</v>
      </c>
      <c r="G1865" s="12" t="s">
        <v>4918</v>
      </c>
      <c r="H1865" s="12" t="s">
        <v>4919</v>
      </c>
      <c r="I1865" s="10"/>
      <c r="J1865" s="10"/>
      <c r="K1865" s="12"/>
    </row>
    <row r="1866" ht="15.75" customHeight="1">
      <c r="A1866" s="3" t="s">
        <v>12</v>
      </c>
      <c r="B1866" s="3" t="s">
        <v>359</v>
      </c>
      <c r="C1866" s="3" t="s">
        <v>9827</v>
      </c>
      <c r="D1866" s="8" t="str">
        <f t="shared" si="1"/>
        <v>Abrir anúncio ↗</v>
      </c>
      <c r="E1866" s="9" t="s">
        <v>9828</v>
      </c>
      <c r="F1866" s="3" t="s">
        <v>29</v>
      </c>
      <c r="G1866" s="9" t="s">
        <v>9514</v>
      </c>
      <c r="H1866" s="9" t="s">
        <v>9515</v>
      </c>
      <c r="I1866" s="3"/>
      <c r="J1866" s="3"/>
      <c r="K1866" s="9"/>
    </row>
    <row r="1867" ht="15.75" customHeight="1">
      <c r="A1867" s="10" t="s">
        <v>12</v>
      </c>
      <c r="B1867" s="10" t="s">
        <v>359</v>
      </c>
      <c r="C1867" s="10" t="s">
        <v>8496</v>
      </c>
      <c r="D1867" s="11" t="str">
        <f t="shared" si="1"/>
        <v>Abrir anúncio ↗</v>
      </c>
      <c r="E1867" s="12" t="s">
        <v>769</v>
      </c>
      <c r="F1867" s="10" t="s">
        <v>29</v>
      </c>
      <c r="G1867" s="12" t="s">
        <v>9514</v>
      </c>
      <c r="H1867" s="12" t="s">
        <v>9515</v>
      </c>
      <c r="I1867" s="10"/>
      <c r="J1867" s="10"/>
      <c r="K1867" s="12"/>
    </row>
    <row r="1868" ht="15.75" customHeight="1">
      <c r="A1868" s="3" t="s">
        <v>12</v>
      </c>
      <c r="B1868" s="3" t="s">
        <v>359</v>
      </c>
      <c r="C1868" s="3" t="s">
        <v>9829</v>
      </c>
      <c r="D1868" s="8" t="str">
        <f t="shared" si="1"/>
        <v>Abrir anúncio ↗</v>
      </c>
      <c r="E1868" s="9" t="s">
        <v>9830</v>
      </c>
      <c r="F1868" s="3" t="s">
        <v>29</v>
      </c>
      <c r="G1868" s="9" t="s">
        <v>9514</v>
      </c>
      <c r="H1868" s="9" t="s">
        <v>9515</v>
      </c>
      <c r="I1868" s="3"/>
      <c r="J1868" s="3"/>
      <c r="K1868" s="9"/>
    </row>
    <row r="1869" ht="15.75" customHeight="1">
      <c r="A1869" s="10" t="s">
        <v>12</v>
      </c>
      <c r="B1869" s="10" t="s">
        <v>359</v>
      </c>
      <c r="C1869" s="10" t="s">
        <v>9831</v>
      </c>
      <c r="D1869" s="11" t="str">
        <f t="shared" si="1"/>
        <v>Abrir anúncio ↗</v>
      </c>
      <c r="E1869" s="12" t="s">
        <v>9832</v>
      </c>
      <c r="F1869" s="10" t="s">
        <v>29</v>
      </c>
      <c r="G1869" s="12" t="s">
        <v>9514</v>
      </c>
      <c r="H1869" s="12" t="s">
        <v>9515</v>
      </c>
      <c r="I1869" s="10"/>
      <c r="J1869" s="10"/>
      <c r="K1869" s="12"/>
    </row>
    <row r="1870" ht="15.75" customHeight="1">
      <c r="A1870" s="3" t="s">
        <v>12</v>
      </c>
      <c r="B1870" s="3" t="s">
        <v>359</v>
      </c>
      <c r="C1870" s="3" t="s">
        <v>9833</v>
      </c>
      <c r="D1870" s="8" t="str">
        <f t="shared" si="1"/>
        <v>Abrir anúncio ↗</v>
      </c>
      <c r="E1870" s="9" t="s">
        <v>9834</v>
      </c>
      <c r="F1870" s="3" t="s">
        <v>29</v>
      </c>
      <c r="G1870" s="9" t="s">
        <v>9253</v>
      </c>
      <c r="H1870" s="9" t="s">
        <v>9254</v>
      </c>
      <c r="I1870" s="3"/>
      <c r="J1870" s="3"/>
      <c r="K1870" s="9"/>
    </row>
    <row r="1871" ht="15.75" customHeight="1">
      <c r="A1871" s="10" t="s">
        <v>12</v>
      </c>
      <c r="B1871" s="10" t="s">
        <v>359</v>
      </c>
      <c r="C1871" s="10" t="s">
        <v>8054</v>
      </c>
      <c r="D1871" s="11" t="str">
        <f t="shared" si="1"/>
        <v>Abrir anúncio ↗</v>
      </c>
      <c r="E1871" s="12" t="s">
        <v>7585</v>
      </c>
      <c r="F1871" s="10" t="s">
        <v>29</v>
      </c>
      <c r="G1871" s="12" t="s">
        <v>9253</v>
      </c>
      <c r="H1871" s="12" t="s">
        <v>9254</v>
      </c>
      <c r="I1871" s="10"/>
      <c r="J1871" s="10"/>
      <c r="K1871" s="12"/>
    </row>
    <row r="1872" ht="15.75" customHeight="1">
      <c r="A1872" s="3" t="s">
        <v>12</v>
      </c>
      <c r="B1872" s="3" t="s">
        <v>359</v>
      </c>
      <c r="C1872" s="3" t="s">
        <v>9835</v>
      </c>
      <c r="D1872" s="8" t="str">
        <f t="shared" si="1"/>
        <v>Abrir anúncio ↗</v>
      </c>
      <c r="E1872" s="9" t="s">
        <v>9836</v>
      </c>
      <c r="F1872" s="3" t="s">
        <v>29</v>
      </c>
      <c r="G1872" s="9" t="s">
        <v>9253</v>
      </c>
      <c r="H1872" s="9" t="s">
        <v>9254</v>
      </c>
      <c r="I1872" s="3"/>
      <c r="J1872" s="3"/>
      <c r="K1872" s="9"/>
    </row>
    <row r="1873" ht="15.75" customHeight="1">
      <c r="A1873" s="10" t="s">
        <v>12</v>
      </c>
      <c r="B1873" s="10" t="s">
        <v>359</v>
      </c>
      <c r="C1873" s="10" t="s">
        <v>9837</v>
      </c>
      <c r="D1873" s="11" t="str">
        <f t="shared" si="1"/>
        <v>Abrir anúncio ↗</v>
      </c>
      <c r="E1873" s="12" t="s">
        <v>9838</v>
      </c>
      <c r="F1873" s="10" t="s">
        <v>29</v>
      </c>
      <c r="G1873" s="12" t="s">
        <v>9514</v>
      </c>
      <c r="H1873" s="12" t="s">
        <v>9515</v>
      </c>
      <c r="I1873" s="10"/>
      <c r="J1873" s="10"/>
      <c r="K1873" s="12"/>
    </row>
    <row r="1874" ht="15.75" customHeight="1">
      <c r="A1874" s="3" t="s">
        <v>12</v>
      </c>
      <c r="B1874" s="3" t="s">
        <v>359</v>
      </c>
      <c r="C1874" s="3" t="s">
        <v>9839</v>
      </c>
      <c r="D1874" s="8" t="str">
        <f t="shared" si="1"/>
        <v>Abrir anúncio ↗</v>
      </c>
      <c r="E1874" s="9" t="s">
        <v>9840</v>
      </c>
      <c r="F1874" s="3" t="s">
        <v>86</v>
      </c>
      <c r="G1874" s="9" t="s">
        <v>5013</v>
      </c>
      <c r="H1874" s="9" t="s">
        <v>5015</v>
      </c>
      <c r="I1874" s="3"/>
      <c r="J1874" s="3"/>
      <c r="K1874" s="9"/>
    </row>
    <row r="1875" ht="15.75" customHeight="1">
      <c r="A1875" s="10" t="s">
        <v>12</v>
      </c>
      <c r="B1875" s="10" t="s">
        <v>359</v>
      </c>
      <c r="C1875" s="10" t="s">
        <v>9841</v>
      </c>
      <c r="D1875" s="11" t="str">
        <f t="shared" si="1"/>
        <v>Abrir anúncio ↗</v>
      </c>
      <c r="E1875" s="12" t="s">
        <v>9842</v>
      </c>
      <c r="F1875" s="10" t="s">
        <v>29</v>
      </c>
      <c r="G1875" s="12" t="s">
        <v>4918</v>
      </c>
      <c r="H1875" s="12" t="s">
        <v>4919</v>
      </c>
      <c r="I1875" s="10"/>
      <c r="J1875" s="10"/>
      <c r="K1875" s="12"/>
    </row>
    <row r="1876" ht="15.75" customHeight="1">
      <c r="A1876" s="3" t="s">
        <v>12</v>
      </c>
      <c r="B1876" s="3" t="s">
        <v>359</v>
      </c>
      <c r="C1876" s="3" t="s">
        <v>9843</v>
      </c>
      <c r="D1876" s="8" t="str">
        <f t="shared" si="1"/>
        <v>Abrir anúncio ↗</v>
      </c>
      <c r="E1876" s="9" t="s">
        <v>9844</v>
      </c>
      <c r="F1876" s="3" t="s">
        <v>29</v>
      </c>
      <c r="G1876" s="9" t="s">
        <v>9253</v>
      </c>
      <c r="H1876" s="9" t="s">
        <v>9254</v>
      </c>
      <c r="I1876" s="3"/>
      <c r="J1876" s="3"/>
      <c r="K1876" s="9"/>
    </row>
    <row r="1877" ht="15.75" customHeight="1">
      <c r="A1877" s="10" t="s">
        <v>12</v>
      </c>
      <c r="B1877" s="10" t="s">
        <v>359</v>
      </c>
      <c r="C1877" s="10" t="s">
        <v>9845</v>
      </c>
      <c r="D1877" s="11" t="str">
        <f t="shared" si="1"/>
        <v>Abrir anúncio ↗</v>
      </c>
      <c r="E1877" s="12" t="s">
        <v>9846</v>
      </c>
      <c r="F1877" s="10" t="s">
        <v>86</v>
      </c>
      <c r="G1877" s="12" t="s">
        <v>9514</v>
      </c>
      <c r="H1877" s="12" t="s">
        <v>9515</v>
      </c>
      <c r="I1877" s="10"/>
      <c r="J1877" s="10"/>
      <c r="K1877" s="12"/>
    </row>
    <row r="1878" ht="15.75" customHeight="1">
      <c r="A1878" s="3" t="s">
        <v>12</v>
      </c>
      <c r="B1878" s="3" t="s">
        <v>359</v>
      </c>
      <c r="C1878" s="3" t="s">
        <v>8175</v>
      </c>
      <c r="D1878" s="8" t="str">
        <f t="shared" si="1"/>
        <v>Abrir anúncio ↗</v>
      </c>
      <c r="E1878" s="9" t="s">
        <v>8174</v>
      </c>
      <c r="F1878" s="3" t="s">
        <v>29</v>
      </c>
      <c r="G1878" s="9" t="s">
        <v>9253</v>
      </c>
      <c r="H1878" s="9" t="s">
        <v>9254</v>
      </c>
      <c r="I1878" s="3"/>
      <c r="J1878" s="3"/>
      <c r="K1878" s="9"/>
    </row>
    <row r="1879" ht="15.75" customHeight="1">
      <c r="A1879" s="10" t="s">
        <v>12</v>
      </c>
      <c r="B1879" s="10" t="s">
        <v>359</v>
      </c>
      <c r="C1879" s="10" t="s">
        <v>9847</v>
      </c>
      <c r="D1879" s="11" t="str">
        <f t="shared" si="1"/>
        <v>Abrir anúncio ↗</v>
      </c>
      <c r="E1879" s="12" t="s">
        <v>9848</v>
      </c>
      <c r="F1879" s="10" t="s">
        <v>29</v>
      </c>
      <c r="G1879" s="12" t="s">
        <v>9253</v>
      </c>
      <c r="H1879" s="12" t="s">
        <v>9254</v>
      </c>
      <c r="I1879" s="10"/>
      <c r="J1879" s="10"/>
      <c r="K1879" s="12"/>
    </row>
    <row r="1880" ht="15.75" customHeight="1">
      <c r="A1880" s="3" t="s">
        <v>12</v>
      </c>
      <c r="B1880" s="3" t="s">
        <v>359</v>
      </c>
      <c r="C1880" s="3" t="s">
        <v>8179</v>
      </c>
      <c r="D1880" s="8" t="str">
        <f t="shared" si="1"/>
        <v>Abrir anúncio ↗</v>
      </c>
      <c r="E1880" s="9" t="s">
        <v>7014</v>
      </c>
      <c r="F1880" s="3" t="s">
        <v>29</v>
      </c>
      <c r="G1880" s="9" t="s">
        <v>9253</v>
      </c>
      <c r="H1880" s="9" t="s">
        <v>9254</v>
      </c>
      <c r="I1880" s="3"/>
      <c r="J1880" s="3"/>
      <c r="K1880" s="9"/>
    </row>
    <row r="1881" ht="15.75" customHeight="1">
      <c r="A1881" s="10" t="s">
        <v>12</v>
      </c>
      <c r="B1881" s="10" t="s">
        <v>359</v>
      </c>
      <c r="C1881" s="10" t="s">
        <v>9849</v>
      </c>
      <c r="D1881" s="11" t="str">
        <f t="shared" si="1"/>
        <v>Abrir anúncio ↗</v>
      </c>
      <c r="E1881" s="12" t="s">
        <v>9850</v>
      </c>
      <c r="F1881" s="10" t="s">
        <v>29</v>
      </c>
      <c r="G1881" s="12" t="s">
        <v>9514</v>
      </c>
      <c r="H1881" s="12" t="s">
        <v>9515</v>
      </c>
      <c r="I1881" s="10"/>
      <c r="J1881" s="10"/>
      <c r="K1881" s="12"/>
    </row>
    <row r="1882" ht="15.75" customHeight="1">
      <c r="A1882" s="3" t="s">
        <v>12</v>
      </c>
      <c r="B1882" s="3" t="s">
        <v>359</v>
      </c>
      <c r="C1882" s="3" t="s">
        <v>7287</v>
      </c>
      <c r="D1882" s="8" t="str">
        <f t="shared" si="1"/>
        <v>Abrir anúncio ↗</v>
      </c>
      <c r="E1882" s="9" t="s">
        <v>7283</v>
      </c>
      <c r="F1882" s="3" t="s">
        <v>29</v>
      </c>
      <c r="G1882" s="9" t="s">
        <v>4918</v>
      </c>
      <c r="H1882" s="9" t="s">
        <v>4919</v>
      </c>
      <c r="I1882" s="3"/>
      <c r="J1882" s="3"/>
      <c r="K1882" s="9"/>
    </row>
    <row r="1883" ht="15.75" customHeight="1">
      <c r="A1883" s="10" t="s">
        <v>12</v>
      </c>
      <c r="B1883" s="10" t="s">
        <v>359</v>
      </c>
      <c r="C1883" s="10" t="s">
        <v>9851</v>
      </c>
      <c r="D1883" s="11" t="str">
        <f t="shared" si="1"/>
        <v>Abrir anúncio ↗</v>
      </c>
      <c r="E1883" s="12" t="s">
        <v>9852</v>
      </c>
      <c r="F1883" s="10" t="s">
        <v>29</v>
      </c>
      <c r="G1883" s="12" t="s">
        <v>9514</v>
      </c>
      <c r="H1883" s="12" t="s">
        <v>9515</v>
      </c>
      <c r="I1883" s="10"/>
      <c r="J1883" s="10"/>
      <c r="K1883" s="12"/>
    </row>
    <row r="1884" ht="15.75" customHeight="1">
      <c r="A1884" s="3" t="s">
        <v>12</v>
      </c>
      <c r="B1884" s="3" t="s">
        <v>359</v>
      </c>
      <c r="C1884" s="3" t="s">
        <v>9853</v>
      </c>
      <c r="D1884" s="8" t="str">
        <f t="shared" si="1"/>
        <v>Abrir anúncio ↗</v>
      </c>
      <c r="E1884" s="9" t="s">
        <v>9854</v>
      </c>
      <c r="F1884" s="3" t="s">
        <v>29</v>
      </c>
      <c r="G1884" s="9" t="s">
        <v>9514</v>
      </c>
      <c r="H1884" s="9" t="s">
        <v>9515</v>
      </c>
      <c r="I1884" s="3"/>
      <c r="J1884" s="3"/>
      <c r="K1884" s="9"/>
    </row>
    <row r="1885" ht="15.75" customHeight="1">
      <c r="A1885" s="10" t="s">
        <v>12</v>
      </c>
      <c r="B1885" s="10" t="s">
        <v>359</v>
      </c>
      <c r="C1885" s="10" t="s">
        <v>9855</v>
      </c>
      <c r="D1885" s="11" t="str">
        <f t="shared" si="1"/>
        <v>Abrir anúncio ↗</v>
      </c>
      <c r="E1885" s="12" t="s">
        <v>9856</v>
      </c>
      <c r="F1885" s="10" t="s">
        <v>29</v>
      </c>
      <c r="G1885" s="12" t="s">
        <v>4918</v>
      </c>
      <c r="H1885" s="12" t="s">
        <v>4919</v>
      </c>
      <c r="I1885" s="10"/>
      <c r="J1885" s="10"/>
      <c r="K1885" s="12"/>
    </row>
    <row r="1886" ht="15.75" customHeight="1">
      <c r="A1886" s="3" t="s">
        <v>12</v>
      </c>
      <c r="B1886" s="3" t="s">
        <v>359</v>
      </c>
      <c r="C1886" s="3" t="s">
        <v>7918</v>
      </c>
      <c r="D1886" s="8" t="str">
        <f t="shared" si="1"/>
        <v>Abrir anúncio ↗</v>
      </c>
      <c r="E1886" s="9" t="s">
        <v>7916</v>
      </c>
      <c r="F1886" s="3" t="s">
        <v>29</v>
      </c>
      <c r="G1886" s="9" t="s">
        <v>4918</v>
      </c>
      <c r="H1886" s="9" t="s">
        <v>4919</v>
      </c>
      <c r="I1886" s="3"/>
      <c r="J1886" s="3"/>
      <c r="K1886" s="9"/>
    </row>
    <row r="1887" ht="15.75" customHeight="1">
      <c r="A1887" s="10" t="s">
        <v>12</v>
      </c>
      <c r="B1887" s="10" t="s">
        <v>359</v>
      </c>
      <c r="C1887" s="10" t="s">
        <v>9857</v>
      </c>
      <c r="D1887" s="11" t="str">
        <f t="shared" si="1"/>
        <v>Abrir anúncio ↗</v>
      </c>
      <c r="E1887" s="12" t="s">
        <v>9858</v>
      </c>
      <c r="F1887" s="10" t="s">
        <v>29</v>
      </c>
      <c r="G1887" s="12" t="s">
        <v>9514</v>
      </c>
      <c r="H1887" s="12" t="s">
        <v>9515</v>
      </c>
      <c r="I1887" s="10"/>
      <c r="J1887" s="10"/>
      <c r="K1887" s="12"/>
    </row>
    <row r="1888" ht="15.75" customHeight="1">
      <c r="A1888" s="3" t="s">
        <v>12</v>
      </c>
      <c r="B1888" s="3" t="s">
        <v>359</v>
      </c>
      <c r="C1888" s="3" t="s">
        <v>9859</v>
      </c>
      <c r="D1888" s="8" t="str">
        <f t="shared" si="1"/>
        <v>Abrir anúncio ↗</v>
      </c>
      <c r="E1888" s="9" t="s">
        <v>9860</v>
      </c>
      <c r="F1888" s="3" t="s">
        <v>29</v>
      </c>
      <c r="G1888" s="9" t="s">
        <v>4918</v>
      </c>
      <c r="H1888" s="9" t="s">
        <v>4919</v>
      </c>
      <c r="I1888" s="3"/>
      <c r="J1888" s="3"/>
      <c r="K1888" s="9"/>
    </row>
    <row r="1889" ht="15.75" customHeight="1">
      <c r="A1889" s="10" t="s">
        <v>12</v>
      </c>
      <c r="B1889" s="10" t="s">
        <v>359</v>
      </c>
      <c r="C1889" s="10" t="s">
        <v>9861</v>
      </c>
      <c r="D1889" s="11" t="str">
        <f t="shared" si="1"/>
        <v>Abrir anúncio ↗</v>
      </c>
      <c r="E1889" s="12" t="s">
        <v>9862</v>
      </c>
      <c r="F1889" s="10" t="s">
        <v>29</v>
      </c>
      <c r="G1889" s="12" t="s">
        <v>9514</v>
      </c>
      <c r="H1889" s="12" t="s">
        <v>9515</v>
      </c>
      <c r="I1889" s="10"/>
      <c r="J1889" s="10"/>
      <c r="K1889" s="12"/>
    </row>
    <row r="1890" ht="15.75" customHeight="1">
      <c r="A1890" s="3" t="s">
        <v>12</v>
      </c>
      <c r="B1890" s="3" t="s">
        <v>359</v>
      </c>
      <c r="C1890" s="3" t="s">
        <v>9863</v>
      </c>
      <c r="D1890" s="8" t="str">
        <f t="shared" si="1"/>
        <v>Abrir anúncio ↗</v>
      </c>
      <c r="E1890" s="9" t="s">
        <v>9864</v>
      </c>
      <c r="F1890" s="3" t="s">
        <v>29</v>
      </c>
      <c r="G1890" s="9" t="s">
        <v>4918</v>
      </c>
      <c r="H1890" s="9" t="s">
        <v>4919</v>
      </c>
      <c r="I1890" s="3"/>
      <c r="J1890" s="3"/>
      <c r="K1890" s="9"/>
    </row>
    <row r="1891" ht="15.75" customHeight="1">
      <c r="A1891" s="10" t="s">
        <v>12</v>
      </c>
      <c r="B1891" s="10" t="s">
        <v>359</v>
      </c>
      <c r="C1891" s="10" t="s">
        <v>9865</v>
      </c>
      <c r="D1891" s="11" t="str">
        <f t="shared" si="1"/>
        <v>Abrir anúncio ↗</v>
      </c>
      <c r="E1891" s="12" t="s">
        <v>9866</v>
      </c>
      <c r="F1891" s="10" t="s">
        <v>86</v>
      </c>
      <c r="G1891" s="12" t="s">
        <v>9514</v>
      </c>
      <c r="H1891" s="12" t="s">
        <v>9515</v>
      </c>
      <c r="I1891" s="10"/>
      <c r="J1891" s="10"/>
      <c r="K1891" s="12"/>
    </row>
    <row r="1892" ht="15.75" customHeight="1">
      <c r="A1892" s="3" t="s">
        <v>12</v>
      </c>
      <c r="B1892" s="3" t="s">
        <v>359</v>
      </c>
      <c r="C1892" s="3" t="s">
        <v>9867</v>
      </c>
      <c r="D1892" s="8" t="str">
        <f t="shared" si="1"/>
        <v>Abrir anúncio ↗</v>
      </c>
      <c r="E1892" s="9" t="s">
        <v>9868</v>
      </c>
      <c r="F1892" s="3" t="s">
        <v>29</v>
      </c>
      <c r="G1892" s="9" t="s">
        <v>9514</v>
      </c>
      <c r="H1892" s="9" t="s">
        <v>9515</v>
      </c>
      <c r="I1892" s="3"/>
      <c r="J1892" s="3"/>
      <c r="K1892" s="9"/>
    </row>
    <row r="1893" ht="15.75" customHeight="1">
      <c r="A1893" s="10" t="s">
        <v>12</v>
      </c>
      <c r="B1893" s="10" t="s">
        <v>359</v>
      </c>
      <c r="C1893" s="10" t="s">
        <v>9869</v>
      </c>
      <c r="D1893" s="11" t="str">
        <f t="shared" si="1"/>
        <v>Abrir anúncio ↗</v>
      </c>
      <c r="E1893" s="12" t="s">
        <v>9870</v>
      </c>
      <c r="F1893" s="10" t="s">
        <v>29</v>
      </c>
      <c r="G1893" s="12" t="s">
        <v>9514</v>
      </c>
      <c r="H1893" s="12" t="s">
        <v>9515</v>
      </c>
      <c r="I1893" s="10"/>
      <c r="J1893" s="10"/>
      <c r="K1893" s="12"/>
    </row>
    <row r="1894" ht="15.75" customHeight="1">
      <c r="A1894" s="3" t="s">
        <v>12</v>
      </c>
      <c r="B1894" s="3" t="s">
        <v>359</v>
      </c>
      <c r="C1894" s="3" t="s">
        <v>9871</v>
      </c>
      <c r="D1894" s="8" t="str">
        <f t="shared" si="1"/>
        <v>Abrir anúncio ↗</v>
      </c>
      <c r="E1894" s="9" t="s">
        <v>9872</v>
      </c>
      <c r="F1894" s="3" t="s">
        <v>29</v>
      </c>
      <c r="G1894" s="9" t="s">
        <v>9514</v>
      </c>
      <c r="H1894" s="9" t="s">
        <v>9515</v>
      </c>
      <c r="I1894" s="3"/>
      <c r="J1894" s="3"/>
      <c r="K1894" s="9"/>
    </row>
    <row r="1895" ht="15.75" customHeight="1">
      <c r="A1895" s="10" t="s">
        <v>12</v>
      </c>
      <c r="B1895" s="10" t="s">
        <v>359</v>
      </c>
      <c r="C1895" s="10" t="s">
        <v>9873</v>
      </c>
      <c r="D1895" s="11" t="str">
        <f t="shared" si="1"/>
        <v>Abrir anúncio ↗</v>
      </c>
      <c r="E1895" s="12" t="s">
        <v>9874</v>
      </c>
      <c r="F1895" s="10" t="s">
        <v>29</v>
      </c>
      <c r="G1895" s="12" t="s">
        <v>4918</v>
      </c>
      <c r="H1895" s="12" t="s">
        <v>4919</v>
      </c>
      <c r="I1895" s="10"/>
      <c r="J1895" s="10"/>
      <c r="K1895" s="12"/>
    </row>
    <row r="1896" ht="15.75" customHeight="1">
      <c r="A1896" s="3" t="s">
        <v>12</v>
      </c>
      <c r="B1896" s="3" t="s">
        <v>359</v>
      </c>
      <c r="C1896" s="3" t="s">
        <v>9875</v>
      </c>
      <c r="D1896" s="8" t="str">
        <f t="shared" si="1"/>
        <v>Abrir anúncio ↗</v>
      </c>
      <c r="E1896" s="9" t="s">
        <v>9876</v>
      </c>
      <c r="F1896" s="3" t="s">
        <v>29</v>
      </c>
      <c r="G1896" s="9" t="s">
        <v>4918</v>
      </c>
      <c r="H1896" s="9" t="s">
        <v>4919</v>
      </c>
      <c r="I1896" s="3"/>
      <c r="J1896" s="3"/>
      <c r="K1896" s="9"/>
    </row>
    <row r="1897" ht="15.75" customHeight="1">
      <c r="A1897" s="10" t="s">
        <v>12</v>
      </c>
      <c r="B1897" s="10" t="s">
        <v>359</v>
      </c>
      <c r="C1897" s="10" t="s">
        <v>9877</v>
      </c>
      <c r="D1897" s="11" t="str">
        <f t="shared" si="1"/>
        <v>Abrir anúncio ↗</v>
      </c>
      <c r="E1897" s="12" t="s">
        <v>9878</v>
      </c>
      <c r="F1897" s="10" t="s">
        <v>29</v>
      </c>
      <c r="G1897" s="12" t="s">
        <v>9514</v>
      </c>
      <c r="H1897" s="12" t="s">
        <v>9515</v>
      </c>
      <c r="I1897" s="10"/>
      <c r="J1897" s="10"/>
      <c r="K1897" s="12"/>
    </row>
    <row r="1898" ht="15.75" customHeight="1">
      <c r="A1898" s="3" t="s">
        <v>12</v>
      </c>
      <c r="B1898" s="3" t="s">
        <v>359</v>
      </c>
      <c r="C1898" s="3" t="s">
        <v>9879</v>
      </c>
      <c r="D1898" s="8" t="str">
        <f t="shared" si="1"/>
        <v>Abrir anúncio ↗</v>
      </c>
      <c r="E1898" s="9" t="s">
        <v>9880</v>
      </c>
      <c r="F1898" s="3" t="s">
        <v>29</v>
      </c>
      <c r="G1898" s="9" t="s">
        <v>4918</v>
      </c>
      <c r="H1898" s="9" t="s">
        <v>4919</v>
      </c>
      <c r="I1898" s="3"/>
      <c r="J1898" s="3"/>
      <c r="K1898" s="9"/>
    </row>
    <row r="1899" ht="15.75" customHeight="1">
      <c r="A1899" s="10" t="s">
        <v>12</v>
      </c>
      <c r="B1899" s="10" t="s">
        <v>359</v>
      </c>
      <c r="C1899" s="10" t="s">
        <v>9881</v>
      </c>
      <c r="D1899" s="11" t="str">
        <f t="shared" si="1"/>
        <v>Abrir anúncio ↗</v>
      </c>
      <c r="E1899" s="12" t="s">
        <v>9882</v>
      </c>
      <c r="F1899" s="10" t="s">
        <v>29</v>
      </c>
      <c r="G1899" s="12" t="s">
        <v>9514</v>
      </c>
      <c r="H1899" s="12" t="s">
        <v>9515</v>
      </c>
      <c r="I1899" s="10"/>
      <c r="J1899" s="10"/>
      <c r="K1899" s="12"/>
    </row>
    <row r="1900" ht="15.75" customHeight="1">
      <c r="A1900" s="3" t="s">
        <v>12</v>
      </c>
      <c r="B1900" s="3" t="s">
        <v>359</v>
      </c>
      <c r="C1900" s="3" t="s">
        <v>9883</v>
      </c>
      <c r="D1900" s="8" t="str">
        <f t="shared" si="1"/>
        <v>Abrir anúncio ↗</v>
      </c>
      <c r="E1900" s="9" t="s">
        <v>9884</v>
      </c>
      <c r="F1900" s="3" t="s">
        <v>29</v>
      </c>
      <c r="G1900" s="9" t="s">
        <v>9514</v>
      </c>
      <c r="H1900" s="9" t="s">
        <v>9515</v>
      </c>
      <c r="I1900" s="3"/>
      <c r="J1900" s="3"/>
      <c r="K1900" s="9"/>
    </row>
    <row r="1901" ht="15.75" customHeight="1">
      <c r="A1901" s="10" t="s">
        <v>12</v>
      </c>
      <c r="B1901" s="10" t="s">
        <v>359</v>
      </c>
      <c r="C1901" s="10" t="s">
        <v>9885</v>
      </c>
      <c r="D1901" s="11" t="str">
        <f t="shared" si="1"/>
        <v>Abrir anúncio ↗</v>
      </c>
      <c r="E1901" s="12" t="s">
        <v>9886</v>
      </c>
      <c r="F1901" s="10" t="s">
        <v>29</v>
      </c>
      <c r="G1901" s="12" t="s">
        <v>4918</v>
      </c>
      <c r="H1901" s="12" t="s">
        <v>4919</v>
      </c>
      <c r="I1901" s="10"/>
      <c r="J1901" s="10"/>
      <c r="K1901" s="12"/>
    </row>
    <row r="1902" ht="15.75" customHeight="1">
      <c r="A1902" s="3" t="s">
        <v>12</v>
      </c>
      <c r="B1902" s="3" t="s">
        <v>359</v>
      </c>
      <c r="C1902" s="3" t="s">
        <v>9887</v>
      </c>
      <c r="D1902" s="8" t="str">
        <f t="shared" si="1"/>
        <v>Abrir anúncio ↗</v>
      </c>
      <c r="E1902" s="9" t="s">
        <v>9888</v>
      </c>
      <c r="F1902" s="3" t="s">
        <v>29</v>
      </c>
      <c r="G1902" s="9" t="s">
        <v>9514</v>
      </c>
      <c r="H1902" s="9" t="s">
        <v>9515</v>
      </c>
      <c r="I1902" s="3"/>
      <c r="J1902" s="3"/>
      <c r="K1902" s="9"/>
    </row>
    <row r="1903" ht="15.75" customHeight="1">
      <c r="A1903" s="10" t="s">
        <v>12</v>
      </c>
      <c r="B1903" s="10" t="s">
        <v>359</v>
      </c>
      <c r="C1903" s="10" t="s">
        <v>9889</v>
      </c>
      <c r="D1903" s="11" t="str">
        <f t="shared" si="1"/>
        <v>Abrir anúncio ↗</v>
      </c>
      <c r="E1903" s="12" t="s">
        <v>9890</v>
      </c>
      <c r="F1903" s="10" t="s">
        <v>29</v>
      </c>
      <c r="G1903" s="12" t="s">
        <v>4918</v>
      </c>
      <c r="H1903" s="12" t="s">
        <v>4919</v>
      </c>
      <c r="I1903" s="10"/>
      <c r="J1903" s="10"/>
      <c r="K1903" s="12"/>
    </row>
    <row r="1904" ht="15.75" customHeight="1">
      <c r="A1904" s="3" t="s">
        <v>12</v>
      </c>
      <c r="B1904" s="3" t="s">
        <v>359</v>
      </c>
      <c r="C1904" s="3" t="s">
        <v>9891</v>
      </c>
      <c r="D1904" s="8" t="str">
        <f t="shared" si="1"/>
        <v>Abrir anúncio ↗</v>
      </c>
      <c r="E1904" s="9" t="s">
        <v>9892</v>
      </c>
      <c r="F1904" s="3" t="s">
        <v>29</v>
      </c>
      <c r="G1904" s="9" t="s">
        <v>9514</v>
      </c>
      <c r="H1904" s="9" t="s">
        <v>9515</v>
      </c>
      <c r="I1904" s="3"/>
      <c r="J1904" s="3"/>
      <c r="K1904" s="9"/>
    </row>
    <row r="1905" ht="15.75" customHeight="1">
      <c r="A1905" s="10" t="s">
        <v>12</v>
      </c>
      <c r="B1905" s="10" t="s">
        <v>359</v>
      </c>
      <c r="C1905" s="10" t="s">
        <v>9893</v>
      </c>
      <c r="D1905" s="11" t="str">
        <f t="shared" si="1"/>
        <v>Abrir anúncio ↗</v>
      </c>
      <c r="E1905" s="12" t="s">
        <v>9894</v>
      </c>
      <c r="F1905" s="10" t="s">
        <v>29</v>
      </c>
      <c r="G1905" s="12" t="s">
        <v>5013</v>
      </c>
      <c r="H1905" s="12" t="s">
        <v>5015</v>
      </c>
      <c r="I1905" s="10"/>
      <c r="J1905" s="10"/>
      <c r="K1905" s="12"/>
    </row>
    <row r="1906" ht="15.75" customHeight="1">
      <c r="A1906" s="3" t="s">
        <v>12</v>
      </c>
      <c r="B1906" s="3" t="s">
        <v>359</v>
      </c>
      <c r="C1906" s="3" t="s">
        <v>9895</v>
      </c>
      <c r="D1906" s="8" t="str">
        <f t="shared" si="1"/>
        <v>Abrir anúncio ↗</v>
      </c>
      <c r="E1906" s="9" t="s">
        <v>9896</v>
      </c>
      <c r="F1906" s="3" t="s">
        <v>29</v>
      </c>
      <c r="G1906" s="9" t="s">
        <v>4918</v>
      </c>
      <c r="H1906" s="9" t="s">
        <v>4919</v>
      </c>
      <c r="I1906" s="3"/>
      <c r="J1906" s="3"/>
      <c r="K1906" s="9"/>
    </row>
    <row r="1907" ht="15.75" customHeight="1">
      <c r="A1907" s="10" t="s">
        <v>12</v>
      </c>
      <c r="B1907" s="10" t="s">
        <v>359</v>
      </c>
      <c r="C1907" s="10" t="s">
        <v>9897</v>
      </c>
      <c r="D1907" s="11" t="str">
        <f t="shared" si="1"/>
        <v>Abrir anúncio ↗</v>
      </c>
      <c r="E1907" s="12" t="s">
        <v>9898</v>
      </c>
      <c r="F1907" s="10" t="s">
        <v>29</v>
      </c>
      <c r="G1907" s="12" t="s">
        <v>9514</v>
      </c>
      <c r="H1907" s="12" t="s">
        <v>9515</v>
      </c>
      <c r="I1907" s="10"/>
      <c r="J1907" s="10"/>
      <c r="K1907" s="12"/>
    </row>
    <row r="1908" ht="15.75" customHeight="1">
      <c r="A1908" s="3" t="s">
        <v>12</v>
      </c>
      <c r="B1908" s="3" t="s">
        <v>359</v>
      </c>
      <c r="C1908" s="3" t="s">
        <v>7552</v>
      </c>
      <c r="D1908" s="8" t="str">
        <f t="shared" si="1"/>
        <v>Abrir anúncio ↗</v>
      </c>
      <c r="E1908" s="9" t="s">
        <v>7551</v>
      </c>
      <c r="F1908" s="3" t="s">
        <v>29</v>
      </c>
      <c r="G1908" s="9" t="s">
        <v>4918</v>
      </c>
      <c r="H1908" s="9" t="s">
        <v>4919</v>
      </c>
      <c r="I1908" s="3"/>
      <c r="J1908" s="3"/>
      <c r="K1908" s="9"/>
    </row>
    <row r="1909" ht="15.75" customHeight="1">
      <c r="A1909" s="10" t="s">
        <v>12</v>
      </c>
      <c r="B1909" s="10" t="s">
        <v>359</v>
      </c>
      <c r="C1909" s="10" t="s">
        <v>9899</v>
      </c>
      <c r="D1909" s="11" t="str">
        <f t="shared" si="1"/>
        <v>Abrir anúncio ↗</v>
      </c>
      <c r="E1909" s="12" t="s">
        <v>9900</v>
      </c>
      <c r="F1909" s="10" t="s">
        <v>29</v>
      </c>
      <c r="G1909" s="12" t="s">
        <v>4918</v>
      </c>
      <c r="H1909" s="12" t="s">
        <v>4919</v>
      </c>
      <c r="I1909" s="10"/>
      <c r="J1909" s="10"/>
      <c r="K1909" s="12"/>
    </row>
    <row r="1910" ht="15.75" customHeight="1">
      <c r="A1910" s="3" t="s">
        <v>12</v>
      </c>
      <c r="B1910" s="3" t="s">
        <v>359</v>
      </c>
      <c r="C1910" s="3" t="s">
        <v>9901</v>
      </c>
      <c r="D1910" s="8" t="str">
        <f t="shared" si="1"/>
        <v>Abrir anúncio ↗</v>
      </c>
      <c r="E1910" s="9" t="s">
        <v>9902</v>
      </c>
      <c r="F1910" s="3" t="s">
        <v>29</v>
      </c>
      <c r="G1910" s="9" t="s">
        <v>9514</v>
      </c>
      <c r="H1910" s="9" t="s">
        <v>9515</v>
      </c>
      <c r="I1910" s="3"/>
      <c r="J1910" s="3"/>
      <c r="K1910" s="9"/>
    </row>
    <row r="1911" ht="15.75" customHeight="1">
      <c r="A1911" s="10" t="s">
        <v>12</v>
      </c>
      <c r="B1911" s="10" t="s">
        <v>359</v>
      </c>
      <c r="C1911" s="10" t="s">
        <v>9903</v>
      </c>
      <c r="D1911" s="11" t="str">
        <f t="shared" si="1"/>
        <v>Abrir anúncio ↗</v>
      </c>
      <c r="E1911" s="12" t="s">
        <v>9904</v>
      </c>
      <c r="F1911" s="10" t="s">
        <v>29</v>
      </c>
      <c r="G1911" s="12" t="s">
        <v>4918</v>
      </c>
      <c r="H1911" s="12" t="s">
        <v>4919</v>
      </c>
      <c r="I1911" s="10"/>
      <c r="J1911" s="10"/>
      <c r="K1911" s="12"/>
    </row>
    <row r="1912" ht="15.75" customHeight="1">
      <c r="A1912" s="3" t="s">
        <v>12</v>
      </c>
      <c r="B1912" s="3" t="s">
        <v>359</v>
      </c>
      <c r="C1912" s="3" t="s">
        <v>9905</v>
      </c>
      <c r="D1912" s="8" t="str">
        <f t="shared" si="1"/>
        <v>Abrir anúncio ↗</v>
      </c>
      <c r="E1912" s="9" t="s">
        <v>9906</v>
      </c>
      <c r="F1912" s="3" t="s">
        <v>29</v>
      </c>
      <c r="G1912" s="9" t="s">
        <v>9253</v>
      </c>
      <c r="H1912" s="9" t="s">
        <v>9254</v>
      </c>
      <c r="I1912" s="3"/>
      <c r="J1912" s="3"/>
      <c r="K1912" s="9"/>
    </row>
    <row r="1913" ht="15.75" customHeight="1">
      <c r="A1913" s="10" t="s">
        <v>12</v>
      </c>
      <c r="B1913" s="10" t="s">
        <v>359</v>
      </c>
      <c r="C1913" s="10" t="s">
        <v>9907</v>
      </c>
      <c r="D1913" s="11" t="str">
        <f t="shared" si="1"/>
        <v>Abrir anúncio ↗</v>
      </c>
      <c r="E1913" s="12" t="s">
        <v>9908</v>
      </c>
      <c r="F1913" s="10" t="s">
        <v>29</v>
      </c>
      <c r="G1913" s="12" t="s">
        <v>9514</v>
      </c>
      <c r="H1913" s="12" t="s">
        <v>9515</v>
      </c>
      <c r="I1913" s="10"/>
      <c r="J1913" s="10"/>
      <c r="K1913" s="12"/>
    </row>
    <row r="1914" ht="15.75" customHeight="1">
      <c r="A1914" s="3" t="s">
        <v>12</v>
      </c>
      <c r="B1914" s="3" t="s">
        <v>359</v>
      </c>
      <c r="C1914" s="3" t="s">
        <v>9909</v>
      </c>
      <c r="D1914" s="8" t="str">
        <f t="shared" si="1"/>
        <v>Abrir anúncio ↗</v>
      </c>
      <c r="E1914" s="9" t="s">
        <v>9910</v>
      </c>
      <c r="F1914" s="3" t="s">
        <v>29</v>
      </c>
      <c r="G1914" s="9" t="s">
        <v>9514</v>
      </c>
      <c r="H1914" s="9" t="s">
        <v>9515</v>
      </c>
      <c r="I1914" s="3"/>
      <c r="J1914" s="3"/>
      <c r="K1914" s="9"/>
    </row>
    <row r="1915" ht="15.75" customHeight="1">
      <c r="A1915" s="10" t="s">
        <v>12</v>
      </c>
      <c r="B1915" s="10" t="s">
        <v>359</v>
      </c>
      <c r="C1915" s="10" t="s">
        <v>9911</v>
      </c>
      <c r="D1915" s="11" t="str">
        <f t="shared" si="1"/>
        <v>Abrir anúncio ↗</v>
      </c>
      <c r="E1915" s="12" t="s">
        <v>9912</v>
      </c>
      <c r="F1915" s="10" t="s">
        <v>29</v>
      </c>
      <c r="G1915" s="12" t="s">
        <v>4918</v>
      </c>
      <c r="H1915" s="12" t="s">
        <v>4919</v>
      </c>
      <c r="I1915" s="10"/>
      <c r="J1915" s="10"/>
      <c r="K1915" s="12"/>
    </row>
    <row r="1916" ht="15.75" customHeight="1">
      <c r="A1916" s="3" t="s">
        <v>12</v>
      </c>
      <c r="B1916" s="3" t="s">
        <v>359</v>
      </c>
      <c r="C1916" s="3" t="s">
        <v>9913</v>
      </c>
      <c r="D1916" s="8" t="str">
        <f t="shared" si="1"/>
        <v>Abrir anúncio ↗</v>
      </c>
      <c r="E1916" s="9" t="s">
        <v>9914</v>
      </c>
      <c r="F1916" s="3" t="s">
        <v>86</v>
      </c>
      <c r="G1916" s="9" t="s">
        <v>9514</v>
      </c>
      <c r="H1916" s="9" t="s">
        <v>9515</v>
      </c>
      <c r="I1916" s="3"/>
      <c r="J1916" s="3"/>
      <c r="K1916" s="9"/>
    </row>
    <row r="1917" ht="15.75" customHeight="1">
      <c r="A1917" s="10" t="s">
        <v>12</v>
      </c>
      <c r="B1917" s="10" t="s">
        <v>359</v>
      </c>
      <c r="C1917" s="10" t="s">
        <v>7856</v>
      </c>
      <c r="D1917" s="11" t="str">
        <f t="shared" si="1"/>
        <v>Abrir anúncio ↗</v>
      </c>
      <c r="E1917" s="12" t="s">
        <v>7314</v>
      </c>
      <c r="F1917" s="10" t="s">
        <v>29</v>
      </c>
      <c r="G1917" s="12" t="s">
        <v>9253</v>
      </c>
      <c r="H1917" s="12" t="s">
        <v>9254</v>
      </c>
      <c r="I1917" s="10"/>
      <c r="J1917" s="10"/>
      <c r="K1917" s="12"/>
    </row>
    <row r="1918" ht="15.75" customHeight="1">
      <c r="A1918" s="3" t="s">
        <v>12</v>
      </c>
      <c r="B1918" s="3" t="s">
        <v>359</v>
      </c>
      <c r="C1918" s="3" t="s">
        <v>9915</v>
      </c>
      <c r="D1918" s="8" t="str">
        <f t="shared" si="1"/>
        <v>Abrir anúncio ↗</v>
      </c>
      <c r="E1918" s="9" t="s">
        <v>9916</v>
      </c>
      <c r="F1918" s="3" t="s">
        <v>29</v>
      </c>
      <c r="G1918" s="9" t="s">
        <v>9514</v>
      </c>
      <c r="H1918" s="9" t="s">
        <v>9917</v>
      </c>
      <c r="I1918" s="3"/>
      <c r="J1918" s="3"/>
      <c r="K1918" s="9"/>
    </row>
    <row r="1919" ht="15.75" customHeight="1">
      <c r="A1919" s="10" t="s">
        <v>12</v>
      </c>
      <c r="B1919" s="10" t="s">
        <v>359</v>
      </c>
      <c r="C1919" s="10" t="s">
        <v>9918</v>
      </c>
      <c r="D1919" s="11" t="str">
        <f t="shared" si="1"/>
        <v>Abrir anúncio ↗</v>
      </c>
      <c r="E1919" s="12" t="s">
        <v>9919</v>
      </c>
      <c r="F1919" s="10" t="s">
        <v>29</v>
      </c>
      <c r="G1919" s="12" t="s">
        <v>9514</v>
      </c>
      <c r="H1919" s="12" t="s">
        <v>9515</v>
      </c>
      <c r="I1919" s="10"/>
      <c r="J1919" s="10"/>
      <c r="K1919" s="12"/>
    </row>
    <row r="1920" ht="15.75" customHeight="1">
      <c r="A1920" s="3" t="s">
        <v>12</v>
      </c>
      <c r="B1920" s="3" t="s">
        <v>359</v>
      </c>
      <c r="C1920" s="3" t="s">
        <v>9920</v>
      </c>
      <c r="D1920" s="8" t="str">
        <f t="shared" si="1"/>
        <v>Abrir anúncio ↗</v>
      </c>
      <c r="E1920" s="9" t="s">
        <v>9921</v>
      </c>
      <c r="F1920" s="3" t="s">
        <v>29</v>
      </c>
      <c r="G1920" s="9" t="s">
        <v>9514</v>
      </c>
      <c r="H1920" s="9" t="s">
        <v>9515</v>
      </c>
      <c r="I1920" s="3"/>
      <c r="J1920" s="3"/>
      <c r="K1920" s="9"/>
    </row>
    <row r="1921" ht="15.75" customHeight="1">
      <c r="A1921" s="10" t="s">
        <v>12</v>
      </c>
      <c r="B1921" s="10" t="s">
        <v>359</v>
      </c>
      <c r="C1921" s="10" t="s">
        <v>7161</v>
      </c>
      <c r="D1921" s="11" t="str">
        <f t="shared" si="1"/>
        <v>Abrir anúncio ↗</v>
      </c>
      <c r="E1921" s="12" t="s">
        <v>7156</v>
      </c>
      <c r="F1921" s="10" t="s">
        <v>29</v>
      </c>
      <c r="G1921" s="12" t="s">
        <v>9253</v>
      </c>
      <c r="H1921" s="12" t="s">
        <v>9254</v>
      </c>
      <c r="I1921" s="10"/>
      <c r="J1921" s="10"/>
      <c r="K1921" s="12"/>
    </row>
    <row r="1922" ht="15.75" customHeight="1">
      <c r="A1922" s="3" t="s">
        <v>12</v>
      </c>
      <c r="B1922" s="3" t="s">
        <v>359</v>
      </c>
      <c r="C1922" s="3" t="s">
        <v>9922</v>
      </c>
      <c r="D1922" s="8" t="str">
        <f t="shared" si="1"/>
        <v>Abrir anúncio ↗</v>
      </c>
      <c r="E1922" s="9" t="s">
        <v>9923</v>
      </c>
      <c r="F1922" s="3" t="s">
        <v>29</v>
      </c>
      <c r="G1922" s="9" t="s">
        <v>9253</v>
      </c>
      <c r="H1922" s="9" t="s">
        <v>9254</v>
      </c>
      <c r="I1922" s="3"/>
      <c r="J1922" s="3"/>
      <c r="K1922" s="9"/>
    </row>
    <row r="1923" ht="15.75" customHeight="1">
      <c r="A1923" s="10" t="s">
        <v>12</v>
      </c>
      <c r="B1923" s="10" t="s">
        <v>359</v>
      </c>
      <c r="C1923" s="10" t="s">
        <v>9924</v>
      </c>
      <c r="D1923" s="11" t="str">
        <f t="shared" si="1"/>
        <v>Abrir anúncio ↗</v>
      </c>
      <c r="E1923" s="12" t="s">
        <v>9925</v>
      </c>
      <c r="F1923" s="10" t="s">
        <v>29</v>
      </c>
      <c r="G1923" s="12" t="s">
        <v>4918</v>
      </c>
      <c r="H1923" s="12" t="s">
        <v>4919</v>
      </c>
      <c r="I1923" s="10"/>
      <c r="J1923" s="10"/>
      <c r="K1923" s="12"/>
    </row>
    <row r="1924" ht="15.75" customHeight="1">
      <c r="A1924" s="3" t="s">
        <v>12</v>
      </c>
      <c r="B1924" s="3" t="s">
        <v>359</v>
      </c>
      <c r="C1924" s="3" t="s">
        <v>9926</v>
      </c>
      <c r="D1924" s="8" t="str">
        <f t="shared" si="1"/>
        <v>Abrir anúncio ↗</v>
      </c>
      <c r="E1924" s="9" t="s">
        <v>9927</v>
      </c>
      <c r="F1924" s="3" t="s">
        <v>29</v>
      </c>
      <c r="G1924" s="9" t="s">
        <v>9514</v>
      </c>
      <c r="H1924" s="9" t="s">
        <v>9515</v>
      </c>
      <c r="I1924" s="3"/>
      <c r="J1924" s="3"/>
      <c r="K1924" s="9"/>
    </row>
    <row r="1925" ht="15.75" customHeight="1">
      <c r="A1925" s="10" t="s">
        <v>12</v>
      </c>
      <c r="B1925" s="10" t="s">
        <v>359</v>
      </c>
      <c r="C1925" s="10" t="s">
        <v>9928</v>
      </c>
      <c r="D1925" s="11" t="str">
        <f t="shared" si="1"/>
        <v>Abrir anúncio ↗</v>
      </c>
      <c r="E1925" s="12" t="s">
        <v>9929</v>
      </c>
      <c r="F1925" s="10" t="s">
        <v>29</v>
      </c>
      <c r="G1925" s="12" t="s">
        <v>9514</v>
      </c>
      <c r="H1925" s="12" t="s">
        <v>9515</v>
      </c>
      <c r="I1925" s="10"/>
      <c r="J1925" s="10"/>
      <c r="K1925" s="12"/>
    </row>
    <row r="1926" ht="15.75" customHeight="1">
      <c r="A1926" s="3" t="s">
        <v>12</v>
      </c>
      <c r="B1926" s="3" t="s">
        <v>359</v>
      </c>
      <c r="C1926" s="3" t="s">
        <v>9930</v>
      </c>
      <c r="D1926" s="8" t="str">
        <f t="shared" si="1"/>
        <v>Abrir anúncio ↗</v>
      </c>
      <c r="E1926" s="9" t="s">
        <v>9931</v>
      </c>
      <c r="F1926" s="3" t="s">
        <v>29</v>
      </c>
      <c r="G1926" s="9" t="s">
        <v>9514</v>
      </c>
      <c r="H1926" s="9" t="s">
        <v>9515</v>
      </c>
      <c r="I1926" s="3"/>
      <c r="J1926" s="3"/>
      <c r="K1926" s="9"/>
    </row>
    <row r="1927" ht="15.75" customHeight="1">
      <c r="A1927" s="10" t="s">
        <v>12</v>
      </c>
      <c r="B1927" s="10" t="s">
        <v>359</v>
      </c>
      <c r="C1927" s="10" t="s">
        <v>9932</v>
      </c>
      <c r="D1927" s="11" t="str">
        <f t="shared" si="1"/>
        <v>Abrir anúncio ↗</v>
      </c>
      <c r="E1927" s="12" t="s">
        <v>9933</v>
      </c>
      <c r="F1927" s="10" t="s">
        <v>29</v>
      </c>
      <c r="G1927" s="12" t="s">
        <v>9514</v>
      </c>
      <c r="H1927" s="12" t="s">
        <v>9515</v>
      </c>
      <c r="I1927" s="10"/>
      <c r="J1927" s="10"/>
      <c r="K1927" s="12"/>
    </row>
    <row r="1928" ht="15.75" customHeight="1">
      <c r="A1928" s="3" t="s">
        <v>12</v>
      </c>
      <c r="B1928" s="3" t="s">
        <v>359</v>
      </c>
      <c r="C1928" s="3" t="s">
        <v>9934</v>
      </c>
      <c r="D1928" s="8" t="str">
        <f t="shared" si="1"/>
        <v>Abrir anúncio ↗</v>
      </c>
      <c r="E1928" s="9" t="s">
        <v>9935</v>
      </c>
      <c r="F1928" s="3" t="s">
        <v>29</v>
      </c>
      <c r="G1928" s="9" t="s">
        <v>9253</v>
      </c>
      <c r="H1928" s="9" t="s">
        <v>9254</v>
      </c>
      <c r="I1928" s="3"/>
      <c r="J1928" s="3"/>
      <c r="K1928" s="9"/>
    </row>
    <row r="1929" ht="15.75" customHeight="1">
      <c r="A1929" s="10" t="s">
        <v>12</v>
      </c>
      <c r="B1929" s="10" t="s">
        <v>359</v>
      </c>
      <c r="C1929" s="10" t="s">
        <v>9936</v>
      </c>
      <c r="D1929" s="11" t="str">
        <f t="shared" si="1"/>
        <v>Abrir anúncio ↗</v>
      </c>
      <c r="E1929" s="12" t="s">
        <v>9937</v>
      </c>
      <c r="F1929" s="10" t="s">
        <v>29</v>
      </c>
      <c r="G1929" s="12" t="s">
        <v>9253</v>
      </c>
      <c r="H1929" s="12" t="s">
        <v>9254</v>
      </c>
      <c r="I1929" s="10"/>
      <c r="J1929" s="10"/>
      <c r="K1929" s="12"/>
    </row>
    <row r="1930" ht="15.75" customHeight="1">
      <c r="A1930" s="3" t="s">
        <v>12</v>
      </c>
      <c r="B1930" s="3" t="s">
        <v>359</v>
      </c>
      <c r="C1930" s="3" t="s">
        <v>9938</v>
      </c>
      <c r="D1930" s="8" t="str">
        <f t="shared" si="1"/>
        <v>Abrir anúncio ↗</v>
      </c>
      <c r="E1930" s="9" t="s">
        <v>9939</v>
      </c>
      <c r="F1930" s="3" t="s">
        <v>29</v>
      </c>
      <c r="G1930" s="9" t="s">
        <v>9514</v>
      </c>
      <c r="H1930" s="9" t="s">
        <v>9515</v>
      </c>
      <c r="I1930" s="3"/>
      <c r="J1930" s="3"/>
      <c r="K1930" s="9"/>
    </row>
    <row r="1931" ht="15.75" customHeight="1">
      <c r="A1931" s="10" t="s">
        <v>12</v>
      </c>
      <c r="B1931" s="10" t="s">
        <v>359</v>
      </c>
      <c r="C1931" s="10" t="s">
        <v>9940</v>
      </c>
      <c r="D1931" s="11" t="str">
        <f t="shared" si="1"/>
        <v>Abrir anúncio ↗</v>
      </c>
      <c r="E1931" s="12" t="s">
        <v>9941</v>
      </c>
      <c r="F1931" s="10" t="s">
        <v>29</v>
      </c>
      <c r="G1931" s="12" t="s">
        <v>9514</v>
      </c>
      <c r="H1931" s="12" t="s">
        <v>9515</v>
      </c>
      <c r="I1931" s="10"/>
      <c r="J1931" s="10"/>
      <c r="K1931" s="12"/>
    </row>
    <row r="1932" ht="15.75" customHeight="1">
      <c r="A1932" s="3" t="s">
        <v>12</v>
      </c>
      <c r="B1932" s="3" t="s">
        <v>359</v>
      </c>
      <c r="C1932" s="3" t="s">
        <v>9942</v>
      </c>
      <c r="D1932" s="8" t="str">
        <f t="shared" si="1"/>
        <v>Abrir anúncio ↗</v>
      </c>
      <c r="E1932" s="9" t="s">
        <v>9943</v>
      </c>
      <c r="F1932" s="3" t="s">
        <v>29</v>
      </c>
      <c r="G1932" s="9" t="s">
        <v>9514</v>
      </c>
      <c r="H1932" s="9" t="s">
        <v>9515</v>
      </c>
      <c r="I1932" s="3"/>
      <c r="J1932" s="3"/>
      <c r="K1932" s="9"/>
    </row>
    <row r="1933" ht="15.75" customHeight="1">
      <c r="A1933" s="10" t="s">
        <v>12</v>
      </c>
      <c r="B1933" s="10" t="s">
        <v>359</v>
      </c>
      <c r="C1933" s="10" t="s">
        <v>9944</v>
      </c>
      <c r="D1933" s="11" t="str">
        <f t="shared" si="1"/>
        <v>Abrir anúncio ↗</v>
      </c>
      <c r="E1933" s="12" t="s">
        <v>9945</v>
      </c>
      <c r="F1933" s="10" t="s">
        <v>29</v>
      </c>
      <c r="G1933" s="12" t="s">
        <v>9514</v>
      </c>
      <c r="H1933" s="12" t="s">
        <v>9515</v>
      </c>
      <c r="I1933" s="10"/>
      <c r="J1933" s="10"/>
      <c r="K1933" s="12"/>
    </row>
    <row r="1934" ht="15.75" customHeight="1">
      <c r="A1934" s="3" t="s">
        <v>12</v>
      </c>
      <c r="B1934" s="3" t="s">
        <v>359</v>
      </c>
      <c r="C1934" s="3" t="s">
        <v>6957</v>
      </c>
      <c r="D1934" s="8" t="str">
        <f t="shared" si="1"/>
        <v>Abrir anúncio ↗</v>
      </c>
      <c r="E1934" s="9" t="s">
        <v>6695</v>
      </c>
      <c r="F1934" s="3" t="s">
        <v>29</v>
      </c>
      <c r="G1934" s="9" t="s">
        <v>9253</v>
      </c>
      <c r="H1934" s="9" t="s">
        <v>9254</v>
      </c>
      <c r="I1934" s="3"/>
      <c r="J1934" s="3"/>
      <c r="K1934" s="9"/>
    </row>
    <row r="1935" ht="15.75" customHeight="1">
      <c r="A1935" s="10" t="s">
        <v>12</v>
      </c>
      <c r="B1935" s="10" t="s">
        <v>359</v>
      </c>
      <c r="C1935" s="10" t="s">
        <v>9946</v>
      </c>
      <c r="D1935" s="11" t="str">
        <f t="shared" si="1"/>
        <v>Abrir anúncio ↗</v>
      </c>
      <c r="E1935" s="12" t="s">
        <v>9947</v>
      </c>
      <c r="F1935" s="10" t="s">
        <v>29</v>
      </c>
      <c r="G1935" s="12" t="s">
        <v>9514</v>
      </c>
      <c r="H1935" s="12" t="s">
        <v>9515</v>
      </c>
      <c r="I1935" s="10"/>
      <c r="J1935" s="10"/>
      <c r="K1935" s="12"/>
    </row>
    <row r="1936" ht="15.75" customHeight="1">
      <c r="A1936" s="3" t="s">
        <v>12</v>
      </c>
      <c r="B1936" s="3" t="s">
        <v>359</v>
      </c>
      <c r="C1936" s="3" t="s">
        <v>9948</v>
      </c>
      <c r="D1936" s="8" t="str">
        <f t="shared" si="1"/>
        <v>Abrir anúncio ↗</v>
      </c>
      <c r="E1936" s="9" t="s">
        <v>9949</v>
      </c>
      <c r="F1936" s="3" t="s">
        <v>29</v>
      </c>
      <c r="G1936" s="9" t="s">
        <v>9514</v>
      </c>
      <c r="H1936" s="9" t="s">
        <v>9515</v>
      </c>
      <c r="I1936" s="3"/>
      <c r="J1936" s="3"/>
      <c r="K1936" s="9"/>
    </row>
    <row r="1937" ht="15.75" customHeight="1">
      <c r="A1937" s="10" t="s">
        <v>12</v>
      </c>
      <c r="B1937" s="10" t="s">
        <v>359</v>
      </c>
      <c r="C1937" s="10" t="s">
        <v>9950</v>
      </c>
      <c r="D1937" s="11" t="str">
        <f t="shared" si="1"/>
        <v>Abrir anúncio ↗</v>
      </c>
      <c r="E1937" s="12" t="s">
        <v>9951</v>
      </c>
      <c r="F1937" s="10" t="s">
        <v>29</v>
      </c>
      <c r="G1937" s="12" t="s">
        <v>9514</v>
      </c>
      <c r="H1937" s="12" t="s">
        <v>9515</v>
      </c>
      <c r="I1937" s="10"/>
      <c r="J1937" s="10"/>
      <c r="K1937" s="12"/>
    </row>
    <row r="1938" ht="15.75" customHeight="1">
      <c r="A1938" s="3" t="s">
        <v>12</v>
      </c>
      <c r="B1938" s="3" t="s">
        <v>359</v>
      </c>
      <c r="C1938" s="3" t="s">
        <v>9120</v>
      </c>
      <c r="D1938" s="8" t="str">
        <f t="shared" si="1"/>
        <v>Abrir anúncio ↗</v>
      </c>
      <c r="E1938" s="9" t="s">
        <v>9119</v>
      </c>
      <c r="F1938" s="3" t="s">
        <v>86</v>
      </c>
      <c r="G1938" s="9" t="s">
        <v>9253</v>
      </c>
      <c r="H1938" s="9" t="s">
        <v>9254</v>
      </c>
      <c r="I1938" s="3"/>
      <c r="J1938" s="3"/>
      <c r="K1938" s="9"/>
    </row>
    <row r="1939" ht="15.75" customHeight="1">
      <c r="A1939" s="10" t="s">
        <v>12</v>
      </c>
      <c r="B1939" s="10" t="s">
        <v>359</v>
      </c>
      <c r="C1939" s="10" t="s">
        <v>9952</v>
      </c>
      <c r="D1939" s="11" t="str">
        <f t="shared" si="1"/>
        <v>Abrir anúncio ↗</v>
      </c>
      <c r="E1939" s="12" t="s">
        <v>9953</v>
      </c>
      <c r="F1939" s="10" t="s">
        <v>29</v>
      </c>
      <c r="G1939" s="12" t="s">
        <v>9253</v>
      </c>
      <c r="H1939" s="12" t="s">
        <v>9254</v>
      </c>
      <c r="I1939" s="10"/>
      <c r="J1939" s="10"/>
      <c r="K1939" s="12"/>
    </row>
    <row r="1940" ht="15.75" customHeight="1">
      <c r="A1940" s="3" t="s">
        <v>12</v>
      </c>
      <c r="B1940" s="3" t="s">
        <v>359</v>
      </c>
      <c r="C1940" s="3" t="s">
        <v>9954</v>
      </c>
      <c r="D1940" s="8" t="str">
        <f t="shared" si="1"/>
        <v>Abrir anúncio ↗</v>
      </c>
      <c r="E1940" s="9" t="s">
        <v>9955</v>
      </c>
      <c r="F1940" s="3" t="s">
        <v>29</v>
      </c>
      <c r="G1940" s="9" t="s">
        <v>9253</v>
      </c>
      <c r="H1940" s="9" t="s">
        <v>9254</v>
      </c>
      <c r="I1940" s="3"/>
      <c r="J1940" s="3"/>
      <c r="K1940" s="9"/>
    </row>
    <row r="1941" ht="15.75" customHeight="1">
      <c r="A1941" s="10" t="s">
        <v>12</v>
      </c>
      <c r="B1941" s="10" t="s">
        <v>359</v>
      </c>
      <c r="C1941" s="10" t="s">
        <v>9956</v>
      </c>
      <c r="D1941" s="11" t="str">
        <f t="shared" si="1"/>
        <v>Abrir anúncio ↗</v>
      </c>
      <c r="E1941" s="12" t="s">
        <v>9957</v>
      </c>
      <c r="F1941" s="10" t="s">
        <v>29</v>
      </c>
      <c r="G1941" s="12" t="s">
        <v>9514</v>
      </c>
      <c r="H1941" s="12" t="s">
        <v>9515</v>
      </c>
      <c r="I1941" s="10"/>
      <c r="J1941" s="10"/>
      <c r="K1941" s="12"/>
    </row>
    <row r="1942" ht="15.75" customHeight="1">
      <c r="A1942" s="3" t="s">
        <v>12</v>
      </c>
      <c r="B1942" s="3" t="s">
        <v>359</v>
      </c>
      <c r="C1942" s="3" t="s">
        <v>9958</v>
      </c>
      <c r="D1942" s="8" t="str">
        <f t="shared" si="1"/>
        <v>Abrir anúncio ↗</v>
      </c>
      <c r="E1942" s="9" t="s">
        <v>9959</v>
      </c>
      <c r="F1942" s="3" t="s">
        <v>29</v>
      </c>
      <c r="G1942" s="9" t="s">
        <v>9514</v>
      </c>
      <c r="H1942" s="9" t="s">
        <v>9515</v>
      </c>
      <c r="I1942" s="3"/>
      <c r="J1942" s="3"/>
      <c r="K1942" s="9"/>
    </row>
    <row r="1943" ht="15.75" customHeight="1">
      <c r="A1943" s="10" t="s">
        <v>12</v>
      </c>
      <c r="B1943" s="10" t="s">
        <v>359</v>
      </c>
      <c r="C1943" s="10" t="s">
        <v>9960</v>
      </c>
      <c r="D1943" s="11" t="str">
        <f t="shared" si="1"/>
        <v>Abrir anúncio ↗</v>
      </c>
      <c r="E1943" s="12" t="s">
        <v>9961</v>
      </c>
      <c r="F1943" s="10" t="s">
        <v>29</v>
      </c>
      <c r="G1943" s="12" t="s">
        <v>4918</v>
      </c>
      <c r="H1943" s="12" t="s">
        <v>4919</v>
      </c>
      <c r="I1943" s="10"/>
      <c r="J1943" s="10"/>
      <c r="K1943" s="12"/>
    </row>
    <row r="1944" ht="15.75" customHeight="1">
      <c r="A1944" s="3" t="s">
        <v>12</v>
      </c>
      <c r="B1944" s="3" t="s">
        <v>359</v>
      </c>
      <c r="C1944" s="3" t="s">
        <v>9962</v>
      </c>
      <c r="D1944" s="8" t="str">
        <f t="shared" si="1"/>
        <v>Abrir anúncio ↗</v>
      </c>
      <c r="E1944" s="9" t="s">
        <v>9963</v>
      </c>
      <c r="F1944" s="3" t="s">
        <v>29</v>
      </c>
      <c r="G1944" s="9" t="s">
        <v>9514</v>
      </c>
      <c r="H1944" s="9" t="s">
        <v>9515</v>
      </c>
      <c r="I1944" s="3"/>
      <c r="J1944" s="3"/>
      <c r="K1944" s="9"/>
    </row>
    <row r="1945" ht="15.75" customHeight="1">
      <c r="A1945" s="10" t="s">
        <v>12</v>
      </c>
      <c r="B1945" s="10" t="s">
        <v>359</v>
      </c>
      <c r="C1945" s="10" t="s">
        <v>9964</v>
      </c>
      <c r="D1945" s="11" t="str">
        <f t="shared" si="1"/>
        <v>Abrir anúncio ↗</v>
      </c>
      <c r="E1945" s="12" t="s">
        <v>9965</v>
      </c>
      <c r="F1945" s="10" t="s">
        <v>29</v>
      </c>
      <c r="G1945" s="12" t="s">
        <v>9514</v>
      </c>
      <c r="H1945" s="12" t="s">
        <v>9515</v>
      </c>
      <c r="I1945" s="10"/>
      <c r="J1945" s="10"/>
      <c r="K1945" s="12"/>
    </row>
    <row r="1946" ht="15.75" customHeight="1">
      <c r="A1946" s="3" t="s">
        <v>12</v>
      </c>
      <c r="B1946" s="3" t="s">
        <v>359</v>
      </c>
      <c r="C1946" s="3" t="s">
        <v>9966</v>
      </c>
      <c r="D1946" s="8" t="str">
        <f t="shared" si="1"/>
        <v>Abrir anúncio ↗</v>
      </c>
      <c r="E1946" s="9" t="s">
        <v>9967</v>
      </c>
      <c r="F1946" s="3" t="s">
        <v>29</v>
      </c>
      <c r="G1946" s="9" t="s">
        <v>4918</v>
      </c>
      <c r="H1946" s="9" t="s">
        <v>4919</v>
      </c>
      <c r="I1946" s="3"/>
      <c r="J1946" s="3"/>
      <c r="K1946" s="9"/>
    </row>
    <row r="1947" ht="15.75" customHeight="1">
      <c r="A1947" s="10" t="s">
        <v>12</v>
      </c>
      <c r="B1947" s="10" t="s">
        <v>359</v>
      </c>
      <c r="C1947" s="10" t="s">
        <v>8184</v>
      </c>
      <c r="D1947" s="11" t="str">
        <f t="shared" si="1"/>
        <v>Abrir anúncio ↗</v>
      </c>
      <c r="E1947" s="12" t="s">
        <v>8183</v>
      </c>
      <c r="F1947" s="10" t="s">
        <v>29</v>
      </c>
      <c r="G1947" s="12" t="s">
        <v>9253</v>
      </c>
      <c r="H1947" s="12" t="s">
        <v>9254</v>
      </c>
      <c r="I1947" s="10"/>
      <c r="J1947" s="10"/>
      <c r="K1947" s="12"/>
    </row>
    <row r="1948" ht="15.75" customHeight="1">
      <c r="A1948" s="3" t="s">
        <v>12</v>
      </c>
      <c r="B1948" s="3" t="s">
        <v>359</v>
      </c>
      <c r="C1948" s="3" t="s">
        <v>9968</v>
      </c>
      <c r="D1948" s="8" t="str">
        <f t="shared" si="1"/>
        <v>Abrir anúncio ↗</v>
      </c>
      <c r="E1948" s="9" t="s">
        <v>9969</v>
      </c>
      <c r="F1948" s="3" t="s">
        <v>29</v>
      </c>
      <c r="G1948" s="9" t="s">
        <v>9253</v>
      </c>
      <c r="H1948" s="9" t="s">
        <v>9254</v>
      </c>
      <c r="I1948" s="3"/>
      <c r="J1948" s="3"/>
      <c r="K1948" s="9"/>
    </row>
    <row r="1949" ht="15.75" customHeight="1">
      <c r="A1949" s="10" t="s">
        <v>12</v>
      </c>
      <c r="B1949" s="10" t="s">
        <v>359</v>
      </c>
      <c r="C1949" s="10" t="s">
        <v>9970</v>
      </c>
      <c r="D1949" s="11" t="str">
        <f t="shared" si="1"/>
        <v>Abrir anúncio ↗</v>
      </c>
      <c r="E1949" s="12" t="s">
        <v>9971</v>
      </c>
      <c r="F1949" s="10" t="s">
        <v>29</v>
      </c>
      <c r="G1949" s="12" t="s">
        <v>9514</v>
      </c>
      <c r="H1949" s="12" t="s">
        <v>9515</v>
      </c>
      <c r="I1949" s="10"/>
      <c r="J1949" s="10"/>
      <c r="K1949" s="12"/>
    </row>
    <row r="1950" ht="15.75" customHeight="1">
      <c r="A1950" s="3" t="s">
        <v>12</v>
      </c>
      <c r="B1950" s="3" t="s">
        <v>359</v>
      </c>
      <c r="C1950" s="3" t="s">
        <v>8189</v>
      </c>
      <c r="D1950" s="8" t="str">
        <f t="shared" si="1"/>
        <v>Abrir anúncio ↗</v>
      </c>
      <c r="E1950" s="9" t="s">
        <v>886</v>
      </c>
      <c r="F1950" s="3" t="s">
        <v>29</v>
      </c>
      <c r="G1950" s="9" t="s">
        <v>5013</v>
      </c>
      <c r="H1950" s="9" t="s">
        <v>5015</v>
      </c>
      <c r="I1950" s="3"/>
      <c r="J1950" s="3"/>
      <c r="K1950" s="9"/>
    </row>
    <row r="1951" ht="15.75" customHeight="1">
      <c r="A1951" s="10" t="s">
        <v>12</v>
      </c>
      <c r="B1951" s="10" t="s">
        <v>359</v>
      </c>
      <c r="C1951" s="10" t="s">
        <v>9972</v>
      </c>
      <c r="D1951" s="11" t="str">
        <f t="shared" si="1"/>
        <v>Abrir anúncio ↗</v>
      </c>
      <c r="E1951" s="12" t="s">
        <v>9973</v>
      </c>
      <c r="F1951" s="10" t="s">
        <v>29</v>
      </c>
      <c r="G1951" s="12" t="s">
        <v>4918</v>
      </c>
      <c r="H1951" s="12" t="s">
        <v>4919</v>
      </c>
      <c r="I1951" s="10"/>
      <c r="J1951" s="10"/>
      <c r="K1951" s="12"/>
    </row>
    <row r="1952" ht="15.75" customHeight="1">
      <c r="A1952" s="3" t="s">
        <v>12</v>
      </c>
      <c r="B1952" s="3" t="s">
        <v>359</v>
      </c>
      <c r="C1952" s="3" t="s">
        <v>9974</v>
      </c>
      <c r="D1952" s="8" t="str">
        <f t="shared" si="1"/>
        <v>Abrir anúncio ↗</v>
      </c>
      <c r="E1952" s="9" t="s">
        <v>9975</v>
      </c>
      <c r="F1952" s="3" t="s">
        <v>29</v>
      </c>
      <c r="G1952" s="9" t="s">
        <v>9514</v>
      </c>
      <c r="H1952" s="9" t="s">
        <v>9515</v>
      </c>
      <c r="I1952" s="3"/>
      <c r="J1952" s="3"/>
      <c r="K1952" s="9"/>
    </row>
    <row r="1953" ht="15.75" customHeight="1">
      <c r="A1953" s="10" t="s">
        <v>12</v>
      </c>
      <c r="B1953" s="10" t="s">
        <v>359</v>
      </c>
      <c r="C1953" s="10" t="s">
        <v>9976</v>
      </c>
      <c r="D1953" s="11" t="str">
        <f t="shared" si="1"/>
        <v>Abrir anúncio ↗</v>
      </c>
      <c r="E1953" s="12" t="s">
        <v>9977</v>
      </c>
      <c r="F1953" s="10" t="s">
        <v>86</v>
      </c>
      <c r="G1953" s="12" t="s">
        <v>9514</v>
      </c>
      <c r="H1953" s="12" t="s">
        <v>9515</v>
      </c>
      <c r="I1953" s="10"/>
      <c r="J1953" s="10"/>
      <c r="K1953" s="12"/>
    </row>
    <row r="1954" ht="15.75" customHeight="1">
      <c r="A1954" s="3" t="s">
        <v>12</v>
      </c>
      <c r="B1954" s="3" t="s">
        <v>359</v>
      </c>
      <c r="C1954" s="3" t="s">
        <v>9978</v>
      </c>
      <c r="D1954" s="8" t="str">
        <f t="shared" si="1"/>
        <v>Abrir anúncio ↗</v>
      </c>
      <c r="E1954" s="9" t="s">
        <v>9979</v>
      </c>
      <c r="F1954" s="3" t="s">
        <v>29</v>
      </c>
      <c r="G1954" s="9" t="s">
        <v>4918</v>
      </c>
      <c r="H1954" s="9" t="s">
        <v>4919</v>
      </c>
      <c r="I1954" s="3"/>
      <c r="J1954" s="3"/>
      <c r="K1954" s="9"/>
    </row>
    <row r="1955" ht="15.75" customHeight="1">
      <c r="A1955" s="10" t="s">
        <v>12</v>
      </c>
      <c r="B1955" s="10" t="s">
        <v>359</v>
      </c>
      <c r="C1955" s="10" t="s">
        <v>9980</v>
      </c>
      <c r="D1955" s="11" t="str">
        <f t="shared" si="1"/>
        <v>Abrir anúncio ↗</v>
      </c>
      <c r="E1955" s="12" t="s">
        <v>9981</v>
      </c>
      <c r="F1955" s="10" t="s">
        <v>29</v>
      </c>
      <c r="G1955" s="12" t="s">
        <v>9514</v>
      </c>
      <c r="H1955" s="12" t="s">
        <v>9515</v>
      </c>
      <c r="I1955" s="10"/>
      <c r="J1955" s="10"/>
      <c r="K1955" s="12"/>
    </row>
    <row r="1956" ht="15.75" customHeight="1">
      <c r="A1956" s="3" t="s">
        <v>12</v>
      </c>
      <c r="B1956" s="3" t="s">
        <v>359</v>
      </c>
      <c r="C1956" s="3" t="s">
        <v>9982</v>
      </c>
      <c r="D1956" s="8" t="str">
        <f t="shared" si="1"/>
        <v>Abrir anúncio ↗</v>
      </c>
      <c r="E1956" s="9" t="s">
        <v>9983</v>
      </c>
      <c r="F1956" s="3" t="s">
        <v>29</v>
      </c>
      <c r="G1956" s="9" t="s">
        <v>9514</v>
      </c>
      <c r="H1956" s="9" t="s">
        <v>9515</v>
      </c>
      <c r="I1956" s="3"/>
      <c r="J1956" s="3"/>
      <c r="K1956" s="9"/>
    </row>
    <row r="1957" ht="15.75" customHeight="1">
      <c r="A1957" s="10" t="s">
        <v>12</v>
      </c>
      <c r="B1957" s="10" t="s">
        <v>359</v>
      </c>
      <c r="C1957" s="10" t="s">
        <v>9984</v>
      </c>
      <c r="D1957" s="11" t="str">
        <f t="shared" si="1"/>
        <v>Abrir anúncio ↗</v>
      </c>
      <c r="E1957" s="12" t="s">
        <v>9985</v>
      </c>
      <c r="F1957" s="10" t="s">
        <v>29</v>
      </c>
      <c r="G1957" s="12" t="s">
        <v>9514</v>
      </c>
      <c r="H1957" s="12" t="s">
        <v>9515</v>
      </c>
      <c r="I1957" s="10"/>
      <c r="J1957" s="10"/>
      <c r="K1957" s="12"/>
    </row>
    <row r="1958" ht="15.75" customHeight="1">
      <c r="A1958" s="3" t="s">
        <v>12</v>
      </c>
      <c r="B1958" s="3" t="s">
        <v>359</v>
      </c>
      <c r="C1958" s="3" t="s">
        <v>8193</v>
      </c>
      <c r="D1958" s="8" t="str">
        <f t="shared" si="1"/>
        <v>Abrir anúncio ↗</v>
      </c>
      <c r="E1958" s="9" t="s">
        <v>8192</v>
      </c>
      <c r="F1958" s="3" t="s">
        <v>29</v>
      </c>
      <c r="G1958" s="9" t="s">
        <v>4918</v>
      </c>
      <c r="H1958" s="9" t="s">
        <v>4919</v>
      </c>
      <c r="I1958" s="3"/>
      <c r="J1958" s="3"/>
      <c r="K1958" s="9"/>
    </row>
    <row r="1959" ht="15.75" customHeight="1">
      <c r="A1959" s="10" t="s">
        <v>12</v>
      </c>
      <c r="B1959" s="10" t="s">
        <v>359</v>
      </c>
      <c r="C1959" s="10" t="s">
        <v>9986</v>
      </c>
      <c r="D1959" s="11" t="str">
        <f t="shared" si="1"/>
        <v>Abrir anúncio ↗</v>
      </c>
      <c r="E1959" s="12" t="s">
        <v>9987</v>
      </c>
      <c r="F1959" s="10" t="s">
        <v>29</v>
      </c>
      <c r="G1959" s="12" t="s">
        <v>9514</v>
      </c>
      <c r="H1959" s="12" t="s">
        <v>9515</v>
      </c>
      <c r="I1959" s="10"/>
      <c r="J1959" s="10"/>
      <c r="K1959" s="12"/>
    </row>
    <row r="1960" ht="15.75" customHeight="1">
      <c r="A1960" s="3" t="s">
        <v>12</v>
      </c>
      <c r="B1960" s="3" t="s">
        <v>359</v>
      </c>
      <c r="C1960" s="3" t="s">
        <v>9988</v>
      </c>
      <c r="D1960" s="8" t="str">
        <f t="shared" si="1"/>
        <v>Abrir anúncio ↗</v>
      </c>
      <c r="E1960" s="9" t="s">
        <v>9989</v>
      </c>
      <c r="F1960" s="3" t="s">
        <v>29</v>
      </c>
      <c r="G1960" s="9" t="s">
        <v>9514</v>
      </c>
      <c r="H1960" s="9" t="s">
        <v>9515</v>
      </c>
      <c r="I1960" s="3"/>
      <c r="J1960" s="3"/>
      <c r="K1960" s="9"/>
    </row>
    <row r="1961" ht="15.75" customHeight="1">
      <c r="A1961" s="10" t="s">
        <v>12</v>
      </c>
      <c r="B1961" s="10" t="s">
        <v>359</v>
      </c>
      <c r="C1961" s="10" t="s">
        <v>9990</v>
      </c>
      <c r="D1961" s="11" t="str">
        <f t="shared" si="1"/>
        <v>Abrir anúncio ↗</v>
      </c>
      <c r="E1961" s="12" t="s">
        <v>9991</v>
      </c>
      <c r="F1961" s="10" t="s">
        <v>29</v>
      </c>
      <c r="G1961" s="12" t="s">
        <v>9253</v>
      </c>
      <c r="H1961" s="12" t="s">
        <v>9254</v>
      </c>
      <c r="I1961" s="10"/>
      <c r="J1961" s="10"/>
      <c r="K1961" s="12"/>
    </row>
    <row r="1962" ht="15.75" customHeight="1">
      <c r="A1962" s="3" t="s">
        <v>12</v>
      </c>
      <c r="B1962" s="3" t="s">
        <v>359</v>
      </c>
      <c r="C1962" s="3" t="s">
        <v>9992</v>
      </c>
      <c r="D1962" s="8" t="str">
        <f t="shared" si="1"/>
        <v>Abrir anúncio ↗</v>
      </c>
      <c r="E1962" s="9" t="s">
        <v>9993</v>
      </c>
      <c r="F1962" s="3" t="s">
        <v>86</v>
      </c>
      <c r="G1962" s="9" t="s">
        <v>5013</v>
      </c>
      <c r="H1962" s="9" t="s">
        <v>5015</v>
      </c>
      <c r="I1962" s="3"/>
      <c r="J1962" s="3"/>
      <c r="K1962" s="9"/>
    </row>
    <row r="1963" ht="15.75" customHeight="1">
      <c r="A1963" s="10" t="s">
        <v>12</v>
      </c>
      <c r="B1963" s="10" t="s">
        <v>359</v>
      </c>
      <c r="C1963" s="10" t="s">
        <v>9994</v>
      </c>
      <c r="D1963" s="11" t="str">
        <f t="shared" si="1"/>
        <v>Abrir anúncio ↗</v>
      </c>
      <c r="E1963" s="12" t="s">
        <v>9995</v>
      </c>
      <c r="F1963" s="10" t="s">
        <v>29</v>
      </c>
      <c r="G1963" s="12" t="s">
        <v>4918</v>
      </c>
      <c r="H1963" s="12" t="s">
        <v>4919</v>
      </c>
      <c r="I1963" s="10"/>
      <c r="J1963" s="10"/>
      <c r="K1963" s="12"/>
    </row>
    <row r="1964" ht="15.75" customHeight="1">
      <c r="A1964" s="3" t="s">
        <v>12</v>
      </c>
      <c r="B1964" s="3" t="s">
        <v>359</v>
      </c>
      <c r="C1964" s="3" t="s">
        <v>9996</v>
      </c>
      <c r="D1964" s="8" t="str">
        <f t="shared" si="1"/>
        <v>Abrir anúncio ↗</v>
      </c>
      <c r="E1964" s="9" t="s">
        <v>9997</v>
      </c>
      <c r="F1964" s="3" t="s">
        <v>29</v>
      </c>
      <c r="G1964" s="9" t="s">
        <v>9253</v>
      </c>
      <c r="H1964" s="9" t="s">
        <v>9254</v>
      </c>
      <c r="I1964" s="3"/>
      <c r="J1964" s="3"/>
      <c r="K1964" s="9"/>
    </row>
    <row r="1965" ht="15.75" customHeight="1">
      <c r="A1965" s="10" t="s">
        <v>12</v>
      </c>
      <c r="B1965" s="10" t="s">
        <v>359</v>
      </c>
      <c r="C1965" s="10" t="s">
        <v>9998</v>
      </c>
      <c r="D1965" s="11" t="str">
        <f t="shared" si="1"/>
        <v>Abrir anúncio ↗</v>
      </c>
      <c r="E1965" s="12" t="s">
        <v>9999</v>
      </c>
      <c r="F1965" s="10" t="s">
        <v>29</v>
      </c>
      <c r="G1965" s="12" t="s">
        <v>4918</v>
      </c>
      <c r="H1965" s="12" t="s">
        <v>4919</v>
      </c>
      <c r="I1965" s="10"/>
      <c r="J1965" s="10"/>
      <c r="K1965" s="12"/>
    </row>
    <row r="1966" ht="15.75" customHeight="1">
      <c r="A1966" s="3" t="s">
        <v>12</v>
      </c>
      <c r="B1966" s="3" t="s">
        <v>359</v>
      </c>
      <c r="C1966" s="3" t="s">
        <v>10000</v>
      </c>
      <c r="D1966" s="8" t="str">
        <f t="shared" si="1"/>
        <v>Abrir anúncio ↗</v>
      </c>
      <c r="E1966" s="9" t="s">
        <v>10001</v>
      </c>
      <c r="F1966" s="3" t="s">
        <v>29</v>
      </c>
      <c r="G1966" s="9" t="s">
        <v>9514</v>
      </c>
      <c r="H1966" s="9" t="s">
        <v>9515</v>
      </c>
      <c r="I1966" s="3"/>
      <c r="J1966" s="3"/>
      <c r="K1966" s="9"/>
    </row>
    <row r="1967" ht="15.75" customHeight="1">
      <c r="A1967" s="10" t="s">
        <v>12</v>
      </c>
      <c r="B1967" s="10" t="s">
        <v>359</v>
      </c>
      <c r="C1967" s="10" t="s">
        <v>10002</v>
      </c>
      <c r="D1967" s="11" t="str">
        <f t="shared" si="1"/>
        <v>Abrir anúncio ↗</v>
      </c>
      <c r="E1967" s="12" t="s">
        <v>10003</v>
      </c>
      <c r="F1967" s="10" t="s">
        <v>29</v>
      </c>
      <c r="G1967" s="12" t="s">
        <v>9514</v>
      </c>
      <c r="H1967" s="12" t="s">
        <v>9515</v>
      </c>
      <c r="I1967" s="10"/>
      <c r="J1967" s="10"/>
      <c r="K1967" s="12"/>
    </row>
    <row r="1968" ht="15.75" customHeight="1">
      <c r="A1968" s="3" t="s">
        <v>12</v>
      </c>
      <c r="B1968" s="3" t="s">
        <v>359</v>
      </c>
      <c r="C1968" s="3" t="s">
        <v>10004</v>
      </c>
      <c r="D1968" s="8" t="str">
        <f t="shared" si="1"/>
        <v>Abrir anúncio ↗</v>
      </c>
      <c r="E1968" s="9" t="s">
        <v>10005</v>
      </c>
      <c r="F1968" s="3" t="s">
        <v>29</v>
      </c>
      <c r="G1968" s="9" t="s">
        <v>9514</v>
      </c>
      <c r="H1968" s="9" t="s">
        <v>9515</v>
      </c>
      <c r="I1968" s="3"/>
      <c r="J1968" s="3"/>
      <c r="K1968" s="9"/>
    </row>
    <row r="1969" ht="15.75" customHeight="1">
      <c r="A1969" s="10" t="s">
        <v>12</v>
      </c>
      <c r="B1969" s="10" t="s">
        <v>359</v>
      </c>
      <c r="C1969" s="10" t="s">
        <v>10006</v>
      </c>
      <c r="D1969" s="11" t="str">
        <f t="shared" si="1"/>
        <v>Abrir anúncio ↗</v>
      </c>
      <c r="E1969" s="12" t="s">
        <v>10007</v>
      </c>
      <c r="F1969" s="10" t="s">
        <v>29</v>
      </c>
      <c r="G1969" s="12" t="s">
        <v>9253</v>
      </c>
      <c r="H1969" s="12" t="s">
        <v>9254</v>
      </c>
      <c r="I1969" s="10"/>
      <c r="J1969" s="10"/>
      <c r="K1969" s="12"/>
    </row>
    <row r="1970" ht="15.75" customHeight="1">
      <c r="A1970" s="3" t="s">
        <v>12</v>
      </c>
      <c r="B1970" s="3" t="s">
        <v>359</v>
      </c>
      <c r="C1970" s="3" t="s">
        <v>10008</v>
      </c>
      <c r="D1970" s="8" t="str">
        <f t="shared" si="1"/>
        <v>Abrir anúncio ↗</v>
      </c>
      <c r="E1970" s="9" t="s">
        <v>10009</v>
      </c>
      <c r="F1970" s="3" t="s">
        <v>29</v>
      </c>
      <c r="G1970" s="9" t="s">
        <v>9253</v>
      </c>
      <c r="H1970" s="9" t="s">
        <v>9254</v>
      </c>
      <c r="I1970" s="3"/>
      <c r="J1970" s="3"/>
      <c r="K1970" s="9"/>
    </row>
    <row r="1971" ht="15.75" customHeight="1">
      <c r="A1971" s="10" t="s">
        <v>12</v>
      </c>
      <c r="B1971" s="10" t="s">
        <v>359</v>
      </c>
      <c r="C1971" s="10" t="s">
        <v>10010</v>
      </c>
      <c r="D1971" s="11" t="str">
        <f t="shared" si="1"/>
        <v>Abrir anúncio ↗</v>
      </c>
      <c r="E1971" s="12" t="s">
        <v>10011</v>
      </c>
      <c r="F1971" s="10" t="s">
        <v>29</v>
      </c>
      <c r="G1971" s="12" t="s">
        <v>4918</v>
      </c>
      <c r="H1971" s="12" t="s">
        <v>4919</v>
      </c>
      <c r="I1971" s="10"/>
      <c r="J1971" s="10"/>
      <c r="K1971" s="12"/>
    </row>
    <row r="1972" ht="15.75" customHeight="1">
      <c r="A1972" s="3" t="s">
        <v>12</v>
      </c>
      <c r="B1972" s="3" t="s">
        <v>359</v>
      </c>
      <c r="C1972" s="3" t="s">
        <v>7170</v>
      </c>
      <c r="D1972" s="8" t="str">
        <f t="shared" si="1"/>
        <v>Abrir anúncio ↗</v>
      </c>
      <c r="E1972" s="9" t="s">
        <v>7165</v>
      </c>
      <c r="F1972" s="3" t="s">
        <v>29</v>
      </c>
      <c r="G1972" s="9" t="s">
        <v>4918</v>
      </c>
      <c r="H1972" s="9" t="s">
        <v>4919</v>
      </c>
      <c r="I1972" s="3"/>
      <c r="J1972" s="3"/>
      <c r="K1972" s="9"/>
    </row>
    <row r="1973" ht="15.75" customHeight="1">
      <c r="A1973" s="10" t="s">
        <v>12</v>
      </c>
      <c r="B1973" s="10" t="s">
        <v>359</v>
      </c>
      <c r="C1973" s="10" t="s">
        <v>10012</v>
      </c>
      <c r="D1973" s="11" t="str">
        <f t="shared" si="1"/>
        <v>Abrir anúncio ↗</v>
      </c>
      <c r="E1973" s="12" t="s">
        <v>10013</v>
      </c>
      <c r="F1973" s="10" t="s">
        <v>29</v>
      </c>
      <c r="G1973" s="12" t="s">
        <v>9514</v>
      </c>
      <c r="H1973" s="12" t="s">
        <v>9515</v>
      </c>
      <c r="I1973" s="10"/>
      <c r="J1973" s="10"/>
      <c r="K1973" s="12"/>
    </row>
    <row r="1974" ht="15.75" customHeight="1">
      <c r="A1974" s="3" t="s">
        <v>12</v>
      </c>
      <c r="B1974" s="3" t="s">
        <v>359</v>
      </c>
      <c r="C1974" s="3" t="s">
        <v>7920</v>
      </c>
      <c r="D1974" s="8" t="str">
        <f t="shared" si="1"/>
        <v>Abrir anúncio ↗</v>
      </c>
      <c r="E1974" s="9" t="s">
        <v>7792</v>
      </c>
      <c r="F1974" s="3" t="s">
        <v>29</v>
      </c>
      <c r="G1974" s="9" t="s">
        <v>9253</v>
      </c>
      <c r="H1974" s="9" t="s">
        <v>9254</v>
      </c>
      <c r="I1974" s="3"/>
      <c r="J1974" s="3"/>
      <c r="K1974" s="9"/>
    </row>
    <row r="1975" ht="15.75" customHeight="1">
      <c r="A1975" s="10" t="s">
        <v>12</v>
      </c>
      <c r="B1975" s="10" t="s">
        <v>359</v>
      </c>
      <c r="C1975" s="10" t="s">
        <v>10014</v>
      </c>
      <c r="D1975" s="11" t="str">
        <f t="shared" si="1"/>
        <v>Abrir anúncio ↗</v>
      </c>
      <c r="E1975" s="12" t="s">
        <v>10015</v>
      </c>
      <c r="F1975" s="10" t="s">
        <v>29</v>
      </c>
      <c r="G1975" s="12" t="s">
        <v>9253</v>
      </c>
      <c r="H1975" s="12" t="s">
        <v>9254</v>
      </c>
      <c r="I1975" s="10"/>
      <c r="J1975" s="10"/>
      <c r="K1975" s="12"/>
    </row>
    <row r="1976" ht="15.75" customHeight="1">
      <c r="A1976" s="3" t="s">
        <v>12</v>
      </c>
      <c r="B1976" s="3" t="s">
        <v>359</v>
      </c>
      <c r="C1976" s="3" t="s">
        <v>10016</v>
      </c>
      <c r="D1976" s="8" t="str">
        <f t="shared" si="1"/>
        <v>Abrir anúncio ↗</v>
      </c>
      <c r="E1976" s="9" t="s">
        <v>10017</v>
      </c>
      <c r="F1976" s="3" t="s">
        <v>29</v>
      </c>
      <c r="G1976" s="9" t="s">
        <v>9253</v>
      </c>
      <c r="H1976" s="9" t="s">
        <v>9254</v>
      </c>
      <c r="I1976" s="3"/>
      <c r="J1976" s="3"/>
      <c r="K1976" s="9"/>
    </row>
    <row r="1977" ht="15.75" customHeight="1">
      <c r="A1977" s="10" t="s">
        <v>12</v>
      </c>
      <c r="B1977" s="10" t="s">
        <v>359</v>
      </c>
      <c r="C1977" s="10" t="s">
        <v>10018</v>
      </c>
      <c r="D1977" s="11" t="str">
        <f t="shared" si="1"/>
        <v>Abrir anúncio ↗</v>
      </c>
      <c r="E1977" s="12" t="s">
        <v>10019</v>
      </c>
      <c r="F1977" s="10" t="s">
        <v>29</v>
      </c>
      <c r="G1977" s="12" t="s">
        <v>9253</v>
      </c>
      <c r="H1977" s="12" t="s">
        <v>9254</v>
      </c>
      <c r="I1977" s="10"/>
      <c r="J1977" s="10"/>
      <c r="K1977" s="12"/>
    </row>
    <row r="1978" ht="15.75" customHeight="1">
      <c r="A1978" s="3" t="s">
        <v>12</v>
      </c>
      <c r="B1978" s="3" t="s">
        <v>359</v>
      </c>
      <c r="C1978" s="3" t="s">
        <v>10020</v>
      </c>
      <c r="D1978" s="8" t="str">
        <f t="shared" si="1"/>
        <v>Abrir anúncio ↗</v>
      </c>
      <c r="E1978" s="9" t="s">
        <v>10021</v>
      </c>
      <c r="F1978" s="3" t="s">
        <v>29</v>
      </c>
      <c r="G1978" s="9" t="s">
        <v>4918</v>
      </c>
      <c r="H1978" s="9" t="s">
        <v>4919</v>
      </c>
      <c r="I1978" s="3"/>
      <c r="J1978" s="3"/>
      <c r="K1978" s="9"/>
    </row>
    <row r="1979" ht="15.75" customHeight="1">
      <c r="A1979" s="10" t="s">
        <v>12</v>
      </c>
      <c r="B1979" s="10" t="s">
        <v>359</v>
      </c>
      <c r="C1979" s="10" t="s">
        <v>6912</v>
      </c>
      <c r="D1979" s="11" t="str">
        <f t="shared" si="1"/>
        <v>Abrir anúncio ↗</v>
      </c>
      <c r="E1979" s="12" t="s">
        <v>6489</v>
      </c>
      <c r="F1979" s="10" t="s">
        <v>29</v>
      </c>
      <c r="G1979" s="12" t="s">
        <v>4918</v>
      </c>
      <c r="H1979" s="12" t="s">
        <v>4919</v>
      </c>
      <c r="I1979" s="10"/>
      <c r="J1979" s="10"/>
      <c r="K1979" s="12"/>
    </row>
    <row r="1980" ht="15.75" customHeight="1">
      <c r="A1980" s="3" t="s">
        <v>12</v>
      </c>
      <c r="B1980" s="3" t="s">
        <v>359</v>
      </c>
      <c r="C1980" s="3" t="s">
        <v>7769</v>
      </c>
      <c r="D1980" s="8" t="str">
        <f t="shared" si="1"/>
        <v>Abrir anúncio ↗</v>
      </c>
      <c r="E1980" s="9" t="s">
        <v>7768</v>
      </c>
      <c r="F1980" s="3" t="s">
        <v>29</v>
      </c>
      <c r="G1980" s="9" t="s">
        <v>4918</v>
      </c>
      <c r="H1980" s="9" t="s">
        <v>4919</v>
      </c>
      <c r="I1980" s="3"/>
      <c r="J1980" s="3"/>
      <c r="K1980" s="9"/>
    </row>
    <row r="1981" ht="15.75" customHeight="1">
      <c r="A1981" s="10" t="s">
        <v>12</v>
      </c>
      <c r="B1981" s="10" t="s">
        <v>359</v>
      </c>
      <c r="C1981" s="10" t="s">
        <v>10022</v>
      </c>
      <c r="D1981" s="11" t="str">
        <f t="shared" si="1"/>
        <v>Abrir anúncio ↗</v>
      </c>
      <c r="E1981" s="12" t="s">
        <v>10023</v>
      </c>
      <c r="F1981" s="10" t="s">
        <v>29</v>
      </c>
      <c r="G1981" s="12" t="s">
        <v>4918</v>
      </c>
      <c r="H1981" s="12" t="s">
        <v>4919</v>
      </c>
      <c r="I1981" s="10"/>
      <c r="J1981" s="10"/>
      <c r="K1981" s="12"/>
    </row>
    <row r="1982" ht="15.75" customHeight="1">
      <c r="A1982" s="3" t="s">
        <v>12</v>
      </c>
      <c r="B1982" s="3" t="s">
        <v>359</v>
      </c>
      <c r="C1982" s="3" t="s">
        <v>8110</v>
      </c>
      <c r="D1982" s="8" t="str">
        <f t="shared" si="1"/>
        <v>Abrir anúncio ↗</v>
      </c>
      <c r="E1982" s="9" t="s">
        <v>8106</v>
      </c>
      <c r="F1982" s="3" t="s">
        <v>29</v>
      </c>
      <c r="G1982" s="9" t="s">
        <v>9253</v>
      </c>
      <c r="H1982" s="9" t="s">
        <v>9254</v>
      </c>
      <c r="I1982" s="3"/>
      <c r="J1982" s="3"/>
      <c r="K1982" s="9"/>
    </row>
    <row r="1983" ht="15.75" customHeight="1">
      <c r="A1983" s="10" t="s">
        <v>12</v>
      </c>
      <c r="B1983" s="10" t="s">
        <v>359</v>
      </c>
      <c r="C1983" s="10" t="s">
        <v>10024</v>
      </c>
      <c r="D1983" s="11" t="str">
        <f t="shared" si="1"/>
        <v>Abrir anúncio ↗</v>
      </c>
      <c r="E1983" s="12" t="s">
        <v>10025</v>
      </c>
      <c r="F1983" s="10" t="s">
        <v>29</v>
      </c>
      <c r="G1983" s="12" t="s">
        <v>9514</v>
      </c>
      <c r="H1983" s="12" t="s">
        <v>9515</v>
      </c>
      <c r="I1983" s="10"/>
      <c r="J1983" s="10"/>
      <c r="K1983" s="12"/>
    </row>
    <row r="1984" ht="15.75" customHeight="1">
      <c r="A1984" s="3" t="s">
        <v>12</v>
      </c>
      <c r="B1984" s="3" t="s">
        <v>359</v>
      </c>
      <c r="C1984" s="3" t="s">
        <v>10026</v>
      </c>
      <c r="D1984" s="8" t="str">
        <f t="shared" si="1"/>
        <v>Abrir anúncio ↗</v>
      </c>
      <c r="E1984" s="9" t="s">
        <v>10027</v>
      </c>
      <c r="F1984" s="3" t="s">
        <v>29</v>
      </c>
      <c r="G1984" s="9" t="s">
        <v>4918</v>
      </c>
      <c r="H1984" s="9" t="s">
        <v>4919</v>
      </c>
      <c r="I1984" s="3"/>
      <c r="J1984" s="3"/>
      <c r="K1984" s="9"/>
    </row>
    <row r="1985" ht="15.75" customHeight="1">
      <c r="A1985" s="10" t="s">
        <v>12</v>
      </c>
      <c r="B1985" s="10" t="s">
        <v>359</v>
      </c>
      <c r="C1985" s="10" t="s">
        <v>10028</v>
      </c>
      <c r="D1985" s="11" t="str">
        <f t="shared" si="1"/>
        <v>Abrir anúncio ↗</v>
      </c>
      <c r="E1985" s="12" t="s">
        <v>10029</v>
      </c>
      <c r="F1985" s="10" t="s">
        <v>29</v>
      </c>
      <c r="G1985" s="12" t="s">
        <v>4918</v>
      </c>
      <c r="H1985" s="12" t="s">
        <v>4919</v>
      </c>
      <c r="I1985" s="10"/>
      <c r="J1985" s="10"/>
      <c r="K1985" s="12"/>
    </row>
    <row r="1986" ht="15.75" customHeight="1">
      <c r="A1986" s="3" t="s">
        <v>12</v>
      </c>
      <c r="B1986" s="3" t="s">
        <v>359</v>
      </c>
      <c r="C1986" s="3" t="s">
        <v>10030</v>
      </c>
      <c r="D1986" s="8" t="str">
        <f t="shared" si="1"/>
        <v>Abrir anúncio ↗</v>
      </c>
      <c r="E1986" s="9" t="s">
        <v>10031</v>
      </c>
      <c r="F1986" s="3" t="s">
        <v>29</v>
      </c>
      <c r="G1986" s="9" t="s">
        <v>4918</v>
      </c>
      <c r="H1986" s="9" t="s">
        <v>4919</v>
      </c>
      <c r="I1986" s="3"/>
      <c r="J1986" s="3"/>
      <c r="K1986" s="9"/>
    </row>
    <row r="1987" ht="15.75" customHeight="1">
      <c r="A1987" s="10" t="s">
        <v>12</v>
      </c>
      <c r="B1987" s="10" t="s">
        <v>359</v>
      </c>
      <c r="C1987" s="10" t="s">
        <v>9157</v>
      </c>
      <c r="D1987" s="11" t="str">
        <f t="shared" si="1"/>
        <v>Abrir anúncio ↗</v>
      </c>
      <c r="E1987" s="12" t="s">
        <v>9156</v>
      </c>
      <c r="F1987" s="10" t="s">
        <v>86</v>
      </c>
      <c r="G1987" s="12" t="s">
        <v>9514</v>
      </c>
      <c r="H1987" s="12" t="s">
        <v>9515</v>
      </c>
      <c r="I1987" s="10"/>
      <c r="J1987" s="10"/>
      <c r="K1987" s="12"/>
    </row>
    <row r="1988" ht="15.75" customHeight="1">
      <c r="A1988" s="3" t="s">
        <v>12</v>
      </c>
      <c r="B1988" s="3" t="s">
        <v>359</v>
      </c>
      <c r="C1988" s="3" t="s">
        <v>10032</v>
      </c>
      <c r="D1988" s="8" t="str">
        <f t="shared" si="1"/>
        <v>Abrir anúncio ↗</v>
      </c>
      <c r="E1988" s="9" t="s">
        <v>10033</v>
      </c>
      <c r="F1988" s="3" t="s">
        <v>86</v>
      </c>
      <c r="G1988" s="9" t="s">
        <v>9514</v>
      </c>
      <c r="H1988" s="9" t="s">
        <v>9515</v>
      </c>
      <c r="I1988" s="3"/>
      <c r="J1988" s="3"/>
      <c r="K1988" s="9"/>
    </row>
    <row r="1989" ht="15.75" customHeight="1">
      <c r="A1989" s="10" t="s">
        <v>12</v>
      </c>
      <c r="B1989" s="10" t="s">
        <v>359</v>
      </c>
      <c r="C1989" s="10" t="s">
        <v>6215</v>
      </c>
      <c r="D1989" s="11" t="str">
        <f t="shared" si="1"/>
        <v>Abrir anúncio ↗</v>
      </c>
      <c r="E1989" s="12" t="s">
        <v>6212</v>
      </c>
      <c r="F1989" s="10" t="s">
        <v>29</v>
      </c>
      <c r="G1989" s="12" t="s">
        <v>4918</v>
      </c>
      <c r="H1989" s="12" t="s">
        <v>4919</v>
      </c>
      <c r="I1989" s="10"/>
      <c r="J1989" s="10"/>
      <c r="K1989" s="12"/>
    </row>
    <row r="1990" ht="15.75" customHeight="1">
      <c r="A1990" s="3" t="s">
        <v>12</v>
      </c>
      <c r="B1990" s="3" t="s">
        <v>359</v>
      </c>
      <c r="C1990" s="3" t="s">
        <v>10034</v>
      </c>
      <c r="D1990" s="8" t="str">
        <f t="shared" si="1"/>
        <v>Abrir anúncio ↗</v>
      </c>
      <c r="E1990" s="9" t="s">
        <v>10035</v>
      </c>
      <c r="F1990" s="3" t="s">
        <v>29</v>
      </c>
      <c r="G1990" s="9" t="s">
        <v>4918</v>
      </c>
      <c r="H1990" s="9" t="s">
        <v>4919</v>
      </c>
      <c r="I1990" s="3"/>
      <c r="J1990" s="3"/>
      <c r="K1990" s="9"/>
    </row>
    <row r="1991" ht="15.75" customHeight="1">
      <c r="A1991" s="10" t="s">
        <v>12</v>
      </c>
      <c r="B1991" s="10" t="s">
        <v>359</v>
      </c>
      <c r="C1991" s="10" t="s">
        <v>10036</v>
      </c>
      <c r="D1991" s="11" t="str">
        <f t="shared" si="1"/>
        <v>Abrir anúncio ↗</v>
      </c>
      <c r="E1991" s="12" t="s">
        <v>10037</v>
      </c>
      <c r="F1991" s="10" t="s">
        <v>29</v>
      </c>
      <c r="G1991" s="12" t="s">
        <v>4918</v>
      </c>
      <c r="H1991" s="12" t="s">
        <v>4919</v>
      </c>
      <c r="I1991" s="10"/>
      <c r="J1991" s="10"/>
      <c r="K1991" s="12"/>
    </row>
    <row r="1992" ht="15.75" customHeight="1">
      <c r="A1992" s="3" t="s">
        <v>12</v>
      </c>
      <c r="B1992" s="3" t="s">
        <v>359</v>
      </c>
      <c r="C1992" s="3" t="s">
        <v>10038</v>
      </c>
      <c r="D1992" s="8" t="str">
        <f t="shared" si="1"/>
        <v>Abrir anúncio ↗</v>
      </c>
      <c r="E1992" s="9" t="s">
        <v>10039</v>
      </c>
      <c r="F1992" s="3" t="s">
        <v>86</v>
      </c>
      <c r="G1992" s="9" t="s">
        <v>9514</v>
      </c>
      <c r="H1992" s="9" t="s">
        <v>9515</v>
      </c>
      <c r="I1992" s="3"/>
      <c r="J1992" s="3"/>
      <c r="K1992" s="9"/>
    </row>
    <row r="1993" ht="15.75" customHeight="1">
      <c r="A1993" s="10" t="s">
        <v>12</v>
      </c>
      <c r="B1993" s="10" t="s">
        <v>359</v>
      </c>
      <c r="C1993" s="10" t="s">
        <v>10040</v>
      </c>
      <c r="D1993" s="11" t="str">
        <f t="shared" si="1"/>
        <v>Abrir anúncio ↗</v>
      </c>
      <c r="E1993" s="12" t="s">
        <v>10041</v>
      </c>
      <c r="F1993" s="10" t="s">
        <v>29</v>
      </c>
      <c r="G1993" s="12" t="s">
        <v>4918</v>
      </c>
      <c r="H1993" s="12" t="s">
        <v>4919</v>
      </c>
      <c r="I1993" s="10"/>
      <c r="J1993" s="10"/>
      <c r="K1993" s="12"/>
    </row>
    <row r="1994" ht="15.75" customHeight="1">
      <c r="A1994" s="3" t="s">
        <v>12</v>
      </c>
      <c r="B1994" s="3" t="s">
        <v>359</v>
      </c>
      <c r="C1994" s="3" t="s">
        <v>10042</v>
      </c>
      <c r="D1994" s="8" t="str">
        <f t="shared" si="1"/>
        <v>Abrir anúncio ↗</v>
      </c>
      <c r="E1994" s="9" t="s">
        <v>10043</v>
      </c>
      <c r="F1994" s="3" t="s">
        <v>29</v>
      </c>
      <c r="G1994" s="9" t="s">
        <v>4918</v>
      </c>
      <c r="H1994" s="9" t="s">
        <v>4919</v>
      </c>
      <c r="I1994" s="3"/>
      <c r="J1994" s="3"/>
      <c r="K1994" s="9"/>
    </row>
    <row r="1995" ht="15.75" customHeight="1">
      <c r="A1995" s="10" t="s">
        <v>12</v>
      </c>
      <c r="B1995" s="10" t="s">
        <v>359</v>
      </c>
      <c r="C1995" s="10" t="s">
        <v>10044</v>
      </c>
      <c r="D1995" s="11" t="str">
        <f t="shared" si="1"/>
        <v>Abrir anúncio ↗</v>
      </c>
      <c r="E1995" s="12" t="s">
        <v>10045</v>
      </c>
      <c r="F1995" s="10" t="s">
        <v>29</v>
      </c>
      <c r="G1995" s="12" t="s">
        <v>4918</v>
      </c>
      <c r="H1995" s="12" t="s">
        <v>4919</v>
      </c>
      <c r="I1995" s="10"/>
      <c r="J1995" s="10"/>
      <c r="K1995" s="12"/>
    </row>
    <row r="1996" ht="15.75" customHeight="1">
      <c r="A1996" s="3" t="s">
        <v>12</v>
      </c>
      <c r="B1996" s="3" t="s">
        <v>359</v>
      </c>
      <c r="C1996" s="3" t="s">
        <v>10046</v>
      </c>
      <c r="D1996" s="8" t="str">
        <f t="shared" si="1"/>
        <v>Abrir anúncio ↗</v>
      </c>
      <c r="E1996" s="9" t="s">
        <v>10047</v>
      </c>
      <c r="F1996" s="3" t="s">
        <v>29</v>
      </c>
      <c r="G1996" s="9" t="s">
        <v>5013</v>
      </c>
      <c r="H1996" s="9" t="s">
        <v>5015</v>
      </c>
      <c r="I1996" s="3"/>
      <c r="J1996" s="3"/>
      <c r="K1996" s="9"/>
    </row>
    <row r="1997" ht="15.75" customHeight="1">
      <c r="A1997" s="10" t="s">
        <v>12</v>
      </c>
      <c r="B1997" s="10" t="s">
        <v>359</v>
      </c>
      <c r="C1997" s="10" t="s">
        <v>7057</v>
      </c>
      <c r="D1997" s="11" t="str">
        <f t="shared" si="1"/>
        <v>Abrir anúncio ↗</v>
      </c>
      <c r="E1997" s="12" t="s">
        <v>5791</v>
      </c>
      <c r="F1997" s="10" t="s">
        <v>29</v>
      </c>
      <c r="G1997" s="12" t="s">
        <v>4918</v>
      </c>
      <c r="H1997" s="12" t="s">
        <v>4919</v>
      </c>
      <c r="I1997" s="10"/>
      <c r="J1997" s="10"/>
      <c r="K1997" s="12"/>
    </row>
    <row r="1998" ht="15.75" customHeight="1">
      <c r="A1998" s="3" t="s">
        <v>12</v>
      </c>
      <c r="B1998" s="3" t="s">
        <v>359</v>
      </c>
      <c r="C1998" s="3" t="s">
        <v>10048</v>
      </c>
      <c r="D1998" s="8" t="str">
        <f t="shared" si="1"/>
        <v>Abrir anúncio ↗</v>
      </c>
      <c r="E1998" s="9" t="s">
        <v>10049</v>
      </c>
      <c r="F1998" s="3" t="s">
        <v>29</v>
      </c>
      <c r="G1998" s="9" t="s">
        <v>4918</v>
      </c>
      <c r="H1998" s="9" t="s">
        <v>4919</v>
      </c>
      <c r="I1998" s="3"/>
      <c r="J1998" s="3"/>
      <c r="K1998" s="9"/>
    </row>
    <row r="1999" ht="15.75" customHeight="1">
      <c r="A1999" s="10" t="s">
        <v>12</v>
      </c>
      <c r="B1999" s="10" t="s">
        <v>359</v>
      </c>
      <c r="C1999" s="10" t="s">
        <v>7377</v>
      </c>
      <c r="D1999" s="11" t="str">
        <f t="shared" si="1"/>
        <v>Abrir anúncio ↗</v>
      </c>
      <c r="E1999" s="12" t="s">
        <v>7376</v>
      </c>
      <c r="F1999" s="10" t="s">
        <v>29</v>
      </c>
      <c r="G1999" s="12" t="s">
        <v>4918</v>
      </c>
      <c r="H1999" s="12" t="s">
        <v>4919</v>
      </c>
      <c r="I1999" s="10"/>
      <c r="J1999" s="10"/>
      <c r="K1999" s="12"/>
    </row>
    <row r="2000" ht="15.75" customHeight="1">
      <c r="A2000" s="3" t="s">
        <v>12</v>
      </c>
      <c r="B2000" s="3" t="s">
        <v>359</v>
      </c>
      <c r="C2000" s="3" t="s">
        <v>10050</v>
      </c>
      <c r="D2000" s="8" t="str">
        <f t="shared" si="1"/>
        <v>Abrir anúncio ↗</v>
      </c>
      <c r="E2000" s="9" t="s">
        <v>10051</v>
      </c>
      <c r="F2000" s="3" t="s">
        <v>29</v>
      </c>
      <c r="G2000" s="9" t="s">
        <v>4918</v>
      </c>
      <c r="H2000" s="9" t="s">
        <v>4919</v>
      </c>
      <c r="I2000" s="3"/>
      <c r="J2000" s="3"/>
      <c r="K2000" s="9"/>
    </row>
    <row r="2001" ht="15.75" customHeight="1">
      <c r="A2001" s="10" t="s">
        <v>12</v>
      </c>
      <c r="B2001" s="10" t="s">
        <v>359</v>
      </c>
      <c r="C2001" s="10" t="s">
        <v>10052</v>
      </c>
      <c r="D2001" s="11" t="str">
        <f t="shared" si="1"/>
        <v>Abrir anúncio ↗</v>
      </c>
      <c r="E2001" s="12" t="s">
        <v>10053</v>
      </c>
      <c r="F2001" s="10" t="s">
        <v>29</v>
      </c>
      <c r="G2001" s="12" t="s">
        <v>4918</v>
      </c>
      <c r="H2001" s="12" t="s">
        <v>4919</v>
      </c>
      <c r="I2001" s="10"/>
      <c r="J2001" s="10"/>
      <c r="K2001" s="12"/>
    </row>
    <row r="2002" ht="15.75" customHeight="1">
      <c r="A2002" s="3" t="s">
        <v>12</v>
      </c>
      <c r="B2002" s="3" t="s">
        <v>359</v>
      </c>
      <c r="C2002" s="3" t="s">
        <v>7025</v>
      </c>
      <c r="D2002" s="8" t="str">
        <f t="shared" si="1"/>
        <v>Abrir anúncio ↗</v>
      </c>
      <c r="E2002" s="9" t="s">
        <v>7019</v>
      </c>
      <c r="F2002" s="3" t="s">
        <v>29</v>
      </c>
      <c r="G2002" s="9" t="s">
        <v>4918</v>
      </c>
      <c r="H2002" s="9" t="s">
        <v>4919</v>
      </c>
      <c r="I2002" s="3"/>
      <c r="J2002" s="3"/>
      <c r="K2002" s="9"/>
    </row>
    <row r="2003" ht="15.75" customHeight="1">
      <c r="A2003" s="10" t="s">
        <v>12</v>
      </c>
      <c r="B2003" s="10" t="s">
        <v>359</v>
      </c>
      <c r="C2003" s="10" t="s">
        <v>10054</v>
      </c>
      <c r="D2003" s="11" t="str">
        <f t="shared" si="1"/>
        <v>Abrir anúncio ↗</v>
      </c>
      <c r="E2003" s="12" t="s">
        <v>10055</v>
      </c>
      <c r="F2003" s="10" t="s">
        <v>29</v>
      </c>
      <c r="G2003" s="12" t="s">
        <v>4918</v>
      </c>
      <c r="H2003" s="12" t="s">
        <v>4919</v>
      </c>
      <c r="I2003" s="10"/>
      <c r="J2003" s="10"/>
      <c r="K2003" s="12"/>
    </row>
    <row r="2004" ht="15.75" customHeight="1">
      <c r="A2004" s="3" t="s">
        <v>12</v>
      </c>
      <c r="B2004" s="3" t="s">
        <v>359</v>
      </c>
      <c r="C2004" s="3" t="s">
        <v>10056</v>
      </c>
      <c r="D2004" s="8" t="str">
        <f t="shared" si="1"/>
        <v>Abrir anúncio ↗</v>
      </c>
      <c r="E2004" s="9" t="s">
        <v>10057</v>
      </c>
      <c r="F2004" s="3" t="s">
        <v>86</v>
      </c>
      <c r="G2004" s="9" t="s">
        <v>5013</v>
      </c>
      <c r="H2004" s="9" t="s">
        <v>5015</v>
      </c>
      <c r="I2004" s="3"/>
      <c r="J2004" s="3"/>
      <c r="K2004" s="9"/>
    </row>
    <row r="2005" ht="15.75" customHeight="1">
      <c r="A2005" s="10" t="s">
        <v>12</v>
      </c>
      <c r="B2005" s="10" t="s">
        <v>359</v>
      </c>
      <c r="C2005" s="10" t="s">
        <v>10058</v>
      </c>
      <c r="D2005" s="11" t="str">
        <f t="shared" si="1"/>
        <v>Abrir anúncio ↗</v>
      </c>
      <c r="E2005" s="12" t="s">
        <v>10059</v>
      </c>
      <c r="F2005" s="10" t="s">
        <v>86</v>
      </c>
      <c r="G2005" s="12" t="s">
        <v>9514</v>
      </c>
      <c r="H2005" s="12" t="s">
        <v>9515</v>
      </c>
      <c r="I2005" s="10"/>
      <c r="J2005" s="10"/>
      <c r="K2005" s="12"/>
    </row>
    <row r="2006" ht="15.75" customHeight="1">
      <c r="A2006" s="3" t="s">
        <v>12</v>
      </c>
      <c r="B2006" s="3" t="s">
        <v>359</v>
      </c>
      <c r="C2006" s="3" t="s">
        <v>10060</v>
      </c>
      <c r="D2006" s="8" t="str">
        <f t="shared" si="1"/>
        <v>Abrir anúncio ↗</v>
      </c>
      <c r="E2006" s="9" t="s">
        <v>10061</v>
      </c>
      <c r="F2006" s="3" t="s">
        <v>29</v>
      </c>
      <c r="G2006" s="9" t="s">
        <v>4918</v>
      </c>
      <c r="H2006" s="9" t="s">
        <v>4919</v>
      </c>
      <c r="I2006" s="3"/>
      <c r="J2006" s="3"/>
      <c r="K2006" s="9"/>
    </row>
    <row r="2007" ht="15.75" customHeight="1">
      <c r="A2007" s="10" t="s">
        <v>12</v>
      </c>
      <c r="B2007" s="10" t="s">
        <v>359</v>
      </c>
      <c r="C2007" s="10" t="s">
        <v>10062</v>
      </c>
      <c r="D2007" s="11" t="str">
        <f t="shared" si="1"/>
        <v>Abrir anúncio ↗</v>
      </c>
      <c r="E2007" s="12" t="s">
        <v>10063</v>
      </c>
      <c r="F2007" s="10" t="s">
        <v>29</v>
      </c>
      <c r="G2007" s="12" t="s">
        <v>5013</v>
      </c>
      <c r="H2007" s="12" t="s">
        <v>5015</v>
      </c>
      <c r="I2007" s="10"/>
      <c r="J2007" s="10"/>
      <c r="K2007" s="12"/>
    </row>
    <row r="2008" ht="15.75" customHeight="1">
      <c r="A2008" s="3" t="s">
        <v>12</v>
      </c>
      <c r="B2008" s="3" t="s">
        <v>359</v>
      </c>
      <c r="C2008" s="3" t="s">
        <v>10064</v>
      </c>
      <c r="D2008" s="8" t="str">
        <f t="shared" si="1"/>
        <v>Abrir anúncio ↗</v>
      </c>
      <c r="E2008" s="9" t="s">
        <v>10065</v>
      </c>
      <c r="F2008" s="3" t="s">
        <v>29</v>
      </c>
      <c r="G2008" s="9" t="s">
        <v>4918</v>
      </c>
      <c r="H2008" s="9" t="s">
        <v>4919</v>
      </c>
      <c r="I2008" s="3"/>
      <c r="J2008" s="3"/>
      <c r="K2008" s="9"/>
    </row>
    <row r="2009" ht="15.75" customHeight="1">
      <c r="A2009" s="10" t="s">
        <v>12</v>
      </c>
      <c r="B2009" s="10" t="s">
        <v>359</v>
      </c>
      <c r="C2009" s="10" t="s">
        <v>10066</v>
      </c>
      <c r="D2009" s="11" t="str">
        <f t="shared" si="1"/>
        <v>Abrir anúncio ↗</v>
      </c>
      <c r="E2009" s="12" t="s">
        <v>10067</v>
      </c>
      <c r="F2009" s="10" t="s">
        <v>29</v>
      </c>
      <c r="G2009" s="12" t="s">
        <v>4918</v>
      </c>
      <c r="H2009" s="12" t="s">
        <v>4919</v>
      </c>
      <c r="I2009" s="10"/>
      <c r="J2009" s="10"/>
      <c r="K2009" s="12"/>
    </row>
    <row r="2010" ht="15.75" customHeight="1">
      <c r="A2010" s="3" t="s">
        <v>12</v>
      </c>
      <c r="B2010" s="3" t="s">
        <v>359</v>
      </c>
      <c r="C2010" s="3" t="s">
        <v>10068</v>
      </c>
      <c r="D2010" s="8" t="str">
        <f t="shared" si="1"/>
        <v>Abrir anúncio ↗</v>
      </c>
      <c r="E2010" s="9" t="s">
        <v>10069</v>
      </c>
      <c r="F2010" s="3" t="s">
        <v>29</v>
      </c>
      <c r="G2010" s="9" t="s">
        <v>4918</v>
      </c>
      <c r="H2010" s="9" t="s">
        <v>4919</v>
      </c>
      <c r="I2010" s="3"/>
      <c r="J2010" s="3"/>
      <c r="K2010" s="9"/>
    </row>
    <row r="2011" ht="15.75" customHeight="1">
      <c r="A2011" s="10" t="s">
        <v>12</v>
      </c>
      <c r="B2011" s="10" t="s">
        <v>359</v>
      </c>
      <c r="C2011" s="10" t="s">
        <v>10070</v>
      </c>
      <c r="D2011" s="11" t="str">
        <f t="shared" si="1"/>
        <v>Abrir anúncio ↗</v>
      </c>
      <c r="E2011" s="12" t="s">
        <v>10071</v>
      </c>
      <c r="F2011" s="10" t="s">
        <v>29</v>
      </c>
      <c r="G2011" s="12" t="s">
        <v>4918</v>
      </c>
      <c r="H2011" s="12" t="s">
        <v>4919</v>
      </c>
      <c r="I2011" s="10"/>
      <c r="J2011" s="10"/>
      <c r="K2011" s="12"/>
    </row>
    <row r="2012" ht="15.75" customHeight="1">
      <c r="A2012" s="3" t="s">
        <v>12</v>
      </c>
      <c r="B2012" s="3" t="s">
        <v>359</v>
      </c>
      <c r="C2012" s="3" t="s">
        <v>7928</v>
      </c>
      <c r="D2012" s="8" t="str">
        <f t="shared" si="1"/>
        <v>Abrir anúncio ↗</v>
      </c>
      <c r="E2012" s="9" t="s">
        <v>7927</v>
      </c>
      <c r="F2012" s="3" t="s">
        <v>29</v>
      </c>
      <c r="G2012" s="9" t="s">
        <v>4918</v>
      </c>
      <c r="H2012" s="9" t="s">
        <v>4919</v>
      </c>
      <c r="I2012" s="3"/>
      <c r="J2012" s="3"/>
      <c r="K2012" s="9"/>
    </row>
    <row r="2013" ht="15.75" customHeight="1">
      <c r="A2013" s="10" t="s">
        <v>12</v>
      </c>
      <c r="B2013" s="10" t="s">
        <v>359</v>
      </c>
      <c r="C2013" s="10" t="s">
        <v>10072</v>
      </c>
      <c r="D2013" s="11" t="str">
        <f t="shared" si="1"/>
        <v>Abrir anúncio ↗</v>
      </c>
      <c r="E2013" s="12" t="s">
        <v>10073</v>
      </c>
      <c r="F2013" s="10" t="s">
        <v>86</v>
      </c>
      <c r="G2013" s="12" t="s">
        <v>5013</v>
      </c>
      <c r="H2013" s="12" t="s">
        <v>5015</v>
      </c>
      <c r="I2013" s="10"/>
      <c r="J2013" s="10"/>
      <c r="K2013" s="12"/>
    </row>
    <row r="2014" ht="15.75" customHeight="1">
      <c r="A2014" s="3" t="s">
        <v>12</v>
      </c>
      <c r="B2014" s="3" t="s">
        <v>359</v>
      </c>
      <c r="C2014" s="3" t="s">
        <v>10074</v>
      </c>
      <c r="D2014" s="8" t="str">
        <f t="shared" si="1"/>
        <v>Abrir anúncio ↗</v>
      </c>
      <c r="E2014" s="9" t="s">
        <v>10075</v>
      </c>
      <c r="F2014" s="3" t="s">
        <v>29</v>
      </c>
      <c r="G2014" s="9" t="s">
        <v>4918</v>
      </c>
      <c r="H2014" s="9" t="s">
        <v>4919</v>
      </c>
      <c r="I2014" s="3"/>
      <c r="J2014" s="3"/>
      <c r="K2014" s="9"/>
    </row>
    <row r="2015" ht="15.75" customHeight="1">
      <c r="A2015" s="10" t="s">
        <v>12</v>
      </c>
      <c r="B2015" s="10" t="s">
        <v>359</v>
      </c>
      <c r="C2015" s="10" t="s">
        <v>10076</v>
      </c>
      <c r="D2015" s="11" t="str">
        <f t="shared" si="1"/>
        <v>Abrir anúncio ↗</v>
      </c>
      <c r="E2015" s="12" t="s">
        <v>10077</v>
      </c>
      <c r="F2015" s="10" t="s">
        <v>29</v>
      </c>
      <c r="G2015" s="12" t="s">
        <v>4918</v>
      </c>
      <c r="H2015" s="12" t="s">
        <v>4919</v>
      </c>
      <c r="I2015" s="10"/>
      <c r="J2015" s="10"/>
      <c r="K2015" s="12"/>
    </row>
    <row r="2016" ht="15.75" customHeight="1">
      <c r="A2016" s="3" t="s">
        <v>12</v>
      </c>
      <c r="B2016" s="3" t="s">
        <v>359</v>
      </c>
      <c r="C2016" s="3" t="s">
        <v>10078</v>
      </c>
      <c r="D2016" s="8" t="str">
        <f t="shared" si="1"/>
        <v>Abrir anúncio ↗</v>
      </c>
      <c r="E2016" s="9" t="s">
        <v>10079</v>
      </c>
      <c r="F2016" s="3" t="s">
        <v>29</v>
      </c>
      <c r="G2016" s="9" t="s">
        <v>4918</v>
      </c>
      <c r="H2016" s="9" t="s">
        <v>4919</v>
      </c>
      <c r="I2016" s="3"/>
      <c r="J2016" s="3"/>
      <c r="K2016" s="9"/>
    </row>
    <row r="2017" ht="15.75" customHeight="1">
      <c r="A2017" s="10" t="s">
        <v>12</v>
      </c>
      <c r="B2017" s="10" t="s">
        <v>359</v>
      </c>
      <c r="C2017" s="10" t="s">
        <v>10080</v>
      </c>
      <c r="D2017" s="11" t="str">
        <f t="shared" si="1"/>
        <v>Abrir anúncio ↗</v>
      </c>
      <c r="E2017" s="12" t="s">
        <v>10081</v>
      </c>
      <c r="F2017" s="10" t="s">
        <v>86</v>
      </c>
      <c r="G2017" s="12" t="s">
        <v>9514</v>
      </c>
      <c r="H2017" s="12" t="s">
        <v>9515</v>
      </c>
      <c r="I2017" s="10"/>
      <c r="J2017" s="10"/>
      <c r="K2017" s="12"/>
    </row>
    <row r="2018" ht="15.75" customHeight="1">
      <c r="A2018" s="3" t="s">
        <v>12</v>
      </c>
      <c r="B2018" s="3" t="s">
        <v>359</v>
      </c>
      <c r="C2018" s="3" t="s">
        <v>10082</v>
      </c>
      <c r="D2018" s="8" t="str">
        <f t="shared" si="1"/>
        <v>Abrir anúncio ↗</v>
      </c>
      <c r="E2018" s="9" t="s">
        <v>10083</v>
      </c>
      <c r="F2018" s="3" t="s">
        <v>29</v>
      </c>
      <c r="G2018" s="9" t="s">
        <v>4918</v>
      </c>
      <c r="H2018" s="9" t="s">
        <v>4919</v>
      </c>
      <c r="I2018" s="3"/>
      <c r="J2018" s="3"/>
      <c r="K2018" s="9"/>
    </row>
    <row r="2019" ht="15.75" customHeight="1">
      <c r="A2019" s="10" t="s">
        <v>12</v>
      </c>
      <c r="B2019" s="10" t="s">
        <v>359</v>
      </c>
      <c r="C2019" s="10" t="s">
        <v>10084</v>
      </c>
      <c r="D2019" s="11" t="str">
        <f t="shared" si="1"/>
        <v>Abrir anúncio ↗</v>
      </c>
      <c r="E2019" s="12" t="s">
        <v>10085</v>
      </c>
      <c r="F2019" s="10" t="s">
        <v>29</v>
      </c>
      <c r="G2019" s="12" t="s">
        <v>4918</v>
      </c>
      <c r="H2019" s="12" t="s">
        <v>4919</v>
      </c>
      <c r="I2019" s="10"/>
      <c r="J2019" s="10"/>
      <c r="K2019" s="12"/>
    </row>
    <row r="2020" ht="15.75" customHeight="1">
      <c r="A2020" s="3" t="s">
        <v>12</v>
      </c>
      <c r="B2020" s="3" t="s">
        <v>359</v>
      </c>
      <c r="C2020" s="3" t="s">
        <v>6735</v>
      </c>
      <c r="D2020" s="8" t="str">
        <f t="shared" si="1"/>
        <v>Abrir anúncio ↗</v>
      </c>
      <c r="E2020" s="9" t="s">
        <v>980</v>
      </c>
      <c r="F2020" s="3" t="s">
        <v>29</v>
      </c>
      <c r="G2020" s="9" t="s">
        <v>9514</v>
      </c>
      <c r="H2020" s="9" t="s">
        <v>9515</v>
      </c>
      <c r="I2020" s="3"/>
      <c r="J2020" s="3"/>
      <c r="K2020" s="9"/>
    </row>
    <row r="2021" ht="15.75" customHeight="1">
      <c r="A2021" s="10" t="s">
        <v>12</v>
      </c>
      <c r="B2021" s="10" t="s">
        <v>359</v>
      </c>
      <c r="C2021" s="10" t="s">
        <v>6625</v>
      </c>
      <c r="D2021" s="11" t="str">
        <f t="shared" si="1"/>
        <v>Abrir anúncio ↗</v>
      </c>
      <c r="E2021" s="12" t="s">
        <v>929</v>
      </c>
      <c r="F2021" s="10" t="s">
        <v>86</v>
      </c>
      <c r="G2021" s="12" t="s">
        <v>9514</v>
      </c>
      <c r="H2021" s="12" t="s">
        <v>9515</v>
      </c>
      <c r="I2021" s="10"/>
      <c r="J2021" s="10"/>
      <c r="K2021" s="12"/>
    </row>
    <row r="2022" ht="15.75" customHeight="1">
      <c r="A2022" s="3" t="s">
        <v>12</v>
      </c>
      <c r="B2022" s="3" t="s">
        <v>359</v>
      </c>
      <c r="C2022" s="3" t="s">
        <v>9160</v>
      </c>
      <c r="D2022" s="8" t="str">
        <f t="shared" si="1"/>
        <v>Abrir anúncio ↗</v>
      </c>
      <c r="E2022" s="9" t="s">
        <v>9156</v>
      </c>
      <c r="F2022" s="3" t="s">
        <v>86</v>
      </c>
      <c r="G2022" s="9" t="s">
        <v>9514</v>
      </c>
      <c r="H2022" s="9" t="s">
        <v>9515</v>
      </c>
      <c r="I2022" s="3"/>
      <c r="J2022" s="3"/>
      <c r="K2022" s="9"/>
    </row>
    <row r="2023" ht="15.75" customHeight="1">
      <c r="A2023" s="10" t="s">
        <v>12</v>
      </c>
      <c r="B2023" s="10" t="s">
        <v>359</v>
      </c>
      <c r="C2023" s="10" t="s">
        <v>8198</v>
      </c>
      <c r="D2023" s="11" t="str">
        <f t="shared" si="1"/>
        <v>Abrir anúncio ↗</v>
      </c>
      <c r="E2023" s="12" t="s">
        <v>8197</v>
      </c>
      <c r="F2023" s="10" t="s">
        <v>29</v>
      </c>
      <c r="G2023" s="12" t="s">
        <v>4918</v>
      </c>
      <c r="H2023" s="12" t="s">
        <v>4919</v>
      </c>
      <c r="I2023" s="10"/>
      <c r="J2023" s="10"/>
      <c r="K2023" s="12"/>
    </row>
    <row r="2024" ht="15.75" customHeight="1">
      <c r="A2024" s="3" t="s">
        <v>12</v>
      </c>
      <c r="B2024" s="3" t="s">
        <v>359</v>
      </c>
      <c r="C2024" s="3" t="s">
        <v>6232</v>
      </c>
      <c r="D2024" s="8" t="str">
        <f t="shared" si="1"/>
        <v>Abrir anúncio ↗</v>
      </c>
      <c r="E2024" s="9" t="s">
        <v>6212</v>
      </c>
      <c r="F2024" s="3" t="s">
        <v>29</v>
      </c>
      <c r="G2024" s="9" t="s">
        <v>5013</v>
      </c>
      <c r="H2024" s="9" t="s">
        <v>5015</v>
      </c>
      <c r="I2024" s="3"/>
      <c r="J2024" s="3"/>
      <c r="K2024" s="9"/>
    </row>
    <row r="2025" ht="15.75" customHeight="1">
      <c r="A2025" s="10" t="s">
        <v>12</v>
      </c>
      <c r="B2025" s="10" t="s">
        <v>359</v>
      </c>
      <c r="C2025" s="10" t="s">
        <v>10086</v>
      </c>
      <c r="D2025" s="11" t="str">
        <f t="shared" si="1"/>
        <v>Abrir anúncio ↗</v>
      </c>
      <c r="E2025" s="12" t="s">
        <v>10087</v>
      </c>
      <c r="F2025" s="10" t="s">
        <v>29</v>
      </c>
      <c r="G2025" s="12" t="s">
        <v>4918</v>
      </c>
      <c r="H2025" s="12" t="s">
        <v>4919</v>
      </c>
      <c r="I2025" s="10"/>
      <c r="J2025" s="10"/>
      <c r="K2025" s="12"/>
    </row>
    <row r="2026" ht="15.75" customHeight="1">
      <c r="A2026" s="3" t="s">
        <v>12</v>
      </c>
      <c r="B2026" s="3" t="s">
        <v>359</v>
      </c>
      <c r="C2026" s="3" t="s">
        <v>7933</v>
      </c>
      <c r="D2026" s="8" t="str">
        <f t="shared" si="1"/>
        <v>Abrir anúncio ↗</v>
      </c>
      <c r="E2026" s="9" t="s">
        <v>6819</v>
      </c>
      <c r="F2026" s="3" t="s">
        <v>29</v>
      </c>
      <c r="G2026" s="9" t="s">
        <v>4918</v>
      </c>
      <c r="H2026" s="9" t="s">
        <v>4919</v>
      </c>
      <c r="I2026" s="3"/>
      <c r="J2026" s="3"/>
      <c r="K2026" s="9"/>
    </row>
    <row r="2027" ht="15.75" customHeight="1">
      <c r="A2027" s="10" t="s">
        <v>12</v>
      </c>
      <c r="B2027" s="10" t="s">
        <v>359</v>
      </c>
      <c r="C2027" s="10" t="s">
        <v>10088</v>
      </c>
      <c r="D2027" s="11" t="str">
        <f t="shared" si="1"/>
        <v>Abrir anúncio ↗</v>
      </c>
      <c r="E2027" s="12" t="s">
        <v>10089</v>
      </c>
      <c r="F2027" s="10" t="s">
        <v>29</v>
      </c>
      <c r="G2027" s="12" t="s">
        <v>4918</v>
      </c>
      <c r="H2027" s="12" t="s">
        <v>4919</v>
      </c>
      <c r="I2027" s="10"/>
      <c r="J2027" s="10"/>
      <c r="K2027" s="12"/>
    </row>
    <row r="2028" ht="15.75" customHeight="1">
      <c r="A2028" s="3" t="s">
        <v>12</v>
      </c>
      <c r="B2028" s="3" t="s">
        <v>359</v>
      </c>
      <c r="C2028" s="3" t="s">
        <v>8312</v>
      </c>
      <c r="D2028" s="8" t="str">
        <f t="shared" si="1"/>
        <v>Abrir anúncio ↗</v>
      </c>
      <c r="E2028" s="9" t="s">
        <v>8309</v>
      </c>
      <c r="F2028" s="3" t="s">
        <v>29</v>
      </c>
      <c r="G2028" s="9" t="s">
        <v>4918</v>
      </c>
      <c r="H2028" s="9" t="s">
        <v>4919</v>
      </c>
      <c r="I2028" s="3"/>
      <c r="J2028" s="3"/>
      <c r="K2028" s="9"/>
    </row>
    <row r="2029" ht="15.75" customHeight="1">
      <c r="A2029" s="10" t="s">
        <v>12</v>
      </c>
      <c r="B2029" s="10" t="s">
        <v>359</v>
      </c>
      <c r="C2029" s="10" t="s">
        <v>10090</v>
      </c>
      <c r="D2029" s="11" t="str">
        <f t="shared" si="1"/>
        <v>Abrir anúncio ↗</v>
      </c>
      <c r="E2029" s="12" t="s">
        <v>10091</v>
      </c>
      <c r="F2029" s="10" t="s">
        <v>29</v>
      </c>
      <c r="G2029" s="12" t="s">
        <v>4918</v>
      </c>
      <c r="H2029" s="12" t="s">
        <v>4919</v>
      </c>
      <c r="I2029" s="10"/>
      <c r="J2029" s="10"/>
      <c r="K2029" s="12"/>
    </row>
    <row r="2030" ht="15.75" customHeight="1">
      <c r="A2030" s="3" t="s">
        <v>12</v>
      </c>
      <c r="B2030" s="3" t="s">
        <v>359</v>
      </c>
      <c r="C2030" s="3" t="s">
        <v>10092</v>
      </c>
      <c r="D2030" s="8" t="str">
        <f t="shared" si="1"/>
        <v>Abrir anúncio ↗</v>
      </c>
      <c r="E2030" s="9" t="s">
        <v>10093</v>
      </c>
      <c r="F2030" s="3" t="s">
        <v>29</v>
      </c>
      <c r="G2030" s="9" t="s">
        <v>4918</v>
      </c>
      <c r="H2030" s="9" t="s">
        <v>4919</v>
      </c>
      <c r="I2030" s="3"/>
      <c r="J2030" s="3"/>
      <c r="K2030" s="9"/>
    </row>
    <row r="2031" ht="15.75" customHeight="1">
      <c r="A2031" s="10" t="s">
        <v>12</v>
      </c>
      <c r="B2031" s="10" t="s">
        <v>359</v>
      </c>
      <c r="C2031" s="10" t="s">
        <v>10094</v>
      </c>
      <c r="D2031" s="11" t="str">
        <f t="shared" si="1"/>
        <v>Abrir anúncio ↗</v>
      </c>
      <c r="E2031" s="12" t="s">
        <v>10095</v>
      </c>
      <c r="F2031" s="10" t="s">
        <v>29</v>
      </c>
      <c r="G2031" s="12" t="s">
        <v>4918</v>
      </c>
      <c r="H2031" s="12" t="s">
        <v>4919</v>
      </c>
      <c r="I2031" s="10"/>
      <c r="J2031" s="10"/>
      <c r="K2031" s="12"/>
    </row>
    <row r="2032" ht="15.75" customHeight="1">
      <c r="A2032" s="3" t="s">
        <v>12</v>
      </c>
      <c r="B2032" s="3" t="s">
        <v>359</v>
      </c>
      <c r="C2032" s="3" t="s">
        <v>10096</v>
      </c>
      <c r="D2032" s="8" t="str">
        <f t="shared" si="1"/>
        <v>Abrir anúncio ↗</v>
      </c>
      <c r="E2032" s="9" t="s">
        <v>10097</v>
      </c>
      <c r="F2032" s="3" t="s">
        <v>86</v>
      </c>
      <c r="G2032" s="9" t="s">
        <v>5013</v>
      </c>
      <c r="H2032" s="9" t="s">
        <v>5015</v>
      </c>
      <c r="I2032" s="3"/>
      <c r="J2032" s="3"/>
      <c r="K2032" s="9"/>
    </row>
    <row r="2033" ht="15.75" customHeight="1">
      <c r="A2033" s="10" t="s">
        <v>12</v>
      </c>
      <c r="B2033" s="10" t="s">
        <v>359</v>
      </c>
      <c r="C2033" s="10" t="s">
        <v>10098</v>
      </c>
      <c r="D2033" s="11" t="str">
        <f t="shared" si="1"/>
        <v>Abrir anúncio ↗</v>
      </c>
      <c r="E2033" s="12" t="s">
        <v>10099</v>
      </c>
      <c r="F2033" s="10" t="s">
        <v>29</v>
      </c>
      <c r="G2033" s="12" t="s">
        <v>4918</v>
      </c>
      <c r="H2033" s="12" t="s">
        <v>4919</v>
      </c>
      <c r="I2033" s="10"/>
      <c r="J2033" s="10"/>
      <c r="K2033" s="12"/>
    </row>
    <row r="2034" ht="15.75" customHeight="1">
      <c r="A2034" s="3" t="s">
        <v>12</v>
      </c>
      <c r="B2034" s="3" t="s">
        <v>359</v>
      </c>
      <c r="C2034" s="3" t="s">
        <v>10100</v>
      </c>
      <c r="D2034" s="8" t="str">
        <f t="shared" si="1"/>
        <v>Abrir anúncio ↗</v>
      </c>
      <c r="E2034" s="9" t="s">
        <v>10101</v>
      </c>
      <c r="F2034" s="3" t="s">
        <v>29</v>
      </c>
      <c r="G2034" s="9" t="s">
        <v>4918</v>
      </c>
      <c r="H2034" s="9" t="s">
        <v>4919</v>
      </c>
      <c r="I2034" s="3"/>
      <c r="J2034" s="3"/>
      <c r="K2034" s="9"/>
    </row>
    <row r="2035" ht="15.75" customHeight="1">
      <c r="A2035" s="10" t="s">
        <v>12</v>
      </c>
      <c r="B2035" s="10" t="s">
        <v>359</v>
      </c>
      <c r="C2035" s="10" t="s">
        <v>10102</v>
      </c>
      <c r="D2035" s="11" t="str">
        <f t="shared" si="1"/>
        <v>Abrir anúncio ↗</v>
      </c>
      <c r="E2035" s="12" t="s">
        <v>10103</v>
      </c>
      <c r="F2035" s="10" t="s">
        <v>29</v>
      </c>
      <c r="G2035" s="12" t="s">
        <v>4918</v>
      </c>
      <c r="H2035" s="12" t="s">
        <v>4919</v>
      </c>
      <c r="I2035" s="10"/>
      <c r="J2035" s="10"/>
      <c r="K2035" s="12"/>
    </row>
    <row r="2036" ht="15.75" customHeight="1">
      <c r="A2036" s="3" t="s">
        <v>12</v>
      </c>
      <c r="B2036" s="3" t="s">
        <v>359</v>
      </c>
      <c r="C2036" s="3" t="s">
        <v>10104</v>
      </c>
      <c r="D2036" s="8" t="str">
        <f t="shared" si="1"/>
        <v>Abrir anúncio ↗</v>
      </c>
      <c r="E2036" s="9" t="s">
        <v>10105</v>
      </c>
      <c r="F2036" s="3" t="s">
        <v>29</v>
      </c>
      <c r="G2036" s="9" t="s">
        <v>4918</v>
      </c>
      <c r="H2036" s="9" t="s">
        <v>4919</v>
      </c>
      <c r="I2036" s="3"/>
      <c r="J2036" s="3"/>
      <c r="K2036" s="9"/>
    </row>
    <row r="2037" ht="15.75" customHeight="1">
      <c r="A2037" s="10" t="s">
        <v>12</v>
      </c>
      <c r="B2037" s="10" t="s">
        <v>359</v>
      </c>
      <c r="C2037" s="10" t="s">
        <v>10106</v>
      </c>
      <c r="D2037" s="11" t="str">
        <f t="shared" si="1"/>
        <v>Abrir anúncio ↗</v>
      </c>
      <c r="E2037" s="12" t="s">
        <v>10107</v>
      </c>
      <c r="F2037" s="10" t="s">
        <v>29</v>
      </c>
      <c r="G2037" s="12" t="s">
        <v>5013</v>
      </c>
      <c r="H2037" s="12" t="s">
        <v>5015</v>
      </c>
      <c r="I2037" s="10"/>
      <c r="J2037" s="10"/>
      <c r="K2037" s="12"/>
    </row>
    <row r="2038" ht="15.75" customHeight="1">
      <c r="A2038" s="3" t="s">
        <v>12</v>
      </c>
      <c r="B2038" s="3" t="s">
        <v>359</v>
      </c>
      <c r="C2038" s="3" t="s">
        <v>10108</v>
      </c>
      <c r="D2038" s="8" t="str">
        <f t="shared" si="1"/>
        <v>Abrir anúncio ↗</v>
      </c>
      <c r="E2038" s="9" t="s">
        <v>10109</v>
      </c>
      <c r="F2038" s="3" t="s">
        <v>29</v>
      </c>
      <c r="G2038" s="9" t="s">
        <v>4918</v>
      </c>
      <c r="H2038" s="9" t="s">
        <v>4919</v>
      </c>
      <c r="I2038" s="3"/>
      <c r="J2038" s="3"/>
      <c r="K2038" s="9"/>
    </row>
    <row r="2039" ht="15.75" customHeight="1">
      <c r="A2039" s="10" t="s">
        <v>12</v>
      </c>
      <c r="B2039" s="10" t="s">
        <v>359</v>
      </c>
      <c r="C2039" s="10" t="s">
        <v>10110</v>
      </c>
      <c r="D2039" s="11" t="str">
        <f t="shared" si="1"/>
        <v>Abrir anúncio ↗</v>
      </c>
      <c r="E2039" s="12" t="s">
        <v>10111</v>
      </c>
      <c r="F2039" s="10" t="s">
        <v>86</v>
      </c>
      <c r="G2039" s="12" t="s">
        <v>9514</v>
      </c>
      <c r="H2039" s="12" t="s">
        <v>9515</v>
      </c>
      <c r="I2039" s="10"/>
      <c r="J2039" s="10"/>
      <c r="K2039" s="12"/>
    </row>
    <row r="2040" ht="15.75" customHeight="1">
      <c r="A2040" s="3" t="s">
        <v>12</v>
      </c>
      <c r="B2040" s="3" t="s">
        <v>359</v>
      </c>
      <c r="C2040" s="3" t="s">
        <v>10112</v>
      </c>
      <c r="D2040" s="8" t="str">
        <f t="shared" si="1"/>
        <v>Abrir anúncio ↗</v>
      </c>
      <c r="E2040" s="9" t="s">
        <v>10113</v>
      </c>
      <c r="F2040" s="3" t="s">
        <v>29</v>
      </c>
      <c r="G2040" s="9" t="s">
        <v>4918</v>
      </c>
      <c r="H2040" s="9" t="s">
        <v>4919</v>
      </c>
      <c r="I2040" s="3"/>
      <c r="J2040" s="3"/>
      <c r="K2040" s="9"/>
    </row>
    <row r="2041" ht="15.75" customHeight="1">
      <c r="A2041" s="10" t="s">
        <v>12</v>
      </c>
      <c r="B2041" s="10" t="s">
        <v>359</v>
      </c>
      <c r="C2041" s="10" t="s">
        <v>6982</v>
      </c>
      <c r="D2041" s="11" t="str">
        <f t="shared" si="1"/>
        <v>Abrir anúncio ↗</v>
      </c>
      <c r="E2041" s="12" t="s">
        <v>6975</v>
      </c>
      <c r="F2041" s="10" t="s">
        <v>29</v>
      </c>
      <c r="G2041" s="12" t="s">
        <v>4918</v>
      </c>
      <c r="H2041" s="12" t="s">
        <v>4919</v>
      </c>
      <c r="I2041" s="10"/>
      <c r="J2041" s="10"/>
      <c r="K2041" s="12"/>
    </row>
    <row r="2042" ht="15.75" customHeight="1">
      <c r="A2042" s="3" t="s">
        <v>12</v>
      </c>
      <c r="B2042" s="3" t="s">
        <v>359</v>
      </c>
      <c r="C2042" s="3" t="s">
        <v>10114</v>
      </c>
      <c r="D2042" s="8" t="str">
        <f t="shared" si="1"/>
        <v>Abrir anúncio ↗</v>
      </c>
      <c r="E2042" s="9" t="s">
        <v>10115</v>
      </c>
      <c r="F2042" s="3" t="s">
        <v>29</v>
      </c>
      <c r="G2042" s="9" t="s">
        <v>9253</v>
      </c>
      <c r="H2042" s="9" t="s">
        <v>9254</v>
      </c>
      <c r="I2042" s="3"/>
      <c r="J2042" s="3"/>
      <c r="K2042" s="9"/>
    </row>
    <row r="2043" ht="15.75" customHeight="1">
      <c r="A2043" s="10" t="s">
        <v>12</v>
      </c>
      <c r="B2043" s="10" t="s">
        <v>359</v>
      </c>
      <c r="C2043" s="10" t="s">
        <v>10116</v>
      </c>
      <c r="D2043" s="11" t="str">
        <f t="shared" si="1"/>
        <v>Abrir anúncio ↗</v>
      </c>
      <c r="E2043" s="12" t="s">
        <v>10117</v>
      </c>
      <c r="F2043" s="10" t="s">
        <v>29</v>
      </c>
      <c r="G2043" s="12" t="s">
        <v>4918</v>
      </c>
      <c r="H2043" s="12" t="s">
        <v>4919</v>
      </c>
      <c r="I2043" s="10"/>
      <c r="J2043" s="10"/>
      <c r="K2043" s="12"/>
    </row>
    <row r="2044" ht="15.75" customHeight="1">
      <c r="A2044" s="3" t="s">
        <v>12</v>
      </c>
      <c r="B2044" s="3" t="s">
        <v>359</v>
      </c>
      <c r="C2044" s="3" t="s">
        <v>10118</v>
      </c>
      <c r="D2044" s="8" t="str">
        <f t="shared" si="1"/>
        <v>Abrir anúncio ↗</v>
      </c>
      <c r="E2044" s="9" t="s">
        <v>10119</v>
      </c>
      <c r="F2044" s="3" t="s">
        <v>29</v>
      </c>
      <c r="G2044" s="9" t="s">
        <v>4918</v>
      </c>
      <c r="H2044" s="9" t="s">
        <v>4919</v>
      </c>
      <c r="I2044" s="3"/>
      <c r="J2044" s="3"/>
      <c r="K2044" s="9"/>
    </row>
    <row r="2045" ht="15.75" customHeight="1">
      <c r="A2045" s="10" t="s">
        <v>12</v>
      </c>
      <c r="B2045" s="10" t="s">
        <v>359</v>
      </c>
      <c r="C2045" s="10" t="s">
        <v>10120</v>
      </c>
      <c r="D2045" s="11" t="str">
        <f t="shared" si="1"/>
        <v>Abrir anúncio ↗</v>
      </c>
      <c r="E2045" s="12" t="s">
        <v>10121</v>
      </c>
      <c r="F2045" s="10" t="s">
        <v>29</v>
      </c>
      <c r="G2045" s="12" t="s">
        <v>5013</v>
      </c>
      <c r="H2045" s="12" t="s">
        <v>5015</v>
      </c>
      <c r="I2045" s="10"/>
      <c r="J2045" s="10"/>
      <c r="K2045" s="12"/>
    </row>
    <row r="2046" ht="15.75" customHeight="1">
      <c r="A2046" s="3" t="s">
        <v>12</v>
      </c>
      <c r="B2046" s="3" t="s">
        <v>359</v>
      </c>
      <c r="C2046" s="3" t="s">
        <v>10122</v>
      </c>
      <c r="D2046" s="8" t="str">
        <f t="shared" si="1"/>
        <v>Abrir anúncio ↗</v>
      </c>
      <c r="E2046" s="9" t="s">
        <v>10123</v>
      </c>
      <c r="F2046" s="3" t="s">
        <v>29</v>
      </c>
      <c r="G2046" s="9" t="s">
        <v>4918</v>
      </c>
      <c r="H2046" s="9" t="s">
        <v>4919</v>
      </c>
      <c r="I2046" s="3"/>
      <c r="J2046" s="3"/>
      <c r="K2046" s="9"/>
    </row>
    <row r="2047" ht="15.75" customHeight="1">
      <c r="A2047" s="10" t="s">
        <v>12</v>
      </c>
      <c r="B2047" s="10" t="s">
        <v>359</v>
      </c>
      <c r="C2047" s="10" t="s">
        <v>6256</v>
      </c>
      <c r="D2047" s="11" t="str">
        <f t="shared" si="1"/>
        <v>Abrir anúncio ↗</v>
      </c>
      <c r="E2047" s="12" t="s">
        <v>6255</v>
      </c>
      <c r="F2047" s="10" t="s">
        <v>29</v>
      </c>
      <c r="G2047" s="12" t="s">
        <v>4918</v>
      </c>
      <c r="H2047" s="12" t="s">
        <v>4919</v>
      </c>
      <c r="I2047" s="10"/>
      <c r="J2047" s="10"/>
      <c r="K2047" s="12"/>
    </row>
    <row r="2048" ht="15.75" customHeight="1">
      <c r="A2048" s="3" t="s">
        <v>12</v>
      </c>
      <c r="B2048" s="3" t="s">
        <v>359</v>
      </c>
      <c r="C2048" s="3" t="s">
        <v>10124</v>
      </c>
      <c r="D2048" s="8" t="str">
        <f t="shared" si="1"/>
        <v>Abrir anúncio ↗</v>
      </c>
      <c r="E2048" s="9" t="s">
        <v>10125</v>
      </c>
      <c r="F2048" s="3" t="s">
        <v>29</v>
      </c>
      <c r="G2048" s="9" t="s">
        <v>4918</v>
      </c>
      <c r="H2048" s="9" t="s">
        <v>4919</v>
      </c>
      <c r="I2048" s="3"/>
      <c r="J2048" s="3"/>
      <c r="K2048" s="9"/>
    </row>
    <row r="2049" ht="15.75" customHeight="1">
      <c r="A2049" s="10" t="s">
        <v>12</v>
      </c>
      <c r="B2049" s="10" t="s">
        <v>359</v>
      </c>
      <c r="C2049" s="10" t="s">
        <v>7636</v>
      </c>
      <c r="D2049" s="11" t="str">
        <f t="shared" si="1"/>
        <v>Abrir anúncio ↗</v>
      </c>
      <c r="E2049" s="12" t="s">
        <v>7635</v>
      </c>
      <c r="F2049" s="10" t="s">
        <v>29</v>
      </c>
      <c r="G2049" s="12" t="s">
        <v>4918</v>
      </c>
      <c r="H2049" s="12" t="s">
        <v>4919</v>
      </c>
      <c r="I2049" s="10"/>
      <c r="J2049" s="10"/>
      <c r="K2049" s="12"/>
    </row>
    <row r="2050" ht="15.75" customHeight="1">
      <c r="A2050" s="3" t="s">
        <v>12</v>
      </c>
      <c r="B2050" s="3" t="s">
        <v>359</v>
      </c>
      <c r="C2050" s="3" t="s">
        <v>10126</v>
      </c>
      <c r="D2050" s="8" t="str">
        <f t="shared" si="1"/>
        <v>Abrir anúncio ↗</v>
      </c>
      <c r="E2050" s="9" t="s">
        <v>10127</v>
      </c>
      <c r="F2050" s="3" t="s">
        <v>29</v>
      </c>
      <c r="G2050" s="9" t="s">
        <v>4918</v>
      </c>
      <c r="H2050" s="9" t="s">
        <v>4919</v>
      </c>
      <c r="I2050" s="3"/>
      <c r="J2050" s="3"/>
      <c r="K2050" s="9"/>
    </row>
    <row r="2051" ht="15.75" customHeight="1">
      <c r="A2051" s="10" t="s">
        <v>12</v>
      </c>
      <c r="B2051" s="10" t="s">
        <v>359</v>
      </c>
      <c r="C2051" s="10" t="s">
        <v>10128</v>
      </c>
      <c r="D2051" s="11" t="str">
        <f t="shared" si="1"/>
        <v>Abrir anúncio ↗</v>
      </c>
      <c r="E2051" s="12" t="s">
        <v>10129</v>
      </c>
      <c r="F2051" s="10" t="s">
        <v>29</v>
      </c>
      <c r="G2051" s="12" t="s">
        <v>4918</v>
      </c>
      <c r="H2051" s="12" t="s">
        <v>4919</v>
      </c>
      <c r="I2051" s="10"/>
      <c r="J2051" s="10"/>
      <c r="K2051" s="12"/>
    </row>
    <row r="2052" ht="15.75" customHeight="1">
      <c r="A2052" s="3" t="s">
        <v>12</v>
      </c>
      <c r="B2052" s="3" t="s">
        <v>359</v>
      </c>
      <c r="C2052" s="3" t="s">
        <v>10130</v>
      </c>
      <c r="D2052" s="8" t="str">
        <f t="shared" si="1"/>
        <v>Abrir anúncio ↗</v>
      </c>
      <c r="E2052" s="9" t="s">
        <v>10131</v>
      </c>
      <c r="F2052" s="3" t="s">
        <v>29</v>
      </c>
      <c r="G2052" s="9" t="s">
        <v>4918</v>
      </c>
      <c r="H2052" s="9" t="s">
        <v>4919</v>
      </c>
      <c r="I2052" s="3"/>
      <c r="J2052" s="3"/>
      <c r="K2052" s="9"/>
    </row>
    <row r="2053" ht="15.75" customHeight="1">
      <c r="A2053" s="10" t="s">
        <v>12</v>
      </c>
      <c r="B2053" s="10" t="s">
        <v>359</v>
      </c>
      <c r="C2053" s="10" t="s">
        <v>10132</v>
      </c>
      <c r="D2053" s="11" t="str">
        <f t="shared" si="1"/>
        <v>Abrir anúncio ↗</v>
      </c>
      <c r="E2053" s="12" t="s">
        <v>10133</v>
      </c>
      <c r="F2053" s="10" t="s">
        <v>29</v>
      </c>
      <c r="G2053" s="12" t="s">
        <v>5013</v>
      </c>
      <c r="H2053" s="12" t="s">
        <v>5015</v>
      </c>
      <c r="I2053" s="10"/>
      <c r="J2053" s="10"/>
      <c r="K2053" s="12"/>
    </row>
    <row r="2054" ht="15.75" customHeight="1">
      <c r="A2054" s="3" t="s">
        <v>12</v>
      </c>
      <c r="B2054" s="3" t="s">
        <v>359</v>
      </c>
      <c r="C2054" s="3" t="s">
        <v>10134</v>
      </c>
      <c r="D2054" s="8" t="str">
        <f t="shared" si="1"/>
        <v>Abrir anúncio ↗</v>
      </c>
      <c r="E2054" s="9" t="s">
        <v>10135</v>
      </c>
      <c r="F2054" s="3" t="s">
        <v>29</v>
      </c>
      <c r="G2054" s="9" t="s">
        <v>4918</v>
      </c>
      <c r="H2054" s="9" t="s">
        <v>4919</v>
      </c>
      <c r="I2054" s="3"/>
      <c r="J2054" s="3"/>
      <c r="K2054" s="9"/>
    </row>
    <row r="2055" ht="15.75" customHeight="1">
      <c r="A2055" s="10" t="s">
        <v>12</v>
      </c>
      <c r="B2055" s="10" t="s">
        <v>359</v>
      </c>
      <c r="C2055" s="10" t="s">
        <v>10136</v>
      </c>
      <c r="D2055" s="11" t="str">
        <f t="shared" si="1"/>
        <v>Abrir anúncio ↗</v>
      </c>
      <c r="E2055" s="12" t="s">
        <v>10137</v>
      </c>
      <c r="F2055" s="10" t="s">
        <v>29</v>
      </c>
      <c r="G2055" s="12" t="s">
        <v>4918</v>
      </c>
      <c r="H2055" s="12" t="s">
        <v>4919</v>
      </c>
      <c r="I2055" s="10"/>
      <c r="J2055" s="10"/>
      <c r="K2055" s="12"/>
    </row>
    <row r="2056" ht="15.75" customHeight="1">
      <c r="A2056" s="3" t="s">
        <v>12</v>
      </c>
      <c r="B2056" s="3" t="s">
        <v>359</v>
      </c>
      <c r="C2056" s="3" t="s">
        <v>10138</v>
      </c>
      <c r="D2056" s="8" t="str">
        <f t="shared" si="1"/>
        <v>Abrir anúncio ↗</v>
      </c>
      <c r="E2056" s="9" t="s">
        <v>10139</v>
      </c>
      <c r="F2056" s="3" t="s">
        <v>29</v>
      </c>
      <c r="G2056" s="9" t="s">
        <v>4918</v>
      </c>
      <c r="H2056" s="9" t="s">
        <v>4919</v>
      </c>
      <c r="I2056" s="3"/>
      <c r="J2056" s="3"/>
      <c r="K2056" s="9"/>
    </row>
    <row r="2057" ht="15.75" customHeight="1">
      <c r="A2057" s="10" t="s">
        <v>12</v>
      </c>
      <c r="B2057" s="10" t="s">
        <v>359</v>
      </c>
      <c r="C2057" s="10" t="s">
        <v>10140</v>
      </c>
      <c r="D2057" s="11" t="str">
        <f t="shared" si="1"/>
        <v>Abrir anúncio ↗</v>
      </c>
      <c r="E2057" s="12" t="s">
        <v>10141</v>
      </c>
      <c r="F2057" s="10" t="s">
        <v>29</v>
      </c>
      <c r="G2057" s="12" t="s">
        <v>4918</v>
      </c>
      <c r="H2057" s="12" t="s">
        <v>4919</v>
      </c>
      <c r="I2057" s="10"/>
      <c r="J2057" s="10"/>
      <c r="K2057" s="12"/>
    </row>
    <row r="2058" ht="15.75" customHeight="1">
      <c r="A2058" s="3" t="s">
        <v>12</v>
      </c>
      <c r="B2058" s="3" t="s">
        <v>359</v>
      </c>
      <c r="C2058" s="3" t="s">
        <v>10142</v>
      </c>
      <c r="D2058" s="8" t="str">
        <f t="shared" si="1"/>
        <v>Abrir anúncio ↗</v>
      </c>
      <c r="E2058" s="9" t="s">
        <v>10143</v>
      </c>
      <c r="F2058" s="3" t="s">
        <v>29</v>
      </c>
      <c r="G2058" s="9" t="s">
        <v>4918</v>
      </c>
      <c r="H2058" s="9" t="s">
        <v>4919</v>
      </c>
      <c r="I2058" s="3"/>
      <c r="J2058" s="3"/>
      <c r="K2058" s="9"/>
    </row>
    <row r="2059" ht="15.75" customHeight="1">
      <c r="A2059" s="10" t="s">
        <v>12</v>
      </c>
      <c r="B2059" s="10" t="s">
        <v>359</v>
      </c>
      <c r="C2059" s="10" t="s">
        <v>10144</v>
      </c>
      <c r="D2059" s="11" t="str">
        <f t="shared" si="1"/>
        <v>Abrir anúncio ↗</v>
      </c>
      <c r="E2059" s="12" t="s">
        <v>10145</v>
      </c>
      <c r="F2059" s="10" t="s">
        <v>86</v>
      </c>
      <c r="G2059" s="12" t="s">
        <v>5013</v>
      </c>
      <c r="H2059" s="12" t="s">
        <v>5015</v>
      </c>
      <c r="I2059" s="10"/>
      <c r="J2059" s="10"/>
      <c r="K2059" s="12"/>
    </row>
    <row r="2060" ht="15.75" customHeight="1">
      <c r="A2060" s="3" t="s">
        <v>12</v>
      </c>
      <c r="B2060" s="3" t="s">
        <v>359</v>
      </c>
      <c r="C2060" s="3" t="s">
        <v>7203</v>
      </c>
      <c r="D2060" s="8" t="str">
        <f t="shared" si="1"/>
        <v>Abrir anúncio ↗</v>
      </c>
      <c r="E2060" s="9" t="s">
        <v>7202</v>
      </c>
      <c r="F2060" s="3" t="s">
        <v>29</v>
      </c>
      <c r="G2060" s="9" t="s">
        <v>4918</v>
      </c>
      <c r="H2060" s="9" t="s">
        <v>4919</v>
      </c>
      <c r="I2060" s="3"/>
      <c r="J2060" s="3"/>
      <c r="K2060" s="9"/>
    </row>
    <row r="2061" ht="15.75" customHeight="1">
      <c r="A2061" s="10" t="s">
        <v>12</v>
      </c>
      <c r="B2061" s="10" t="s">
        <v>359</v>
      </c>
      <c r="C2061" s="10" t="s">
        <v>10146</v>
      </c>
      <c r="D2061" s="11" t="str">
        <f t="shared" si="1"/>
        <v>Abrir anúncio ↗</v>
      </c>
      <c r="E2061" s="12" t="s">
        <v>10147</v>
      </c>
      <c r="F2061" s="10" t="s">
        <v>29</v>
      </c>
      <c r="G2061" s="12" t="s">
        <v>4918</v>
      </c>
      <c r="H2061" s="12" t="s">
        <v>4919</v>
      </c>
      <c r="I2061" s="10"/>
      <c r="J2061" s="10"/>
      <c r="K2061" s="12"/>
    </row>
    <row r="2062" ht="15.75" customHeight="1">
      <c r="A2062" s="3" t="s">
        <v>12</v>
      </c>
      <c r="B2062" s="3" t="s">
        <v>359</v>
      </c>
      <c r="C2062" s="3" t="s">
        <v>10148</v>
      </c>
      <c r="D2062" s="8" t="str">
        <f t="shared" si="1"/>
        <v>Abrir anúncio ↗</v>
      </c>
      <c r="E2062" s="9" t="s">
        <v>10149</v>
      </c>
      <c r="F2062" s="3" t="s">
        <v>29</v>
      </c>
      <c r="G2062" s="9" t="s">
        <v>4918</v>
      </c>
      <c r="H2062" s="9" t="s">
        <v>4919</v>
      </c>
      <c r="I2062" s="3"/>
      <c r="J2062" s="3"/>
      <c r="K2062" s="9"/>
    </row>
    <row r="2063" ht="15.75" customHeight="1">
      <c r="A2063" s="10" t="s">
        <v>12</v>
      </c>
      <c r="B2063" s="10" t="s">
        <v>359</v>
      </c>
      <c r="C2063" s="10" t="s">
        <v>10150</v>
      </c>
      <c r="D2063" s="11" t="str">
        <f t="shared" si="1"/>
        <v>Abrir anúncio ↗</v>
      </c>
      <c r="E2063" s="12" t="s">
        <v>10151</v>
      </c>
      <c r="F2063" s="10" t="s">
        <v>29</v>
      </c>
      <c r="G2063" s="12" t="s">
        <v>4918</v>
      </c>
      <c r="H2063" s="12" t="s">
        <v>4919</v>
      </c>
      <c r="I2063" s="10"/>
      <c r="J2063" s="10"/>
      <c r="K2063" s="12"/>
    </row>
    <row r="2064" ht="15.75" customHeight="1">
      <c r="A2064" s="3" t="s">
        <v>12</v>
      </c>
      <c r="B2064" s="3" t="s">
        <v>359</v>
      </c>
      <c r="C2064" s="3" t="s">
        <v>10152</v>
      </c>
      <c r="D2064" s="8" t="str">
        <f t="shared" si="1"/>
        <v>Abrir anúncio ↗</v>
      </c>
      <c r="E2064" s="9" t="s">
        <v>10153</v>
      </c>
      <c r="F2064" s="3" t="s">
        <v>29</v>
      </c>
      <c r="G2064" s="9" t="s">
        <v>4918</v>
      </c>
      <c r="H2064" s="9" t="s">
        <v>4919</v>
      </c>
      <c r="I2064" s="3"/>
      <c r="J2064" s="3"/>
      <c r="K2064" s="9"/>
    </row>
    <row r="2065" ht="15.75" customHeight="1">
      <c r="A2065" s="10" t="s">
        <v>12</v>
      </c>
      <c r="B2065" s="10" t="s">
        <v>359</v>
      </c>
      <c r="C2065" s="10" t="s">
        <v>10154</v>
      </c>
      <c r="D2065" s="11" t="str">
        <f t="shared" si="1"/>
        <v>Abrir anúncio ↗</v>
      </c>
      <c r="E2065" s="12" t="s">
        <v>10155</v>
      </c>
      <c r="F2065" s="10" t="s">
        <v>29</v>
      </c>
      <c r="G2065" s="12" t="s">
        <v>5013</v>
      </c>
      <c r="H2065" s="12" t="s">
        <v>5015</v>
      </c>
      <c r="I2065" s="10"/>
      <c r="J2065" s="10"/>
      <c r="K2065" s="12"/>
    </row>
    <row r="2066" ht="15.75" customHeight="1">
      <c r="A2066" s="3" t="s">
        <v>12</v>
      </c>
      <c r="B2066" s="3" t="s">
        <v>359</v>
      </c>
      <c r="C2066" s="3" t="s">
        <v>10156</v>
      </c>
      <c r="D2066" s="8" t="str">
        <f t="shared" si="1"/>
        <v>Abrir anúncio ↗</v>
      </c>
      <c r="E2066" s="9" t="s">
        <v>10157</v>
      </c>
      <c r="F2066" s="3" t="s">
        <v>29</v>
      </c>
      <c r="G2066" s="9" t="s">
        <v>4918</v>
      </c>
      <c r="H2066" s="9" t="s">
        <v>4919</v>
      </c>
      <c r="I2066" s="3"/>
      <c r="J2066" s="3"/>
      <c r="K2066" s="9"/>
    </row>
    <row r="2067" ht="15.75" customHeight="1">
      <c r="A2067" s="10" t="s">
        <v>12</v>
      </c>
      <c r="B2067" s="10" t="s">
        <v>359</v>
      </c>
      <c r="C2067" s="10" t="s">
        <v>10158</v>
      </c>
      <c r="D2067" s="11" t="str">
        <f t="shared" si="1"/>
        <v>Abrir anúncio ↗</v>
      </c>
      <c r="E2067" s="12" t="s">
        <v>10159</v>
      </c>
      <c r="F2067" s="10" t="s">
        <v>29</v>
      </c>
      <c r="G2067" s="12" t="s">
        <v>4918</v>
      </c>
      <c r="H2067" s="12" t="s">
        <v>4919</v>
      </c>
      <c r="I2067" s="10"/>
      <c r="J2067" s="10"/>
      <c r="K2067" s="12"/>
    </row>
    <row r="2068" ht="15.75" customHeight="1">
      <c r="A2068" s="3" t="s">
        <v>12</v>
      </c>
      <c r="B2068" s="3" t="s">
        <v>359</v>
      </c>
      <c r="C2068" s="3" t="s">
        <v>10160</v>
      </c>
      <c r="D2068" s="8" t="str">
        <f t="shared" si="1"/>
        <v>Abrir anúncio ↗</v>
      </c>
      <c r="E2068" s="9" t="s">
        <v>10161</v>
      </c>
      <c r="F2068" s="3" t="s">
        <v>29</v>
      </c>
      <c r="G2068" s="9" t="s">
        <v>4918</v>
      </c>
      <c r="H2068" s="9" t="s">
        <v>4919</v>
      </c>
      <c r="I2068" s="3"/>
      <c r="J2068" s="3"/>
      <c r="K2068" s="9"/>
    </row>
    <row r="2069" ht="15.75" customHeight="1">
      <c r="A2069" s="10" t="s">
        <v>12</v>
      </c>
      <c r="B2069" s="10" t="s">
        <v>359</v>
      </c>
      <c r="C2069" s="10" t="s">
        <v>10162</v>
      </c>
      <c r="D2069" s="11" t="str">
        <f t="shared" si="1"/>
        <v>Abrir anúncio ↗</v>
      </c>
      <c r="E2069" s="12" t="s">
        <v>10163</v>
      </c>
      <c r="F2069" s="10" t="s">
        <v>29</v>
      </c>
      <c r="G2069" s="12" t="s">
        <v>4918</v>
      </c>
      <c r="H2069" s="12" t="s">
        <v>4919</v>
      </c>
      <c r="I2069" s="10"/>
      <c r="J2069" s="10"/>
      <c r="K2069" s="12"/>
    </row>
    <row r="2070" ht="15.75" customHeight="1">
      <c r="A2070" s="3" t="s">
        <v>12</v>
      </c>
      <c r="B2070" s="3" t="s">
        <v>359</v>
      </c>
      <c r="C2070" s="3" t="s">
        <v>10164</v>
      </c>
      <c r="D2070" s="8" t="str">
        <f t="shared" si="1"/>
        <v>Abrir anúncio ↗</v>
      </c>
      <c r="E2070" s="9" t="s">
        <v>10165</v>
      </c>
      <c r="F2070" s="3" t="s">
        <v>86</v>
      </c>
      <c r="G2070" s="9" t="s">
        <v>4918</v>
      </c>
      <c r="H2070" s="9" t="s">
        <v>4919</v>
      </c>
      <c r="I2070" s="3"/>
      <c r="J2070" s="3"/>
      <c r="K2070" s="9"/>
    </row>
    <row r="2071" ht="15.75" customHeight="1">
      <c r="A2071" s="10" t="s">
        <v>12</v>
      </c>
      <c r="B2071" s="10" t="s">
        <v>359</v>
      </c>
      <c r="C2071" s="10" t="s">
        <v>10166</v>
      </c>
      <c r="D2071" s="11" t="str">
        <f t="shared" si="1"/>
        <v>Abrir anúncio ↗</v>
      </c>
      <c r="E2071" s="12" t="s">
        <v>10167</v>
      </c>
      <c r="F2071" s="10" t="s">
        <v>29</v>
      </c>
      <c r="G2071" s="12" t="s">
        <v>4918</v>
      </c>
      <c r="H2071" s="12" t="s">
        <v>4919</v>
      </c>
      <c r="I2071" s="10"/>
      <c r="J2071" s="10"/>
      <c r="K2071" s="12"/>
    </row>
    <row r="2072" ht="15.75" customHeight="1">
      <c r="A2072" s="3" t="s">
        <v>12</v>
      </c>
      <c r="B2072" s="3" t="s">
        <v>359</v>
      </c>
      <c r="C2072" s="3" t="s">
        <v>10168</v>
      </c>
      <c r="D2072" s="8" t="str">
        <f t="shared" si="1"/>
        <v>Abrir anúncio ↗</v>
      </c>
      <c r="E2072" s="9" t="s">
        <v>10169</v>
      </c>
      <c r="F2072" s="3" t="s">
        <v>29</v>
      </c>
      <c r="G2072" s="9" t="s">
        <v>4918</v>
      </c>
      <c r="H2072" s="9" t="s">
        <v>4919</v>
      </c>
      <c r="I2072" s="3"/>
      <c r="J2072" s="3"/>
      <c r="K2072" s="9"/>
    </row>
    <row r="2073" ht="15.75" customHeight="1">
      <c r="A2073" s="10" t="s">
        <v>12</v>
      </c>
      <c r="B2073" s="10" t="s">
        <v>359</v>
      </c>
      <c r="C2073" s="10" t="s">
        <v>10170</v>
      </c>
      <c r="D2073" s="11" t="str">
        <f t="shared" si="1"/>
        <v>Abrir anúncio ↗</v>
      </c>
      <c r="E2073" s="12" t="s">
        <v>10171</v>
      </c>
      <c r="F2073" s="10" t="s">
        <v>86</v>
      </c>
      <c r="G2073" s="12" t="s">
        <v>5013</v>
      </c>
      <c r="H2073" s="12" t="s">
        <v>5015</v>
      </c>
      <c r="I2073" s="10"/>
      <c r="J2073" s="10"/>
      <c r="K2073" s="12"/>
    </row>
    <row r="2074" ht="15.75" customHeight="1">
      <c r="A2074" s="3" t="s">
        <v>12</v>
      </c>
      <c r="B2074" s="3" t="s">
        <v>359</v>
      </c>
      <c r="C2074" s="3" t="s">
        <v>10172</v>
      </c>
      <c r="D2074" s="8" t="str">
        <f t="shared" si="1"/>
        <v>Abrir anúncio ↗</v>
      </c>
      <c r="E2074" s="9" t="s">
        <v>10173</v>
      </c>
      <c r="F2074" s="3" t="s">
        <v>29</v>
      </c>
      <c r="G2074" s="9" t="s">
        <v>4918</v>
      </c>
      <c r="H2074" s="9" t="s">
        <v>4919</v>
      </c>
      <c r="I2074" s="3"/>
      <c r="J2074" s="3"/>
      <c r="K2074" s="9"/>
    </row>
    <row r="2075" ht="15.75" customHeight="1">
      <c r="A2075" s="10" t="s">
        <v>12</v>
      </c>
      <c r="B2075" s="10" t="s">
        <v>359</v>
      </c>
      <c r="C2075" s="10" t="s">
        <v>10174</v>
      </c>
      <c r="D2075" s="11" t="str">
        <f t="shared" si="1"/>
        <v>Abrir anúncio ↗</v>
      </c>
      <c r="E2075" s="12" t="s">
        <v>10175</v>
      </c>
      <c r="F2075" s="10" t="s">
        <v>86</v>
      </c>
      <c r="G2075" s="12" t="s">
        <v>5013</v>
      </c>
      <c r="H2075" s="12" t="s">
        <v>5015</v>
      </c>
      <c r="I2075" s="10"/>
      <c r="J2075" s="10"/>
      <c r="K2075" s="12"/>
    </row>
    <row r="2076" ht="15.75" customHeight="1">
      <c r="A2076" s="3" t="s">
        <v>12</v>
      </c>
      <c r="B2076" s="3" t="s">
        <v>359</v>
      </c>
      <c r="C2076" s="3" t="s">
        <v>10176</v>
      </c>
      <c r="D2076" s="8" t="str">
        <f t="shared" si="1"/>
        <v>Abrir anúncio ↗</v>
      </c>
      <c r="E2076" s="9" t="s">
        <v>10177</v>
      </c>
      <c r="F2076" s="3" t="s">
        <v>29</v>
      </c>
      <c r="G2076" s="9" t="s">
        <v>4918</v>
      </c>
      <c r="H2076" s="9" t="s">
        <v>4919</v>
      </c>
      <c r="I2076" s="3"/>
      <c r="J2076" s="3"/>
      <c r="K2076" s="9"/>
    </row>
    <row r="2077" ht="15.75" customHeight="1">
      <c r="A2077" s="10" t="s">
        <v>12</v>
      </c>
      <c r="B2077" s="10" t="s">
        <v>359</v>
      </c>
      <c r="C2077" s="10" t="s">
        <v>10178</v>
      </c>
      <c r="D2077" s="11" t="str">
        <f t="shared" si="1"/>
        <v>Abrir anúncio ↗</v>
      </c>
      <c r="E2077" s="12" t="s">
        <v>10179</v>
      </c>
      <c r="F2077" s="10" t="s">
        <v>29</v>
      </c>
      <c r="G2077" s="12" t="s">
        <v>4918</v>
      </c>
      <c r="H2077" s="12" t="s">
        <v>4919</v>
      </c>
      <c r="I2077" s="10"/>
      <c r="J2077" s="10"/>
      <c r="K2077" s="12"/>
    </row>
    <row r="2078" ht="15.75" customHeight="1">
      <c r="A2078" s="3" t="s">
        <v>12</v>
      </c>
      <c r="B2078" s="3" t="s">
        <v>359</v>
      </c>
      <c r="C2078" s="3" t="s">
        <v>10180</v>
      </c>
      <c r="D2078" s="8" t="str">
        <f t="shared" si="1"/>
        <v>Abrir anúncio ↗</v>
      </c>
      <c r="E2078" s="9" t="s">
        <v>10181</v>
      </c>
      <c r="F2078" s="3" t="s">
        <v>29</v>
      </c>
      <c r="G2078" s="9" t="s">
        <v>4918</v>
      </c>
      <c r="H2078" s="9" t="s">
        <v>4919</v>
      </c>
      <c r="I2078" s="3"/>
      <c r="J2078" s="3"/>
      <c r="K2078" s="9"/>
    </row>
    <row r="2079" ht="15.75" customHeight="1">
      <c r="A2079" s="10" t="s">
        <v>12</v>
      </c>
      <c r="B2079" s="10" t="s">
        <v>359</v>
      </c>
      <c r="C2079" s="10" t="s">
        <v>10182</v>
      </c>
      <c r="D2079" s="11" t="str">
        <f t="shared" si="1"/>
        <v>Abrir anúncio ↗</v>
      </c>
      <c r="E2079" s="12" t="s">
        <v>10183</v>
      </c>
      <c r="F2079" s="10" t="s">
        <v>29</v>
      </c>
      <c r="G2079" s="12" t="s">
        <v>4918</v>
      </c>
      <c r="H2079" s="12" t="s">
        <v>4919</v>
      </c>
      <c r="I2079" s="10"/>
      <c r="J2079" s="10"/>
      <c r="K2079" s="12"/>
    </row>
    <row r="2080" ht="15.75" customHeight="1">
      <c r="A2080" s="3" t="s">
        <v>12</v>
      </c>
      <c r="B2080" s="3" t="s">
        <v>359</v>
      </c>
      <c r="C2080" s="3" t="s">
        <v>10184</v>
      </c>
      <c r="D2080" s="8" t="str">
        <f t="shared" si="1"/>
        <v>Abrir anúncio ↗</v>
      </c>
      <c r="E2080" s="9" t="s">
        <v>10185</v>
      </c>
      <c r="F2080" s="3" t="s">
        <v>29</v>
      </c>
      <c r="G2080" s="9" t="s">
        <v>4918</v>
      </c>
      <c r="H2080" s="9" t="s">
        <v>4919</v>
      </c>
      <c r="I2080" s="3"/>
      <c r="J2080" s="3"/>
      <c r="K2080" s="9"/>
    </row>
    <row r="2081" ht="15.75" customHeight="1">
      <c r="A2081" s="10" t="s">
        <v>12</v>
      </c>
      <c r="B2081" s="10" t="s">
        <v>359</v>
      </c>
      <c r="C2081" s="10" t="s">
        <v>10186</v>
      </c>
      <c r="D2081" s="11" t="str">
        <f t="shared" si="1"/>
        <v>Abrir anúncio ↗</v>
      </c>
      <c r="E2081" s="12" t="s">
        <v>10187</v>
      </c>
      <c r="F2081" s="10" t="s">
        <v>86</v>
      </c>
      <c r="G2081" s="12" t="s">
        <v>5013</v>
      </c>
      <c r="H2081" s="12" t="s">
        <v>5015</v>
      </c>
      <c r="I2081" s="10"/>
      <c r="J2081" s="10"/>
      <c r="K2081" s="12"/>
    </row>
    <row r="2082" ht="15.75" customHeight="1">
      <c r="A2082" s="3" t="s">
        <v>12</v>
      </c>
      <c r="B2082" s="3" t="s">
        <v>359</v>
      </c>
      <c r="C2082" s="3" t="s">
        <v>10188</v>
      </c>
      <c r="D2082" s="8" t="str">
        <f t="shared" si="1"/>
        <v>Abrir anúncio ↗</v>
      </c>
      <c r="E2082" s="9" t="s">
        <v>10189</v>
      </c>
      <c r="F2082" s="3" t="s">
        <v>29</v>
      </c>
      <c r="G2082" s="9" t="s">
        <v>4918</v>
      </c>
      <c r="H2082" s="9" t="s">
        <v>4919</v>
      </c>
      <c r="I2082" s="3"/>
      <c r="J2082" s="3"/>
      <c r="K2082" s="9"/>
    </row>
    <row r="2083" ht="15.75" customHeight="1">
      <c r="A2083" s="10" t="s">
        <v>12</v>
      </c>
      <c r="B2083" s="10" t="s">
        <v>359</v>
      </c>
      <c r="C2083" s="10" t="s">
        <v>10190</v>
      </c>
      <c r="D2083" s="11" t="str">
        <f t="shared" si="1"/>
        <v>Abrir anúncio ↗</v>
      </c>
      <c r="E2083" s="12" t="s">
        <v>10191</v>
      </c>
      <c r="F2083" s="10" t="s">
        <v>86</v>
      </c>
      <c r="G2083" s="12" t="s">
        <v>5013</v>
      </c>
      <c r="H2083" s="12" t="s">
        <v>5015</v>
      </c>
      <c r="I2083" s="10"/>
      <c r="J2083" s="10"/>
      <c r="K2083" s="12"/>
    </row>
    <row r="2084" ht="15.75" customHeight="1">
      <c r="A2084" s="3" t="s">
        <v>12</v>
      </c>
      <c r="B2084" s="3" t="s">
        <v>359</v>
      </c>
      <c r="C2084" s="3" t="s">
        <v>10192</v>
      </c>
      <c r="D2084" s="8" t="str">
        <f t="shared" si="1"/>
        <v>Abrir anúncio ↗</v>
      </c>
      <c r="E2084" s="9" t="s">
        <v>10193</v>
      </c>
      <c r="F2084" s="3" t="s">
        <v>29</v>
      </c>
      <c r="G2084" s="9" t="s">
        <v>4918</v>
      </c>
      <c r="H2084" s="9" t="s">
        <v>4919</v>
      </c>
      <c r="I2084" s="3"/>
      <c r="J2084" s="3"/>
      <c r="K2084" s="9"/>
    </row>
    <row r="2085" ht="15.75" customHeight="1">
      <c r="A2085" s="10" t="s">
        <v>12</v>
      </c>
      <c r="B2085" s="10" t="s">
        <v>359</v>
      </c>
      <c r="C2085" s="10" t="s">
        <v>10194</v>
      </c>
      <c r="D2085" s="11" t="str">
        <f t="shared" si="1"/>
        <v>Abrir anúncio ↗</v>
      </c>
      <c r="E2085" s="12" t="s">
        <v>10195</v>
      </c>
      <c r="F2085" s="10" t="s">
        <v>86</v>
      </c>
      <c r="G2085" s="12" t="s">
        <v>4918</v>
      </c>
      <c r="H2085" s="12" t="s">
        <v>4919</v>
      </c>
      <c r="I2085" s="10"/>
      <c r="J2085" s="10"/>
      <c r="K2085" s="12"/>
    </row>
    <row r="2086" ht="15.75" customHeight="1">
      <c r="A2086" s="3" t="s">
        <v>12</v>
      </c>
      <c r="B2086" s="3" t="s">
        <v>359</v>
      </c>
      <c r="C2086" s="3" t="s">
        <v>10196</v>
      </c>
      <c r="D2086" s="8" t="str">
        <f t="shared" si="1"/>
        <v>Abrir anúncio ↗</v>
      </c>
      <c r="E2086" s="9" t="s">
        <v>10197</v>
      </c>
      <c r="F2086" s="3" t="s">
        <v>29</v>
      </c>
      <c r="G2086" s="9" t="s">
        <v>4918</v>
      </c>
      <c r="H2086" s="9" t="s">
        <v>4919</v>
      </c>
      <c r="I2086" s="3"/>
      <c r="J2086" s="3"/>
      <c r="K2086" s="9"/>
    </row>
    <row r="2087" ht="15.75" customHeight="1">
      <c r="A2087" s="10" t="s">
        <v>12</v>
      </c>
      <c r="B2087" s="10" t="s">
        <v>359</v>
      </c>
      <c r="C2087" s="10" t="s">
        <v>10198</v>
      </c>
      <c r="D2087" s="11" t="str">
        <f t="shared" si="1"/>
        <v>Abrir anúncio ↗</v>
      </c>
      <c r="E2087" s="12" t="s">
        <v>10199</v>
      </c>
      <c r="F2087" s="10" t="s">
        <v>29</v>
      </c>
      <c r="G2087" s="12" t="s">
        <v>4918</v>
      </c>
      <c r="H2087" s="12" t="s">
        <v>4919</v>
      </c>
      <c r="I2087" s="10"/>
      <c r="J2087" s="10"/>
      <c r="K2087" s="12"/>
    </row>
    <row r="2088" ht="15.75" customHeight="1">
      <c r="A2088" s="3" t="s">
        <v>12</v>
      </c>
      <c r="B2088" s="3" t="s">
        <v>359</v>
      </c>
      <c r="C2088" s="3" t="s">
        <v>10200</v>
      </c>
      <c r="D2088" s="8" t="str">
        <f t="shared" si="1"/>
        <v>Abrir anúncio ↗</v>
      </c>
      <c r="E2088" s="9" t="s">
        <v>10201</v>
      </c>
      <c r="F2088" s="3" t="s">
        <v>29</v>
      </c>
      <c r="G2088" s="9" t="s">
        <v>5013</v>
      </c>
      <c r="H2088" s="9" t="s">
        <v>5015</v>
      </c>
      <c r="I2088" s="3"/>
      <c r="J2088" s="3"/>
      <c r="K2088" s="9"/>
    </row>
    <row r="2089" ht="15.75" customHeight="1">
      <c r="A2089" s="10" t="s">
        <v>12</v>
      </c>
      <c r="B2089" s="10" t="s">
        <v>359</v>
      </c>
      <c r="C2089" s="10" t="s">
        <v>10202</v>
      </c>
      <c r="D2089" s="11" t="str">
        <f t="shared" si="1"/>
        <v>Abrir anúncio ↗</v>
      </c>
      <c r="E2089" s="12" t="s">
        <v>10203</v>
      </c>
      <c r="F2089" s="10" t="s">
        <v>29</v>
      </c>
      <c r="G2089" s="12" t="s">
        <v>4918</v>
      </c>
      <c r="H2089" s="12" t="s">
        <v>4919</v>
      </c>
      <c r="I2089" s="10"/>
      <c r="J2089" s="10"/>
      <c r="K2089" s="12"/>
    </row>
    <row r="2090" ht="15.75" customHeight="1">
      <c r="A2090" s="3" t="s">
        <v>12</v>
      </c>
      <c r="B2090" s="3" t="s">
        <v>359</v>
      </c>
      <c r="C2090" s="3" t="s">
        <v>10204</v>
      </c>
      <c r="D2090" s="8" t="str">
        <f t="shared" si="1"/>
        <v>Abrir anúncio ↗</v>
      </c>
      <c r="E2090" s="9" t="s">
        <v>10205</v>
      </c>
      <c r="F2090" s="3" t="s">
        <v>29</v>
      </c>
      <c r="G2090" s="9" t="s">
        <v>4918</v>
      </c>
      <c r="H2090" s="9" t="s">
        <v>4919</v>
      </c>
      <c r="I2090" s="3"/>
      <c r="J2090" s="3"/>
      <c r="K2090" s="9"/>
    </row>
    <row r="2091" ht="15.75" customHeight="1">
      <c r="A2091" s="10" t="s">
        <v>12</v>
      </c>
      <c r="B2091" s="10" t="s">
        <v>359</v>
      </c>
      <c r="C2091" s="10" t="s">
        <v>10206</v>
      </c>
      <c r="D2091" s="11" t="str">
        <f t="shared" si="1"/>
        <v>Abrir anúncio ↗</v>
      </c>
      <c r="E2091" s="12" t="s">
        <v>10207</v>
      </c>
      <c r="F2091" s="10" t="s">
        <v>29</v>
      </c>
      <c r="G2091" s="12" t="s">
        <v>5013</v>
      </c>
      <c r="H2091" s="12" t="s">
        <v>5015</v>
      </c>
      <c r="I2091" s="10"/>
      <c r="J2091" s="10"/>
      <c r="K2091" s="12"/>
    </row>
    <row r="2092" ht="15.75" customHeight="1">
      <c r="A2092" s="3" t="s">
        <v>12</v>
      </c>
      <c r="B2092" s="3" t="s">
        <v>359</v>
      </c>
      <c r="C2092" s="3" t="s">
        <v>10208</v>
      </c>
      <c r="D2092" s="8" t="str">
        <f t="shared" si="1"/>
        <v>Abrir anúncio ↗</v>
      </c>
      <c r="E2092" s="9" t="s">
        <v>10209</v>
      </c>
      <c r="F2092" s="3" t="s">
        <v>29</v>
      </c>
      <c r="G2092" s="9" t="s">
        <v>4918</v>
      </c>
      <c r="H2092" s="9" t="s">
        <v>4919</v>
      </c>
      <c r="I2092" s="3"/>
      <c r="J2092" s="3"/>
      <c r="K2092" s="9"/>
    </row>
    <row r="2093" ht="15.75" customHeight="1">
      <c r="A2093" s="10" t="s">
        <v>12</v>
      </c>
      <c r="B2093" s="10" t="s">
        <v>359</v>
      </c>
      <c r="C2093" s="10" t="s">
        <v>6535</v>
      </c>
      <c r="D2093" s="11" t="str">
        <f t="shared" si="1"/>
        <v>Abrir anúncio ↗</v>
      </c>
      <c r="E2093" s="12" t="s">
        <v>5782</v>
      </c>
      <c r="F2093" s="10" t="s">
        <v>29</v>
      </c>
      <c r="G2093" s="12" t="s">
        <v>4918</v>
      </c>
      <c r="H2093" s="12" t="s">
        <v>4919</v>
      </c>
      <c r="I2093" s="10"/>
      <c r="J2093" s="10"/>
      <c r="K2093" s="12"/>
    </row>
    <row r="2094" ht="15.75" customHeight="1">
      <c r="A2094" s="3" t="s">
        <v>12</v>
      </c>
      <c r="B2094" s="3" t="s">
        <v>359</v>
      </c>
      <c r="C2094" s="3" t="s">
        <v>10210</v>
      </c>
      <c r="D2094" s="8" t="str">
        <f t="shared" si="1"/>
        <v>Abrir anúncio ↗</v>
      </c>
      <c r="E2094" s="9" t="s">
        <v>10211</v>
      </c>
      <c r="F2094" s="3" t="s">
        <v>29</v>
      </c>
      <c r="G2094" s="9" t="s">
        <v>4918</v>
      </c>
      <c r="H2094" s="9" t="s">
        <v>4919</v>
      </c>
      <c r="I2094" s="3"/>
      <c r="J2094" s="3"/>
      <c r="K2094" s="9"/>
    </row>
    <row r="2095" ht="15.75" customHeight="1">
      <c r="A2095" s="10" t="s">
        <v>12</v>
      </c>
      <c r="B2095" s="10" t="s">
        <v>359</v>
      </c>
      <c r="C2095" s="10" t="s">
        <v>10212</v>
      </c>
      <c r="D2095" s="11" t="str">
        <f t="shared" si="1"/>
        <v>Abrir anúncio ↗</v>
      </c>
      <c r="E2095" s="12" t="s">
        <v>10213</v>
      </c>
      <c r="F2095" s="10" t="s">
        <v>29</v>
      </c>
      <c r="G2095" s="12" t="s">
        <v>5013</v>
      </c>
      <c r="H2095" s="12" t="s">
        <v>5015</v>
      </c>
      <c r="I2095" s="10"/>
      <c r="J2095" s="10"/>
      <c r="K2095" s="12"/>
    </row>
    <row r="2096" ht="15.75" customHeight="1">
      <c r="A2096" s="3" t="s">
        <v>12</v>
      </c>
      <c r="B2096" s="3" t="s">
        <v>359</v>
      </c>
      <c r="C2096" s="3" t="s">
        <v>10214</v>
      </c>
      <c r="D2096" s="8" t="str">
        <f t="shared" si="1"/>
        <v>Abrir anúncio ↗</v>
      </c>
      <c r="E2096" s="9" t="s">
        <v>10215</v>
      </c>
      <c r="F2096" s="3" t="s">
        <v>86</v>
      </c>
      <c r="G2096" s="9" t="s">
        <v>5013</v>
      </c>
      <c r="H2096" s="9" t="s">
        <v>5015</v>
      </c>
      <c r="I2096" s="3"/>
      <c r="J2096" s="3"/>
      <c r="K2096" s="9"/>
    </row>
    <row r="2097" ht="15.75" customHeight="1">
      <c r="A2097" s="10" t="s">
        <v>12</v>
      </c>
      <c r="B2097" s="10" t="s">
        <v>359</v>
      </c>
      <c r="C2097" s="10" t="s">
        <v>10216</v>
      </c>
      <c r="D2097" s="11" t="str">
        <f t="shared" si="1"/>
        <v>Abrir anúncio ↗</v>
      </c>
      <c r="E2097" s="12" t="s">
        <v>10217</v>
      </c>
      <c r="F2097" s="10" t="s">
        <v>29</v>
      </c>
      <c r="G2097" s="12" t="s">
        <v>4918</v>
      </c>
      <c r="H2097" s="12" t="s">
        <v>4919</v>
      </c>
      <c r="I2097" s="10"/>
      <c r="J2097" s="10"/>
      <c r="K2097" s="12"/>
    </row>
    <row r="2098" ht="15.75" customHeight="1">
      <c r="A2098" s="3" t="s">
        <v>12</v>
      </c>
      <c r="B2098" s="3" t="s">
        <v>359</v>
      </c>
      <c r="C2098" s="3" t="s">
        <v>10218</v>
      </c>
      <c r="D2098" s="8" t="str">
        <f t="shared" si="1"/>
        <v>Abrir anúncio ↗</v>
      </c>
      <c r="E2098" s="9" t="s">
        <v>10219</v>
      </c>
      <c r="F2098" s="3" t="s">
        <v>86</v>
      </c>
      <c r="G2098" s="9" t="s">
        <v>4921</v>
      </c>
      <c r="H2098" s="9" t="s">
        <v>10220</v>
      </c>
      <c r="I2098" s="3"/>
      <c r="J2098" s="3"/>
      <c r="K2098" s="9"/>
    </row>
    <row r="2099" ht="15.75" customHeight="1">
      <c r="A2099" s="10" t="s">
        <v>12</v>
      </c>
      <c r="B2099" s="10" t="s">
        <v>359</v>
      </c>
      <c r="C2099" s="10" t="s">
        <v>10221</v>
      </c>
      <c r="D2099" s="11" t="str">
        <f t="shared" si="1"/>
        <v>Abrir anúncio ↗</v>
      </c>
      <c r="E2099" s="12" t="s">
        <v>10222</v>
      </c>
      <c r="F2099" s="10" t="s">
        <v>29</v>
      </c>
      <c r="G2099" s="12" t="s">
        <v>4918</v>
      </c>
      <c r="H2099" s="12" t="s">
        <v>4919</v>
      </c>
      <c r="I2099" s="10"/>
      <c r="J2099" s="10"/>
      <c r="K2099" s="12"/>
    </row>
    <row r="2100" ht="15.75" customHeight="1">
      <c r="A2100" s="3" t="s">
        <v>12</v>
      </c>
      <c r="B2100" s="3" t="s">
        <v>359</v>
      </c>
      <c r="C2100" s="3" t="s">
        <v>10223</v>
      </c>
      <c r="D2100" s="8" t="str">
        <f t="shared" si="1"/>
        <v>Abrir anúncio ↗</v>
      </c>
      <c r="E2100" s="9" t="s">
        <v>10224</v>
      </c>
      <c r="F2100" s="3" t="s">
        <v>29</v>
      </c>
      <c r="G2100" s="9" t="s">
        <v>4918</v>
      </c>
      <c r="H2100" s="9" t="s">
        <v>4919</v>
      </c>
      <c r="I2100" s="3"/>
      <c r="J2100" s="3"/>
      <c r="K2100" s="9"/>
    </row>
    <row r="2101" ht="15.75" customHeight="1">
      <c r="A2101" s="10" t="s">
        <v>12</v>
      </c>
      <c r="B2101" s="10" t="s">
        <v>359</v>
      </c>
      <c r="C2101" s="10" t="s">
        <v>10225</v>
      </c>
      <c r="D2101" s="11" t="str">
        <f t="shared" si="1"/>
        <v>Abrir anúncio ↗</v>
      </c>
      <c r="E2101" s="12" t="s">
        <v>10226</v>
      </c>
      <c r="F2101" s="10" t="s">
        <v>29</v>
      </c>
      <c r="G2101" s="12" t="s">
        <v>4918</v>
      </c>
      <c r="H2101" s="12" t="s">
        <v>4919</v>
      </c>
      <c r="I2101" s="10"/>
      <c r="J2101" s="10"/>
      <c r="K2101" s="12"/>
    </row>
    <row r="2102" ht="15.75" customHeight="1">
      <c r="A2102" s="3" t="s">
        <v>12</v>
      </c>
      <c r="B2102" s="3" t="s">
        <v>359</v>
      </c>
      <c r="C2102" s="3" t="s">
        <v>10227</v>
      </c>
      <c r="D2102" s="8" t="str">
        <f t="shared" si="1"/>
        <v>Abrir anúncio ↗</v>
      </c>
      <c r="E2102" s="9" t="s">
        <v>10228</v>
      </c>
      <c r="F2102" s="3" t="s">
        <v>29</v>
      </c>
      <c r="G2102" s="9" t="s">
        <v>4918</v>
      </c>
      <c r="H2102" s="9" t="s">
        <v>4919</v>
      </c>
      <c r="I2102" s="3"/>
      <c r="J2102" s="3"/>
      <c r="K2102" s="9"/>
    </row>
    <row r="2103" ht="15.75" customHeight="1">
      <c r="A2103" s="10" t="s">
        <v>12</v>
      </c>
      <c r="B2103" s="10" t="s">
        <v>359</v>
      </c>
      <c r="C2103" s="10" t="s">
        <v>10229</v>
      </c>
      <c r="D2103" s="11" t="str">
        <f t="shared" si="1"/>
        <v>Abrir anúncio ↗</v>
      </c>
      <c r="E2103" s="12" t="s">
        <v>10230</v>
      </c>
      <c r="F2103" s="10" t="s">
        <v>29</v>
      </c>
      <c r="G2103" s="12" t="s">
        <v>4918</v>
      </c>
      <c r="H2103" s="12" t="s">
        <v>4919</v>
      </c>
      <c r="I2103" s="10"/>
      <c r="J2103" s="10"/>
      <c r="K2103" s="12"/>
    </row>
    <row r="2104" ht="15.75" customHeight="1">
      <c r="A2104" s="3" t="s">
        <v>12</v>
      </c>
      <c r="B2104" s="3" t="s">
        <v>359</v>
      </c>
      <c r="C2104" s="3" t="s">
        <v>10231</v>
      </c>
      <c r="D2104" s="8" t="str">
        <f t="shared" si="1"/>
        <v>Abrir anúncio ↗</v>
      </c>
      <c r="E2104" s="9" t="s">
        <v>10232</v>
      </c>
      <c r="F2104" s="3" t="s">
        <v>86</v>
      </c>
      <c r="G2104" s="9" t="s">
        <v>4921</v>
      </c>
      <c r="H2104" s="9" t="s">
        <v>10220</v>
      </c>
      <c r="I2104" s="3"/>
      <c r="J2104" s="3"/>
      <c r="K2104" s="9"/>
    </row>
    <row r="2105" ht="15.75" customHeight="1">
      <c r="A2105" s="10" t="s">
        <v>12</v>
      </c>
      <c r="B2105" s="10" t="s">
        <v>359</v>
      </c>
      <c r="C2105" s="10" t="s">
        <v>10233</v>
      </c>
      <c r="D2105" s="11" t="str">
        <f t="shared" si="1"/>
        <v>Abrir anúncio ↗</v>
      </c>
      <c r="E2105" s="12" t="s">
        <v>10234</v>
      </c>
      <c r="F2105" s="10" t="s">
        <v>86</v>
      </c>
      <c r="G2105" s="12" t="s">
        <v>4921</v>
      </c>
      <c r="H2105" s="12" t="s">
        <v>10220</v>
      </c>
      <c r="I2105" s="10"/>
      <c r="J2105" s="10"/>
      <c r="K2105" s="12"/>
    </row>
    <row r="2106" ht="15.75" customHeight="1">
      <c r="A2106" s="3" t="s">
        <v>12</v>
      </c>
      <c r="B2106" s="3" t="s">
        <v>359</v>
      </c>
      <c r="C2106" s="3" t="s">
        <v>7135</v>
      </c>
      <c r="D2106" s="8" t="str">
        <f t="shared" si="1"/>
        <v>Abrir anúncio ↗</v>
      </c>
      <c r="E2106" s="9" t="s">
        <v>7134</v>
      </c>
      <c r="F2106" s="3" t="s">
        <v>29</v>
      </c>
      <c r="G2106" s="9" t="s">
        <v>4918</v>
      </c>
      <c r="H2106" s="9" t="s">
        <v>4919</v>
      </c>
      <c r="I2106" s="3"/>
      <c r="J2106" s="3"/>
      <c r="K2106" s="9"/>
    </row>
    <row r="2107" ht="15.75" customHeight="1">
      <c r="A2107" s="10" t="s">
        <v>12</v>
      </c>
      <c r="B2107" s="10" t="s">
        <v>359</v>
      </c>
      <c r="C2107" s="10" t="s">
        <v>10235</v>
      </c>
      <c r="D2107" s="11" t="str">
        <f t="shared" si="1"/>
        <v>Abrir anúncio ↗</v>
      </c>
      <c r="E2107" s="12" t="s">
        <v>10236</v>
      </c>
      <c r="F2107" s="10" t="s">
        <v>29</v>
      </c>
      <c r="G2107" s="12" t="s">
        <v>4918</v>
      </c>
      <c r="H2107" s="12" t="s">
        <v>4919</v>
      </c>
      <c r="I2107" s="10"/>
      <c r="J2107" s="10"/>
      <c r="K2107" s="12"/>
    </row>
    <row r="2108" ht="15.75" customHeight="1">
      <c r="A2108" s="3" t="s">
        <v>12</v>
      </c>
      <c r="B2108" s="3" t="s">
        <v>359</v>
      </c>
      <c r="C2108" s="3" t="s">
        <v>10237</v>
      </c>
      <c r="D2108" s="8" t="str">
        <f t="shared" si="1"/>
        <v>Abrir anúncio ↗</v>
      </c>
      <c r="E2108" s="9" t="s">
        <v>10238</v>
      </c>
      <c r="F2108" s="3" t="s">
        <v>29</v>
      </c>
      <c r="G2108" s="9" t="s">
        <v>5013</v>
      </c>
      <c r="H2108" s="9" t="s">
        <v>5015</v>
      </c>
      <c r="I2108" s="3"/>
      <c r="J2108" s="3"/>
      <c r="K2108" s="9"/>
    </row>
    <row r="2109" ht="15.75" customHeight="1">
      <c r="A2109" s="10" t="s">
        <v>12</v>
      </c>
      <c r="B2109" s="10" t="s">
        <v>359</v>
      </c>
      <c r="C2109" s="10" t="s">
        <v>10239</v>
      </c>
      <c r="D2109" s="11" t="str">
        <f t="shared" si="1"/>
        <v>Abrir anúncio ↗</v>
      </c>
      <c r="E2109" s="12" t="s">
        <v>10240</v>
      </c>
      <c r="F2109" s="10" t="s">
        <v>29</v>
      </c>
      <c r="G2109" s="12" t="s">
        <v>4918</v>
      </c>
      <c r="H2109" s="12" t="s">
        <v>4919</v>
      </c>
      <c r="I2109" s="10"/>
      <c r="J2109" s="10"/>
      <c r="K2109" s="12"/>
    </row>
    <row r="2110" ht="15.75" customHeight="1">
      <c r="A2110" s="3" t="s">
        <v>12</v>
      </c>
      <c r="B2110" s="3" t="s">
        <v>359</v>
      </c>
      <c r="C2110" s="3" t="s">
        <v>10241</v>
      </c>
      <c r="D2110" s="8" t="str">
        <f t="shared" si="1"/>
        <v>Abrir anúncio ↗</v>
      </c>
      <c r="E2110" s="9" t="s">
        <v>10242</v>
      </c>
      <c r="F2110" s="3" t="s">
        <v>86</v>
      </c>
      <c r="G2110" s="9" t="s">
        <v>4921</v>
      </c>
      <c r="H2110" s="9" t="s">
        <v>10220</v>
      </c>
      <c r="I2110" s="3"/>
      <c r="J2110" s="3"/>
      <c r="K2110" s="9"/>
    </row>
    <row r="2111" ht="15.75" customHeight="1">
      <c r="A2111" s="10" t="s">
        <v>12</v>
      </c>
      <c r="B2111" s="10" t="s">
        <v>359</v>
      </c>
      <c r="C2111" s="10" t="s">
        <v>10243</v>
      </c>
      <c r="D2111" s="11" t="str">
        <f t="shared" si="1"/>
        <v>Abrir anúncio ↗</v>
      </c>
      <c r="E2111" s="12" t="s">
        <v>10244</v>
      </c>
      <c r="F2111" s="10" t="s">
        <v>29</v>
      </c>
      <c r="G2111" s="12" t="s">
        <v>10245</v>
      </c>
      <c r="H2111" s="12" t="s">
        <v>10246</v>
      </c>
      <c r="I2111" s="10"/>
      <c r="J2111" s="10"/>
      <c r="K2111" s="12"/>
    </row>
    <row r="2112" ht="15.75" customHeight="1">
      <c r="A2112" s="3" t="s">
        <v>12</v>
      </c>
      <c r="B2112" s="3" t="s">
        <v>359</v>
      </c>
      <c r="C2112" s="3" t="s">
        <v>10247</v>
      </c>
      <c r="D2112" s="8" t="str">
        <f t="shared" si="1"/>
        <v>Abrir anúncio ↗</v>
      </c>
      <c r="E2112" s="9" t="s">
        <v>10248</v>
      </c>
      <c r="F2112" s="3" t="s">
        <v>86</v>
      </c>
      <c r="G2112" s="9" t="s">
        <v>10249</v>
      </c>
      <c r="H2112" s="9" t="s">
        <v>10250</v>
      </c>
      <c r="I2112" s="3"/>
      <c r="J2112" s="3"/>
      <c r="K2112" s="9"/>
    </row>
    <row r="2113" ht="15.75" customHeight="1">
      <c r="A2113" s="10" t="s">
        <v>12</v>
      </c>
      <c r="B2113" s="10" t="s">
        <v>359</v>
      </c>
      <c r="C2113" s="10" t="s">
        <v>10251</v>
      </c>
      <c r="D2113" s="11" t="str">
        <f t="shared" si="1"/>
        <v>Abrir anúncio ↗</v>
      </c>
      <c r="E2113" s="12" t="s">
        <v>10252</v>
      </c>
      <c r="F2113" s="10" t="s">
        <v>29</v>
      </c>
      <c r="G2113" s="12" t="s">
        <v>5013</v>
      </c>
      <c r="H2113" s="12" t="s">
        <v>5015</v>
      </c>
      <c r="I2113" s="10"/>
      <c r="J2113" s="10"/>
      <c r="K2113" s="12"/>
    </row>
    <row r="2114" ht="15.75" customHeight="1">
      <c r="A2114" s="3" t="s">
        <v>12</v>
      </c>
      <c r="B2114" s="3" t="s">
        <v>359</v>
      </c>
      <c r="C2114" s="3" t="s">
        <v>10253</v>
      </c>
      <c r="D2114" s="8" t="str">
        <f t="shared" si="1"/>
        <v>Abrir anúncio ↗</v>
      </c>
      <c r="E2114" s="9" t="s">
        <v>10254</v>
      </c>
      <c r="F2114" s="3" t="s">
        <v>86</v>
      </c>
      <c r="G2114" s="9" t="s">
        <v>4921</v>
      </c>
      <c r="H2114" s="9" t="s">
        <v>10220</v>
      </c>
      <c r="I2114" s="3"/>
      <c r="J2114" s="3"/>
      <c r="K2114" s="9"/>
    </row>
    <row r="2115" ht="15.75" customHeight="1">
      <c r="A2115" s="10" t="s">
        <v>12</v>
      </c>
      <c r="B2115" s="10" t="s">
        <v>359</v>
      </c>
      <c r="C2115" s="10" t="s">
        <v>9164</v>
      </c>
      <c r="D2115" s="11" t="str">
        <f t="shared" si="1"/>
        <v>Abrir anúncio ↗</v>
      </c>
      <c r="E2115" s="12" t="s">
        <v>1765</v>
      </c>
      <c r="F2115" s="10" t="s">
        <v>86</v>
      </c>
      <c r="G2115" s="12" t="s">
        <v>10249</v>
      </c>
      <c r="H2115" s="12" t="s">
        <v>10250</v>
      </c>
      <c r="I2115" s="10"/>
      <c r="J2115" s="10"/>
      <c r="K2115" s="12"/>
    </row>
    <row r="2116" ht="15.75" customHeight="1">
      <c r="A2116" s="3" t="s">
        <v>12</v>
      </c>
      <c r="B2116" s="3" t="s">
        <v>359</v>
      </c>
      <c r="C2116" s="3" t="s">
        <v>10255</v>
      </c>
      <c r="D2116" s="8" t="str">
        <f t="shared" si="1"/>
        <v>Abrir anúncio ↗</v>
      </c>
      <c r="E2116" s="9" t="s">
        <v>10256</v>
      </c>
      <c r="F2116" s="3" t="s">
        <v>86</v>
      </c>
      <c r="G2116" s="9" t="s">
        <v>10249</v>
      </c>
      <c r="H2116" s="9" t="s">
        <v>10250</v>
      </c>
      <c r="I2116" s="3"/>
      <c r="J2116" s="3"/>
      <c r="K2116" s="9"/>
    </row>
    <row r="2117" ht="15.75" customHeight="1">
      <c r="A2117" s="10" t="s">
        <v>12</v>
      </c>
      <c r="B2117" s="10" t="s">
        <v>359</v>
      </c>
      <c r="C2117" s="10" t="s">
        <v>10257</v>
      </c>
      <c r="D2117" s="11" t="str">
        <f t="shared" si="1"/>
        <v>Abrir anúncio ↗</v>
      </c>
      <c r="E2117" s="12" t="s">
        <v>10258</v>
      </c>
      <c r="F2117" s="10" t="s">
        <v>86</v>
      </c>
      <c r="G2117" s="12" t="s">
        <v>4921</v>
      </c>
      <c r="H2117" s="12" t="s">
        <v>10220</v>
      </c>
      <c r="I2117" s="10"/>
      <c r="J2117" s="10"/>
      <c r="K2117" s="12"/>
    </row>
    <row r="2118" ht="15.75" customHeight="1">
      <c r="A2118" s="3" t="s">
        <v>12</v>
      </c>
      <c r="B2118" s="3" t="s">
        <v>359</v>
      </c>
      <c r="C2118" s="3" t="s">
        <v>10259</v>
      </c>
      <c r="D2118" s="8" t="str">
        <f t="shared" si="1"/>
        <v>Abrir anúncio ↗</v>
      </c>
      <c r="E2118" s="9" t="s">
        <v>10260</v>
      </c>
      <c r="F2118" s="3" t="s">
        <v>29</v>
      </c>
      <c r="G2118" s="9" t="s">
        <v>10249</v>
      </c>
      <c r="H2118" s="9" t="s">
        <v>10250</v>
      </c>
      <c r="I2118" s="3"/>
      <c r="J2118" s="3"/>
      <c r="K2118" s="9"/>
    </row>
    <row r="2119" ht="15.75" customHeight="1">
      <c r="A2119" s="10" t="s">
        <v>12</v>
      </c>
      <c r="B2119" s="10" t="s">
        <v>359</v>
      </c>
      <c r="C2119" s="10" t="s">
        <v>10261</v>
      </c>
      <c r="D2119" s="11" t="str">
        <f t="shared" si="1"/>
        <v>Abrir anúncio ↗</v>
      </c>
      <c r="E2119" s="12" t="s">
        <v>10262</v>
      </c>
      <c r="F2119" s="10" t="s">
        <v>86</v>
      </c>
      <c r="G2119" s="12" t="s">
        <v>10249</v>
      </c>
      <c r="H2119" s="12" t="s">
        <v>10250</v>
      </c>
      <c r="I2119" s="10"/>
      <c r="J2119" s="10"/>
      <c r="K2119" s="12"/>
    </row>
    <row r="2120" ht="15.75" customHeight="1">
      <c r="A2120" s="3" t="s">
        <v>12</v>
      </c>
      <c r="B2120" s="3" t="s">
        <v>359</v>
      </c>
      <c r="C2120" s="3" t="s">
        <v>10263</v>
      </c>
      <c r="D2120" s="8" t="str">
        <f t="shared" si="1"/>
        <v>Abrir anúncio ↗</v>
      </c>
      <c r="E2120" s="9" t="s">
        <v>10264</v>
      </c>
      <c r="F2120" s="3" t="s">
        <v>86</v>
      </c>
      <c r="G2120" s="9" t="s">
        <v>4921</v>
      </c>
      <c r="H2120" s="9" t="s">
        <v>10220</v>
      </c>
      <c r="I2120" s="3"/>
      <c r="J2120" s="3"/>
      <c r="K2120" s="9"/>
    </row>
    <row r="2121" ht="15.75" customHeight="1">
      <c r="A2121" s="10" t="s">
        <v>12</v>
      </c>
      <c r="B2121" s="10" t="s">
        <v>359</v>
      </c>
      <c r="C2121" s="10" t="s">
        <v>10265</v>
      </c>
      <c r="D2121" s="11" t="str">
        <f t="shared" si="1"/>
        <v>Abrir anúncio ↗</v>
      </c>
      <c r="E2121" s="12" t="s">
        <v>10266</v>
      </c>
      <c r="F2121" s="10" t="s">
        <v>86</v>
      </c>
      <c r="G2121" s="12" t="s">
        <v>10249</v>
      </c>
      <c r="H2121" s="12" t="s">
        <v>10250</v>
      </c>
      <c r="I2121" s="10"/>
      <c r="J2121" s="10"/>
      <c r="K2121" s="12"/>
    </row>
    <row r="2122" ht="15.75" customHeight="1">
      <c r="A2122" s="3" t="s">
        <v>12</v>
      </c>
      <c r="B2122" s="3" t="s">
        <v>359</v>
      </c>
      <c r="C2122" s="3" t="s">
        <v>10267</v>
      </c>
      <c r="D2122" s="8" t="str">
        <f t="shared" si="1"/>
        <v>Abrir anúncio ↗</v>
      </c>
      <c r="E2122" s="9" t="s">
        <v>10268</v>
      </c>
      <c r="F2122" s="3" t="s">
        <v>29</v>
      </c>
      <c r="G2122" s="9" t="s">
        <v>5013</v>
      </c>
      <c r="H2122" s="9" t="s">
        <v>5015</v>
      </c>
      <c r="I2122" s="3"/>
      <c r="J2122" s="3"/>
      <c r="K2122" s="9"/>
    </row>
    <row r="2123" ht="15.75" customHeight="1">
      <c r="A2123" s="10" t="s">
        <v>12</v>
      </c>
      <c r="B2123" s="10" t="s">
        <v>359</v>
      </c>
      <c r="C2123" s="10" t="s">
        <v>10269</v>
      </c>
      <c r="D2123" s="11" t="str">
        <f t="shared" si="1"/>
        <v>Abrir anúncio ↗</v>
      </c>
      <c r="E2123" s="12" t="s">
        <v>10270</v>
      </c>
      <c r="F2123" s="10" t="s">
        <v>86</v>
      </c>
      <c r="G2123" s="12" t="s">
        <v>10249</v>
      </c>
      <c r="H2123" s="12" t="s">
        <v>10250</v>
      </c>
      <c r="I2123" s="10"/>
      <c r="J2123" s="10"/>
      <c r="K2123" s="12"/>
    </row>
    <row r="2124" ht="15.75" customHeight="1">
      <c r="A2124" s="3" t="s">
        <v>12</v>
      </c>
      <c r="B2124" s="3" t="s">
        <v>359</v>
      </c>
      <c r="C2124" s="3" t="s">
        <v>6903</v>
      </c>
      <c r="D2124" s="8" t="str">
        <f t="shared" si="1"/>
        <v>Abrir anúncio ↗</v>
      </c>
      <c r="E2124" s="9" t="s">
        <v>6897</v>
      </c>
      <c r="F2124" s="3" t="s">
        <v>29</v>
      </c>
      <c r="G2124" s="9" t="s">
        <v>4918</v>
      </c>
      <c r="H2124" s="9" t="s">
        <v>4919</v>
      </c>
      <c r="I2124" s="3"/>
      <c r="J2124" s="3"/>
      <c r="K2124" s="9"/>
    </row>
    <row r="2125" ht="15.75" customHeight="1">
      <c r="A2125" s="10" t="s">
        <v>12</v>
      </c>
      <c r="B2125" s="10" t="s">
        <v>359</v>
      </c>
      <c r="C2125" s="10" t="s">
        <v>10271</v>
      </c>
      <c r="D2125" s="11" t="str">
        <f t="shared" si="1"/>
        <v>Abrir anúncio ↗</v>
      </c>
      <c r="E2125" s="12" t="s">
        <v>10272</v>
      </c>
      <c r="F2125" s="10" t="s">
        <v>29</v>
      </c>
      <c r="G2125" s="12" t="s">
        <v>4918</v>
      </c>
      <c r="H2125" s="12" t="s">
        <v>4919</v>
      </c>
      <c r="I2125" s="10"/>
      <c r="J2125" s="10"/>
      <c r="K2125" s="12"/>
    </row>
    <row r="2126" ht="15.75" customHeight="1">
      <c r="A2126" s="3" t="s">
        <v>12</v>
      </c>
      <c r="B2126" s="3" t="s">
        <v>359</v>
      </c>
      <c r="C2126" s="3" t="s">
        <v>10273</v>
      </c>
      <c r="D2126" s="8" t="str">
        <f t="shared" si="1"/>
        <v>Abrir anúncio ↗</v>
      </c>
      <c r="E2126" s="9" t="s">
        <v>10274</v>
      </c>
      <c r="F2126" s="3" t="s">
        <v>29</v>
      </c>
      <c r="G2126" s="9" t="s">
        <v>4918</v>
      </c>
      <c r="H2126" s="9" t="s">
        <v>4919</v>
      </c>
      <c r="I2126" s="3"/>
      <c r="J2126" s="3"/>
      <c r="K2126" s="9"/>
    </row>
    <row r="2127" ht="15.75" customHeight="1">
      <c r="A2127" s="10" t="s">
        <v>12</v>
      </c>
      <c r="B2127" s="10" t="s">
        <v>359</v>
      </c>
      <c r="C2127" s="10" t="s">
        <v>8020</v>
      </c>
      <c r="D2127" s="11" t="str">
        <f t="shared" si="1"/>
        <v>Abrir anúncio ↗</v>
      </c>
      <c r="E2127" s="12" t="s">
        <v>8016</v>
      </c>
      <c r="F2127" s="10" t="s">
        <v>29</v>
      </c>
      <c r="G2127" s="12" t="s">
        <v>4918</v>
      </c>
      <c r="H2127" s="12" t="s">
        <v>4919</v>
      </c>
      <c r="I2127" s="10"/>
      <c r="J2127" s="10"/>
      <c r="K2127" s="12"/>
    </row>
    <row r="2128" ht="15.75" customHeight="1">
      <c r="A2128" s="3" t="s">
        <v>12</v>
      </c>
      <c r="B2128" s="3" t="s">
        <v>359</v>
      </c>
      <c r="C2128" s="3" t="s">
        <v>10275</v>
      </c>
      <c r="D2128" s="8" t="str">
        <f t="shared" si="1"/>
        <v>Abrir anúncio ↗</v>
      </c>
      <c r="E2128" s="9" t="s">
        <v>10276</v>
      </c>
      <c r="F2128" s="3" t="s">
        <v>29</v>
      </c>
      <c r="G2128" s="9" t="s">
        <v>4918</v>
      </c>
      <c r="H2128" s="9" t="s">
        <v>4919</v>
      </c>
      <c r="I2128" s="3"/>
      <c r="J2128" s="3"/>
      <c r="K2128" s="9"/>
    </row>
    <row r="2129" ht="15.75" customHeight="1">
      <c r="A2129" s="10" t="s">
        <v>12</v>
      </c>
      <c r="B2129" s="10" t="s">
        <v>359</v>
      </c>
      <c r="C2129" s="10" t="s">
        <v>10277</v>
      </c>
      <c r="D2129" s="11" t="str">
        <f t="shared" si="1"/>
        <v>Abrir anúncio ↗</v>
      </c>
      <c r="E2129" s="12" t="s">
        <v>10278</v>
      </c>
      <c r="F2129" s="10" t="s">
        <v>29</v>
      </c>
      <c r="G2129" s="12" t="s">
        <v>5013</v>
      </c>
      <c r="H2129" s="12" t="s">
        <v>5015</v>
      </c>
      <c r="I2129" s="10"/>
      <c r="J2129" s="10"/>
      <c r="K2129" s="12"/>
    </row>
    <row r="2130" ht="15.75" customHeight="1">
      <c r="A2130" s="3" t="s">
        <v>12</v>
      </c>
      <c r="B2130" s="3" t="s">
        <v>359</v>
      </c>
      <c r="C2130" s="3" t="s">
        <v>7815</v>
      </c>
      <c r="D2130" s="8" t="str">
        <f t="shared" si="1"/>
        <v>Abrir anúncio ↗</v>
      </c>
      <c r="E2130" s="9" t="s">
        <v>7811</v>
      </c>
      <c r="F2130" s="3" t="s">
        <v>29</v>
      </c>
      <c r="G2130" s="9" t="s">
        <v>4918</v>
      </c>
      <c r="H2130" s="9" t="s">
        <v>4919</v>
      </c>
      <c r="I2130" s="3"/>
      <c r="J2130" s="3"/>
      <c r="K2130" s="9"/>
    </row>
    <row r="2131" ht="15.75" customHeight="1">
      <c r="A2131" s="10" t="s">
        <v>12</v>
      </c>
      <c r="B2131" s="10" t="s">
        <v>359</v>
      </c>
      <c r="C2131" s="10" t="s">
        <v>6438</v>
      </c>
      <c r="D2131" s="11" t="str">
        <f t="shared" si="1"/>
        <v>Abrir anúncio ↗</v>
      </c>
      <c r="E2131" s="12" t="s">
        <v>6430</v>
      </c>
      <c r="F2131" s="10" t="s">
        <v>29</v>
      </c>
      <c r="G2131" s="12" t="s">
        <v>4918</v>
      </c>
      <c r="H2131" s="12" t="s">
        <v>4919</v>
      </c>
      <c r="I2131" s="10"/>
      <c r="J2131" s="10"/>
      <c r="K2131" s="12"/>
    </row>
    <row r="2132" ht="15.75" customHeight="1">
      <c r="A2132" s="3" t="s">
        <v>12</v>
      </c>
      <c r="B2132" s="3" t="s">
        <v>359</v>
      </c>
      <c r="C2132" s="3" t="s">
        <v>6411</v>
      </c>
      <c r="D2132" s="8" t="str">
        <f t="shared" si="1"/>
        <v>Abrir anúncio ↗</v>
      </c>
      <c r="E2132" s="9" t="s">
        <v>4419</v>
      </c>
      <c r="F2132" s="3" t="s">
        <v>29</v>
      </c>
      <c r="G2132" s="9" t="s">
        <v>4918</v>
      </c>
      <c r="H2132" s="9" t="s">
        <v>4919</v>
      </c>
      <c r="I2132" s="3"/>
      <c r="J2132" s="3"/>
      <c r="K2132" s="9"/>
    </row>
    <row r="2133" ht="15.75" customHeight="1">
      <c r="A2133" s="10" t="s">
        <v>12</v>
      </c>
      <c r="B2133" s="10" t="s">
        <v>359</v>
      </c>
      <c r="C2133" s="10" t="s">
        <v>10279</v>
      </c>
      <c r="D2133" s="11" t="str">
        <f t="shared" si="1"/>
        <v>Abrir anúncio ↗</v>
      </c>
      <c r="E2133" s="12" t="s">
        <v>10280</v>
      </c>
      <c r="F2133" s="10" t="s">
        <v>29</v>
      </c>
      <c r="G2133" s="12" t="s">
        <v>4918</v>
      </c>
      <c r="H2133" s="12" t="s">
        <v>4919</v>
      </c>
      <c r="I2133" s="10"/>
      <c r="J2133" s="10"/>
      <c r="K2133" s="12"/>
    </row>
    <row r="2134" ht="15.75" customHeight="1">
      <c r="A2134" s="3" t="s">
        <v>12</v>
      </c>
      <c r="B2134" s="3" t="s">
        <v>359</v>
      </c>
      <c r="C2134" s="3" t="s">
        <v>9114</v>
      </c>
      <c r="D2134" s="8" t="str">
        <f t="shared" si="1"/>
        <v>Abrir anúncio ↗</v>
      </c>
      <c r="E2134" s="9" t="s">
        <v>7708</v>
      </c>
      <c r="F2134" s="3" t="s">
        <v>86</v>
      </c>
      <c r="G2134" s="9" t="s">
        <v>9253</v>
      </c>
      <c r="H2134" s="9" t="s">
        <v>9254</v>
      </c>
      <c r="I2134" s="3"/>
      <c r="J2134" s="3"/>
      <c r="K2134" s="9"/>
    </row>
    <row r="2135" ht="15.75" customHeight="1">
      <c r="A2135" s="10" t="s">
        <v>12</v>
      </c>
      <c r="B2135" s="10" t="s">
        <v>359</v>
      </c>
      <c r="C2135" s="10" t="s">
        <v>10281</v>
      </c>
      <c r="D2135" s="11" t="str">
        <f t="shared" si="1"/>
        <v>Abrir anúncio ↗</v>
      </c>
      <c r="E2135" s="12" t="s">
        <v>10282</v>
      </c>
      <c r="F2135" s="10" t="s">
        <v>29</v>
      </c>
      <c r="G2135" s="12" t="s">
        <v>4918</v>
      </c>
      <c r="H2135" s="12" t="s">
        <v>4919</v>
      </c>
      <c r="I2135" s="10"/>
      <c r="J2135" s="10"/>
      <c r="K2135" s="12"/>
    </row>
    <row r="2136" ht="15.75" customHeight="1">
      <c r="A2136" s="3" t="s">
        <v>12</v>
      </c>
      <c r="B2136" s="3" t="s">
        <v>359</v>
      </c>
      <c r="C2136" s="3" t="s">
        <v>6431</v>
      </c>
      <c r="D2136" s="8" t="str">
        <f t="shared" si="1"/>
        <v>Abrir anúncio ↗</v>
      </c>
      <c r="E2136" s="9" t="s">
        <v>6430</v>
      </c>
      <c r="F2136" s="3" t="s">
        <v>29</v>
      </c>
      <c r="G2136" s="9" t="s">
        <v>4918</v>
      </c>
      <c r="H2136" s="9" t="s">
        <v>4919</v>
      </c>
      <c r="I2136" s="3"/>
      <c r="J2136" s="3"/>
      <c r="K2136" s="9"/>
    </row>
    <row r="2137" ht="15.75" customHeight="1">
      <c r="A2137" s="10" t="s">
        <v>12</v>
      </c>
      <c r="B2137" s="10" t="s">
        <v>359</v>
      </c>
      <c r="C2137" s="10" t="s">
        <v>10283</v>
      </c>
      <c r="D2137" s="11" t="str">
        <f t="shared" si="1"/>
        <v>Abrir anúncio ↗</v>
      </c>
      <c r="E2137" s="12" t="s">
        <v>10284</v>
      </c>
      <c r="F2137" s="10" t="s">
        <v>29</v>
      </c>
      <c r="G2137" s="12" t="s">
        <v>4918</v>
      </c>
      <c r="H2137" s="12" t="s">
        <v>4919</v>
      </c>
      <c r="I2137" s="10"/>
      <c r="J2137" s="10"/>
      <c r="K2137" s="12"/>
    </row>
    <row r="2138" ht="15.75" customHeight="1">
      <c r="A2138" s="3" t="s">
        <v>12</v>
      </c>
      <c r="B2138" s="3" t="s">
        <v>359</v>
      </c>
      <c r="C2138" s="3" t="s">
        <v>10285</v>
      </c>
      <c r="D2138" s="8" t="str">
        <f t="shared" si="1"/>
        <v>Abrir anúncio ↗</v>
      </c>
      <c r="E2138" s="9" t="s">
        <v>10286</v>
      </c>
      <c r="F2138" s="3" t="s">
        <v>29</v>
      </c>
      <c r="G2138" s="9" t="s">
        <v>4918</v>
      </c>
      <c r="H2138" s="9" t="s">
        <v>4919</v>
      </c>
      <c r="I2138" s="3"/>
      <c r="J2138" s="3"/>
      <c r="K2138" s="9"/>
    </row>
    <row r="2139" ht="15.75" customHeight="1">
      <c r="A2139" s="10" t="s">
        <v>12</v>
      </c>
      <c r="B2139" s="10" t="s">
        <v>359</v>
      </c>
      <c r="C2139" s="10" t="s">
        <v>7210</v>
      </c>
      <c r="D2139" s="11" t="str">
        <f t="shared" si="1"/>
        <v>Abrir anúncio ↗</v>
      </c>
      <c r="E2139" s="12" t="s">
        <v>7209</v>
      </c>
      <c r="F2139" s="10" t="s">
        <v>29</v>
      </c>
      <c r="G2139" s="12" t="s">
        <v>4918</v>
      </c>
      <c r="H2139" s="12" t="s">
        <v>4919</v>
      </c>
      <c r="I2139" s="10"/>
      <c r="J2139" s="10"/>
      <c r="K2139" s="12"/>
    </row>
    <row r="2140" ht="15.75" customHeight="1">
      <c r="A2140" s="3" t="s">
        <v>12</v>
      </c>
      <c r="B2140" s="3" t="s">
        <v>359</v>
      </c>
      <c r="C2140" s="3" t="s">
        <v>10287</v>
      </c>
      <c r="D2140" s="8" t="str">
        <f t="shared" si="1"/>
        <v>Abrir anúncio ↗</v>
      </c>
      <c r="E2140" s="9" t="s">
        <v>10288</v>
      </c>
      <c r="F2140" s="3" t="s">
        <v>29</v>
      </c>
      <c r="G2140" s="9" t="s">
        <v>4918</v>
      </c>
      <c r="H2140" s="9" t="s">
        <v>4919</v>
      </c>
      <c r="I2140" s="3"/>
      <c r="J2140" s="3"/>
      <c r="K2140" s="9"/>
    </row>
    <row r="2141" ht="15.75" customHeight="1">
      <c r="A2141" s="10" t="s">
        <v>12</v>
      </c>
      <c r="B2141" s="10" t="s">
        <v>359</v>
      </c>
      <c r="C2141" s="10" t="s">
        <v>10289</v>
      </c>
      <c r="D2141" s="11" t="str">
        <f t="shared" si="1"/>
        <v>Abrir anúncio ↗</v>
      </c>
      <c r="E2141" s="12" t="s">
        <v>10290</v>
      </c>
      <c r="F2141" s="10" t="s">
        <v>29</v>
      </c>
      <c r="G2141" s="12" t="s">
        <v>4918</v>
      </c>
      <c r="H2141" s="12" t="s">
        <v>4919</v>
      </c>
      <c r="I2141" s="10"/>
      <c r="J2141" s="10"/>
      <c r="K2141" s="12"/>
    </row>
    <row r="2142" ht="15.75" customHeight="1">
      <c r="A2142" s="3" t="s">
        <v>12</v>
      </c>
      <c r="B2142" s="3" t="s">
        <v>359</v>
      </c>
      <c r="C2142" s="3" t="s">
        <v>10291</v>
      </c>
      <c r="D2142" s="8" t="str">
        <f t="shared" si="1"/>
        <v>Abrir anúncio ↗</v>
      </c>
      <c r="E2142" s="9" t="s">
        <v>10292</v>
      </c>
      <c r="F2142" s="3" t="s">
        <v>29</v>
      </c>
      <c r="G2142" s="9" t="s">
        <v>4918</v>
      </c>
      <c r="H2142" s="9" t="s">
        <v>4919</v>
      </c>
      <c r="I2142" s="3"/>
      <c r="J2142" s="3"/>
      <c r="K2142" s="9"/>
    </row>
    <row r="2143" ht="15.75" customHeight="1">
      <c r="A2143" s="10" t="s">
        <v>12</v>
      </c>
      <c r="B2143" s="10" t="s">
        <v>359</v>
      </c>
      <c r="C2143" s="10" t="s">
        <v>9101</v>
      </c>
      <c r="D2143" s="11" t="str">
        <f t="shared" si="1"/>
        <v>Abrir anúncio ↗</v>
      </c>
      <c r="E2143" s="12" t="s">
        <v>9100</v>
      </c>
      <c r="F2143" s="10" t="s">
        <v>86</v>
      </c>
      <c r="G2143" s="12" t="s">
        <v>4918</v>
      </c>
      <c r="H2143" s="12" t="s">
        <v>4919</v>
      </c>
      <c r="I2143" s="10"/>
      <c r="J2143" s="10"/>
      <c r="K2143" s="12"/>
    </row>
    <row r="2144" ht="15.75" customHeight="1">
      <c r="A2144" s="3" t="s">
        <v>12</v>
      </c>
      <c r="B2144" s="3" t="s">
        <v>359</v>
      </c>
      <c r="C2144" s="3" t="s">
        <v>10293</v>
      </c>
      <c r="D2144" s="8" t="str">
        <f t="shared" si="1"/>
        <v>Abrir anúncio ↗</v>
      </c>
      <c r="E2144" s="9" t="s">
        <v>10294</v>
      </c>
      <c r="F2144" s="3" t="s">
        <v>29</v>
      </c>
      <c r="G2144" s="9" t="s">
        <v>4918</v>
      </c>
      <c r="H2144" s="9" t="s">
        <v>4919</v>
      </c>
      <c r="I2144" s="3"/>
      <c r="J2144" s="3"/>
      <c r="K2144" s="9"/>
    </row>
    <row r="2145" ht="15.75" customHeight="1">
      <c r="A2145" s="10" t="s">
        <v>12</v>
      </c>
      <c r="B2145" s="10" t="s">
        <v>359</v>
      </c>
      <c r="C2145" s="10" t="s">
        <v>10295</v>
      </c>
      <c r="D2145" s="11" t="str">
        <f t="shared" si="1"/>
        <v>Abrir anúncio ↗</v>
      </c>
      <c r="E2145" s="12" t="s">
        <v>10296</v>
      </c>
      <c r="F2145" s="10" t="s">
        <v>29</v>
      </c>
      <c r="G2145" s="12" t="s">
        <v>4918</v>
      </c>
      <c r="H2145" s="12" t="s">
        <v>4919</v>
      </c>
      <c r="I2145" s="10"/>
      <c r="J2145" s="10"/>
      <c r="K2145" s="12"/>
    </row>
    <row r="2146" ht="15.75" customHeight="1">
      <c r="A2146" s="3" t="s">
        <v>12</v>
      </c>
      <c r="B2146" s="3" t="s">
        <v>359</v>
      </c>
      <c r="C2146" s="3" t="s">
        <v>7944</v>
      </c>
      <c r="D2146" s="8" t="str">
        <f t="shared" si="1"/>
        <v>Abrir anúncio ↗</v>
      </c>
      <c r="E2146" s="9" t="s">
        <v>7943</v>
      </c>
      <c r="F2146" s="3" t="s">
        <v>29</v>
      </c>
      <c r="G2146" s="9" t="s">
        <v>4918</v>
      </c>
      <c r="H2146" s="9" t="s">
        <v>4919</v>
      </c>
      <c r="I2146" s="3"/>
      <c r="J2146" s="3"/>
      <c r="K2146" s="9"/>
    </row>
    <row r="2147" ht="15.75" customHeight="1">
      <c r="A2147" s="10" t="s">
        <v>12</v>
      </c>
      <c r="B2147" s="10" t="s">
        <v>359</v>
      </c>
      <c r="C2147" s="10" t="s">
        <v>10297</v>
      </c>
      <c r="D2147" s="11" t="str">
        <f t="shared" si="1"/>
        <v>Abrir anúncio ↗</v>
      </c>
      <c r="E2147" s="12" t="s">
        <v>10298</v>
      </c>
      <c r="F2147" s="10" t="s">
        <v>29</v>
      </c>
      <c r="G2147" s="12" t="s">
        <v>4918</v>
      </c>
      <c r="H2147" s="12" t="s">
        <v>4919</v>
      </c>
      <c r="I2147" s="10"/>
      <c r="J2147" s="10"/>
      <c r="K2147" s="12"/>
    </row>
    <row r="2148" ht="15.75" customHeight="1">
      <c r="A2148" s="3" t="s">
        <v>12</v>
      </c>
      <c r="B2148" s="3" t="s">
        <v>359</v>
      </c>
      <c r="C2148" s="3" t="s">
        <v>10299</v>
      </c>
      <c r="D2148" s="8" t="str">
        <f t="shared" si="1"/>
        <v>Abrir anúncio ↗</v>
      </c>
      <c r="E2148" s="9" t="s">
        <v>10300</v>
      </c>
      <c r="F2148" s="3" t="s">
        <v>86</v>
      </c>
      <c r="G2148" s="9" t="s">
        <v>9514</v>
      </c>
      <c r="H2148" s="9" t="s">
        <v>9515</v>
      </c>
      <c r="I2148" s="3"/>
      <c r="J2148" s="3"/>
      <c r="K2148" s="9"/>
    </row>
    <row r="2149" ht="15.75" customHeight="1">
      <c r="A2149" s="10" t="s">
        <v>12</v>
      </c>
      <c r="B2149" s="10" t="s">
        <v>359</v>
      </c>
      <c r="C2149" s="10" t="s">
        <v>10301</v>
      </c>
      <c r="D2149" s="11" t="str">
        <f t="shared" si="1"/>
        <v>Abrir anúncio ↗</v>
      </c>
      <c r="E2149" s="12" t="s">
        <v>10302</v>
      </c>
      <c r="F2149" s="10" t="s">
        <v>29</v>
      </c>
      <c r="G2149" s="12" t="s">
        <v>4918</v>
      </c>
      <c r="H2149" s="12" t="s">
        <v>4919</v>
      </c>
      <c r="I2149" s="10"/>
      <c r="J2149" s="10"/>
      <c r="K2149" s="12"/>
    </row>
    <row r="2150" ht="15.75" customHeight="1">
      <c r="A2150" s="3" t="s">
        <v>12</v>
      </c>
      <c r="B2150" s="3" t="s">
        <v>359</v>
      </c>
      <c r="C2150" s="3" t="s">
        <v>10303</v>
      </c>
      <c r="D2150" s="8" t="str">
        <f t="shared" si="1"/>
        <v>Abrir anúncio ↗</v>
      </c>
      <c r="E2150" s="9" t="s">
        <v>10304</v>
      </c>
      <c r="F2150" s="3" t="s">
        <v>29</v>
      </c>
      <c r="G2150" s="9" t="s">
        <v>4918</v>
      </c>
      <c r="H2150" s="9" t="s">
        <v>4919</v>
      </c>
      <c r="I2150" s="3"/>
      <c r="J2150" s="3"/>
      <c r="K2150" s="9"/>
    </row>
    <row r="2151" ht="15.75" customHeight="1">
      <c r="A2151" s="10" t="s">
        <v>12</v>
      </c>
      <c r="B2151" s="10" t="s">
        <v>359</v>
      </c>
      <c r="C2151" s="10" t="s">
        <v>10305</v>
      </c>
      <c r="D2151" s="11" t="str">
        <f t="shared" si="1"/>
        <v>Abrir anúncio ↗</v>
      </c>
      <c r="E2151" s="12" t="s">
        <v>10306</v>
      </c>
      <c r="F2151" s="10" t="s">
        <v>29</v>
      </c>
      <c r="G2151" s="12" t="s">
        <v>4918</v>
      </c>
      <c r="H2151" s="12" t="s">
        <v>4919</v>
      </c>
      <c r="I2151" s="10"/>
      <c r="J2151" s="10"/>
      <c r="K2151" s="12"/>
    </row>
    <row r="2152" ht="15.75" customHeight="1">
      <c r="A2152" s="3" t="s">
        <v>12</v>
      </c>
      <c r="B2152" s="3" t="s">
        <v>359</v>
      </c>
      <c r="C2152" s="3" t="s">
        <v>10307</v>
      </c>
      <c r="D2152" s="8" t="str">
        <f t="shared" si="1"/>
        <v>Abrir anúncio ↗</v>
      </c>
      <c r="E2152" s="9" t="s">
        <v>10308</v>
      </c>
      <c r="F2152" s="3" t="s">
        <v>29</v>
      </c>
      <c r="G2152" s="9" t="s">
        <v>4918</v>
      </c>
      <c r="H2152" s="9" t="s">
        <v>4919</v>
      </c>
      <c r="I2152" s="3"/>
      <c r="J2152" s="3"/>
      <c r="K2152" s="9"/>
    </row>
    <row r="2153" ht="15.75" customHeight="1">
      <c r="A2153" s="10" t="s">
        <v>12</v>
      </c>
      <c r="B2153" s="10" t="s">
        <v>359</v>
      </c>
      <c r="C2153" s="10" t="s">
        <v>10309</v>
      </c>
      <c r="D2153" s="11" t="str">
        <f t="shared" si="1"/>
        <v>Abrir anúncio ↗</v>
      </c>
      <c r="E2153" s="12" t="s">
        <v>10310</v>
      </c>
      <c r="F2153" s="10" t="s">
        <v>29</v>
      </c>
      <c r="G2153" s="12" t="s">
        <v>4918</v>
      </c>
      <c r="H2153" s="12" t="s">
        <v>4919</v>
      </c>
      <c r="I2153" s="10"/>
      <c r="J2153" s="10"/>
      <c r="K2153" s="12"/>
    </row>
    <row r="2154" ht="15.75" customHeight="1">
      <c r="A2154" s="3" t="s">
        <v>12</v>
      </c>
      <c r="B2154" s="3" t="s">
        <v>359</v>
      </c>
      <c r="C2154" s="3" t="s">
        <v>10311</v>
      </c>
      <c r="D2154" s="8" t="str">
        <f t="shared" si="1"/>
        <v>Abrir anúncio ↗</v>
      </c>
      <c r="E2154" s="9" t="s">
        <v>10312</v>
      </c>
      <c r="F2154" s="3" t="s">
        <v>29</v>
      </c>
      <c r="G2154" s="9" t="s">
        <v>4918</v>
      </c>
      <c r="H2154" s="9" t="s">
        <v>4919</v>
      </c>
      <c r="I2154" s="3"/>
      <c r="J2154" s="3"/>
      <c r="K2154" s="9"/>
    </row>
    <row r="2155" ht="15.75" customHeight="1">
      <c r="A2155" s="10" t="s">
        <v>12</v>
      </c>
      <c r="B2155" s="10" t="s">
        <v>359</v>
      </c>
      <c r="C2155" s="10" t="s">
        <v>10313</v>
      </c>
      <c r="D2155" s="11" t="str">
        <f t="shared" si="1"/>
        <v>Abrir anúncio ↗</v>
      </c>
      <c r="E2155" s="12" t="s">
        <v>10314</v>
      </c>
      <c r="F2155" s="10" t="s">
        <v>29</v>
      </c>
      <c r="G2155" s="12" t="s">
        <v>4918</v>
      </c>
      <c r="H2155" s="12" t="s">
        <v>4919</v>
      </c>
      <c r="I2155" s="10"/>
      <c r="J2155" s="10"/>
      <c r="K2155" s="12"/>
    </row>
    <row r="2156" ht="15.75" customHeight="1">
      <c r="A2156" s="3" t="s">
        <v>12</v>
      </c>
      <c r="B2156" s="3" t="s">
        <v>359</v>
      </c>
      <c r="C2156" s="3" t="s">
        <v>10315</v>
      </c>
      <c r="D2156" s="8" t="str">
        <f t="shared" si="1"/>
        <v>Abrir anúncio ↗</v>
      </c>
      <c r="E2156" s="9" t="s">
        <v>10316</v>
      </c>
      <c r="F2156" s="3" t="s">
        <v>29</v>
      </c>
      <c r="G2156" s="9" t="s">
        <v>4918</v>
      </c>
      <c r="H2156" s="9" t="s">
        <v>4919</v>
      </c>
      <c r="I2156" s="3"/>
      <c r="J2156" s="3"/>
      <c r="K2156" s="9"/>
    </row>
    <row r="2157" ht="15.75" customHeight="1">
      <c r="A2157" s="10" t="s">
        <v>12</v>
      </c>
      <c r="B2157" s="10" t="s">
        <v>359</v>
      </c>
      <c r="C2157" s="10" t="s">
        <v>10317</v>
      </c>
      <c r="D2157" s="11" t="str">
        <f t="shared" si="1"/>
        <v>Abrir anúncio ↗</v>
      </c>
      <c r="E2157" s="12" t="s">
        <v>10318</v>
      </c>
      <c r="F2157" s="10" t="s">
        <v>29</v>
      </c>
      <c r="G2157" s="12" t="s">
        <v>5013</v>
      </c>
      <c r="H2157" s="12" t="s">
        <v>5015</v>
      </c>
      <c r="I2157" s="10"/>
      <c r="J2157" s="10"/>
      <c r="K2157" s="12"/>
    </row>
    <row r="2158" ht="15.75" customHeight="1">
      <c r="A2158" s="3" t="s">
        <v>12</v>
      </c>
      <c r="B2158" s="3" t="s">
        <v>359</v>
      </c>
      <c r="C2158" s="3" t="s">
        <v>10319</v>
      </c>
      <c r="D2158" s="8" t="str">
        <f t="shared" si="1"/>
        <v>Abrir anúncio ↗</v>
      </c>
      <c r="E2158" s="9" t="s">
        <v>10320</v>
      </c>
      <c r="F2158" s="3" t="s">
        <v>29</v>
      </c>
      <c r="G2158" s="9" t="s">
        <v>4918</v>
      </c>
      <c r="H2158" s="9" t="s">
        <v>4919</v>
      </c>
      <c r="I2158" s="3"/>
      <c r="J2158" s="3"/>
      <c r="K2158" s="9"/>
    </row>
    <row r="2159" ht="15.75" customHeight="1">
      <c r="A2159" s="10" t="s">
        <v>12</v>
      </c>
      <c r="B2159" s="10" t="s">
        <v>359</v>
      </c>
      <c r="C2159" s="10" t="s">
        <v>10321</v>
      </c>
      <c r="D2159" s="11" t="str">
        <f t="shared" si="1"/>
        <v>Abrir anúncio ↗</v>
      </c>
      <c r="E2159" s="12" t="s">
        <v>10322</v>
      </c>
      <c r="F2159" s="10" t="s">
        <v>29</v>
      </c>
      <c r="G2159" s="12" t="s">
        <v>9253</v>
      </c>
      <c r="H2159" s="12" t="s">
        <v>9254</v>
      </c>
      <c r="I2159" s="10"/>
      <c r="J2159" s="10"/>
      <c r="K2159" s="12"/>
    </row>
    <row r="2160" ht="15.75" customHeight="1">
      <c r="A2160" s="3" t="s">
        <v>12</v>
      </c>
      <c r="B2160" s="3" t="s">
        <v>359</v>
      </c>
      <c r="C2160" s="3" t="s">
        <v>10323</v>
      </c>
      <c r="D2160" s="8" t="str">
        <f t="shared" si="1"/>
        <v>Abrir anúncio ↗</v>
      </c>
      <c r="E2160" s="9" t="s">
        <v>10324</v>
      </c>
      <c r="F2160" s="3" t="s">
        <v>29</v>
      </c>
      <c r="G2160" s="9" t="s">
        <v>4918</v>
      </c>
      <c r="H2160" s="9" t="s">
        <v>4919</v>
      </c>
      <c r="I2160" s="3"/>
      <c r="J2160" s="3"/>
      <c r="K2160" s="9"/>
    </row>
    <row r="2161" ht="15.75" customHeight="1">
      <c r="A2161" s="10" t="s">
        <v>12</v>
      </c>
      <c r="B2161" s="10" t="s">
        <v>359</v>
      </c>
      <c r="C2161" s="10" t="s">
        <v>10325</v>
      </c>
      <c r="D2161" s="11" t="str">
        <f t="shared" si="1"/>
        <v>Abrir anúncio ↗</v>
      </c>
      <c r="E2161" s="12" t="s">
        <v>10326</v>
      </c>
      <c r="F2161" s="10" t="s">
        <v>29</v>
      </c>
      <c r="G2161" s="12" t="s">
        <v>4918</v>
      </c>
      <c r="H2161" s="12" t="s">
        <v>4919</v>
      </c>
      <c r="I2161" s="10"/>
      <c r="J2161" s="10"/>
      <c r="K2161" s="12"/>
    </row>
    <row r="2162" ht="15.75" customHeight="1">
      <c r="A2162" s="3" t="s">
        <v>12</v>
      </c>
      <c r="B2162" s="3" t="s">
        <v>359</v>
      </c>
      <c r="C2162" s="3" t="s">
        <v>10327</v>
      </c>
      <c r="D2162" s="8" t="str">
        <f t="shared" si="1"/>
        <v>Abrir anúncio ↗</v>
      </c>
      <c r="E2162" s="9" t="s">
        <v>10328</v>
      </c>
      <c r="F2162" s="3" t="s">
        <v>29</v>
      </c>
      <c r="G2162" s="9" t="s">
        <v>4918</v>
      </c>
      <c r="H2162" s="9" t="s">
        <v>4919</v>
      </c>
      <c r="I2162" s="3"/>
      <c r="J2162" s="3"/>
      <c r="K2162" s="9"/>
    </row>
    <row r="2163" ht="15.75" customHeight="1">
      <c r="A2163" s="10" t="s">
        <v>12</v>
      </c>
      <c r="B2163" s="10" t="s">
        <v>359</v>
      </c>
      <c r="C2163" s="10" t="s">
        <v>10329</v>
      </c>
      <c r="D2163" s="11" t="str">
        <f t="shared" si="1"/>
        <v>Abrir anúncio ↗</v>
      </c>
      <c r="E2163" s="12" t="s">
        <v>10330</v>
      </c>
      <c r="F2163" s="10" t="s">
        <v>29</v>
      </c>
      <c r="G2163" s="12" t="s">
        <v>4918</v>
      </c>
      <c r="H2163" s="12" t="s">
        <v>4919</v>
      </c>
      <c r="I2163" s="10"/>
      <c r="J2163" s="10"/>
      <c r="K2163" s="12"/>
    </row>
    <row r="2164" ht="15.75" customHeight="1">
      <c r="A2164" s="3" t="s">
        <v>12</v>
      </c>
      <c r="B2164" s="3" t="s">
        <v>359</v>
      </c>
      <c r="C2164" s="3" t="s">
        <v>10331</v>
      </c>
      <c r="D2164" s="8" t="str">
        <f t="shared" si="1"/>
        <v>Abrir anúncio ↗</v>
      </c>
      <c r="E2164" s="9" t="s">
        <v>10332</v>
      </c>
      <c r="F2164" s="3" t="s">
        <v>29</v>
      </c>
      <c r="G2164" s="9" t="s">
        <v>4918</v>
      </c>
      <c r="H2164" s="9" t="s">
        <v>4919</v>
      </c>
      <c r="I2164" s="3"/>
      <c r="J2164" s="3"/>
      <c r="K2164" s="9"/>
    </row>
    <row r="2165" ht="15.75" customHeight="1">
      <c r="A2165" s="10" t="s">
        <v>12</v>
      </c>
      <c r="B2165" s="10" t="s">
        <v>359</v>
      </c>
      <c r="C2165" s="10" t="s">
        <v>10333</v>
      </c>
      <c r="D2165" s="11" t="str">
        <f t="shared" si="1"/>
        <v>Abrir anúncio ↗</v>
      </c>
      <c r="E2165" s="12" t="s">
        <v>10334</v>
      </c>
      <c r="F2165" s="10" t="s">
        <v>29</v>
      </c>
      <c r="G2165" s="12" t="s">
        <v>4918</v>
      </c>
      <c r="H2165" s="12" t="s">
        <v>4919</v>
      </c>
      <c r="I2165" s="10"/>
      <c r="J2165" s="10"/>
      <c r="K2165" s="12"/>
    </row>
    <row r="2166" ht="15.75" customHeight="1">
      <c r="A2166" s="3" t="s">
        <v>12</v>
      </c>
      <c r="B2166" s="3" t="s">
        <v>359</v>
      </c>
      <c r="C2166" s="3" t="s">
        <v>10335</v>
      </c>
      <c r="D2166" s="8" t="str">
        <f t="shared" si="1"/>
        <v>Abrir anúncio ↗</v>
      </c>
      <c r="E2166" s="9" t="s">
        <v>10336</v>
      </c>
      <c r="F2166" s="3" t="s">
        <v>29</v>
      </c>
      <c r="G2166" s="9" t="s">
        <v>4918</v>
      </c>
      <c r="H2166" s="9" t="s">
        <v>4919</v>
      </c>
      <c r="I2166" s="3"/>
      <c r="J2166" s="3"/>
      <c r="K2166" s="9"/>
    </row>
    <row r="2167" ht="15.75" customHeight="1">
      <c r="A2167" s="10" t="s">
        <v>12</v>
      </c>
      <c r="B2167" s="10" t="s">
        <v>359</v>
      </c>
      <c r="C2167" s="10" t="s">
        <v>10337</v>
      </c>
      <c r="D2167" s="11" t="str">
        <f t="shared" si="1"/>
        <v>Abrir anúncio ↗</v>
      </c>
      <c r="E2167" s="12" t="s">
        <v>10338</v>
      </c>
      <c r="F2167" s="10" t="s">
        <v>29</v>
      </c>
      <c r="G2167" s="12" t="s">
        <v>4918</v>
      </c>
      <c r="H2167" s="12" t="s">
        <v>4919</v>
      </c>
      <c r="I2167" s="10"/>
      <c r="J2167" s="10"/>
      <c r="K2167" s="12"/>
    </row>
    <row r="2168" ht="15.75" customHeight="1">
      <c r="A2168" s="3" t="s">
        <v>12</v>
      </c>
      <c r="B2168" s="3" t="s">
        <v>359</v>
      </c>
      <c r="C2168" s="3" t="s">
        <v>10339</v>
      </c>
      <c r="D2168" s="8" t="str">
        <f t="shared" si="1"/>
        <v>Abrir anúncio ↗</v>
      </c>
      <c r="E2168" s="9" t="s">
        <v>10340</v>
      </c>
      <c r="F2168" s="3" t="s">
        <v>29</v>
      </c>
      <c r="G2168" s="9" t="s">
        <v>4918</v>
      </c>
      <c r="H2168" s="9" t="s">
        <v>4919</v>
      </c>
      <c r="I2168" s="3"/>
      <c r="J2168" s="3"/>
      <c r="K2168" s="9"/>
    </row>
    <row r="2169" ht="15.75" customHeight="1">
      <c r="A2169" s="10" t="s">
        <v>12</v>
      </c>
      <c r="B2169" s="10" t="s">
        <v>359</v>
      </c>
      <c r="C2169" s="10" t="s">
        <v>10341</v>
      </c>
      <c r="D2169" s="11" t="str">
        <f t="shared" si="1"/>
        <v>Abrir anúncio ↗</v>
      </c>
      <c r="E2169" s="12" t="s">
        <v>10342</v>
      </c>
      <c r="F2169" s="10" t="s">
        <v>29</v>
      </c>
      <c r="G2169" s="12" t="s">
        <v>4918</v>
      </c>
      <c r="H2169" s="12" t="s">
        <v>4919</v>
      </c>
      <c r="I2169" s="10"/>
      <c r="J2169" s="10"/>
      <c r="K2169" s="12"/>
    </row>
    <row r="2170" ht="15.75" customHeight="1">
      <c r="A2170" s="3" t="s">
        <v>12</v>
      </c>
      <c r="B2170" s="3" t="s">
        <v>359</v>
      </c>
      <c r="C2170" s="3" t="s">
        <v>10343</v>
      </c>
      <c r="D2170" s="8" t="str">
        <f t="shared" si="1"/>
        <v>Abrir anúncio ↗</v>
      </c>
      <c r="E2170" s="9" t="s">
        <v>10344</v>
      </c>
      <c r="F2170" s="3" t="s">
        <v>29</v>
      </c>
      <c r="G2170" s="9" t="s">
        <v>5013</v>
      </c>
      <c r="H2170" s="9" t="s">
        <v>5015</v>
      </c>
      <c r="I2170" s="3"/>
      <c r="J2170" s="3"/>
      <c r="K2170" s="9"/>
    </row>
    <row r="2171" ht="15.75" customHeight="1">
      <c r="A2171" s="10" t="s">
        <v>12</v>
      </c>
      <c r="B2171" s="10" t="s">
        <v>359</v>
      </c>
      <c r="C2171" s="10" t="s">
        <v>10345</v>
      </c>
      <c r="D2171" s="11" t="str">
        <f t="shared" si="1"/>
        <v>Abrir anúncio ↗</v>
      </c>
      <c r="E2171" s="12" t="s">
        <v>10346</v>
      </c>
      <c r="F2171" s="10" t="s">
        <v>29</v>
      </c>
      <c r="G2171" s="12" t="s">
        <v>4918</v>
      </c>
      <c r="H2171" s="12" t="s">
        <v>4919</v>
      </c>
      <c r="I2171" s="10"/>
      <c r="J2171" s="10"/>
      <c r="K2171" s="12"/>
    </row>
    <row r="2172" ht="15.75" customHeight="1">
      <c r="A2172" s="3" t="s">
        <v>12</v>
      </c>
      <c r="B2172" s="3" t="s">
        <v>359</v>
      </c>
      <c r="C2172" s="3" t="s">
        <v>10347</v>
      </c>
      <c r="D2172" s="8" t="str">
        <f t="shared" si="1"/>
        <v>Abrir anúncio ↗</v>
      </c>
      <c r="E2172" s="9" t="s">
        <v>10348</v>
      </c>
      <c r="F2172" s="3" t="s">
        <v>29</v>
      </c>
      <c r="G2172" s="9" t="s">
        <v>4918</v>
      </c>
      <c r="H2172" s="9" t="s">
        <v>4919</v>
      </c>
      <c r="I2172" s="3"/>
      <c r="J2172" s="3"/>
      <c r="K2172" s="9"/>
    </row>
    <row r="2173" ht="15.75" customHeight="1">
      <c r="A2173" s="10" t="s">
        <v>12</v>
      </c>
      <c r="B2173" s="10" t="s">
        <v>359</v>
      </c>
      <c r="C2173" s="10" t="s">
        <v>10349</v>
      </c>
      <c r="D2173" s="11" t="str">
        <f t="shared" si="1"/>
        <v>Abrir anúncio ↗</v>
      </c>
      <c r="E2173" s="12" t="s">
        <v>10350</v>
      </c>
      <c r="F2173" s="10" t="s">
        <v>29</v>
      </c>
      <c r="G2173" s="12" t="s">
        <v>4918</v>
      </c>
      <c r="H2173" s="12" t="s">
        <v>4919</v>
      </c>
      <c r="I2173" s="10"/>
      <c r="J2173" s="10"/>
      <c r="K2173" s="12"/>
    </row>
    <row r="2174" ht="15.75" customHeight="1">
      <c r="A2174" s="3" t="s">
        <v>12</v>
      </c>
      <c r="B2174" s="3" t="s">
        <v>359</v>
      </c>
      <c r="C2174" s="3" t="s">
        <v>10351</v>
      </c>
      <c r="D2174" s="8" t="str">
        <f t="shared" si="1"/>
        <v>Abrir anúncio ↗</v>
      </c>
      <c r="E2174" s="9" t="s">
        <v>10352</v>
      </c>
      <c r="F2174" s="3" t="s">
        <v>29</v>
      </c>
      <c r="G2174" s="9" t="s">
        <v>4918</v>
      </c>
      <c r="H2174" s="9" t="s">
        <v>4919</v>
      </c>
      <c r="I2174" s="3"/>
      <c r="J2174" s="3"/>
      <c r="K2174" s="9"/>
    </row>
    <row r="2175" ht="15.75" customHeight="1">
      <c r="A2175" s="10" t="s">
        <v>12</v>
      </c>
      <c r="B2175" s="10" t="s">
        <v>359</v>
      </c>
      <c r="C2175" s="10" t="s">
        <v>10353</v>
      </c>
      <c r="D2175" s="11" t="str">
        <f t="shared" si="1"/>
        <v>Abrir anúncio ↗</v>
      </c>
      <c r="E2175" s="12" t="s">
        <v>10354</v>
      </c>
      <c r="F2175" s="10" t="s">
        <v>29</v>
      </c>
      <c r="G2175" s="12" t="s">
        <v>4918</v>
      </c>
      <c r="H2175" s="12" t="s">
        <v>4919</v>
      </c>
      <c r="I2175" s="10"/>
      <c r="J2175" s="10"/>
      <c r="K2175" s="12"/>
    </row>
    <row r="2176" ht="15.75" customHeight="1">
      <c r="A2176" s="3" t="s">
        <v>12</v>
      </c>
      <c r="B2176" s="3" t="s">
        <v>359</v>
      </c>
      <c r="C2176" s="3" t="s">
        <v>10355</v>
      </c>
      <c r="D2176" s="8" t="str">
        <f t="shared" si="1"/>
        <v>Abrir anúncio ↗</v>
      </c>
      <c r="E2176" s="9" t="s">
        <v>10356</v>
      </c>
      <c r="F2176" s="3" t="s">
        <v>29</v>
      </c>
      <c r="G2176" s="9" t="s">
        <v>9253</v>
      </c>
      <c r="H2176" s="9" t="s">
        <v>9254</v>
      </c>
      <c r="I2176" s="3"/>
      <c r="J2176" s="3"/>
      <c r="K2176" s="9"/>
    </row>
    <row r="2177" ht="15.75" customHeight="1">
      <c r="A2177" s="10" t="s">
        <v>12</v>
      </c>
      <c r="B2177" s="10" t="s">
        <v>359</v>
      </c>
      <c r="C2177" s="10" t="s">
        <v>10357</v>
      </c>
      <c r="D2177" s="11" t="str">
        <f t="shared" si="1"/>
        <v>Abrir anúncio ↗</v>
      </c>
      <c r="E2177" s="12" t="s">
        <v>10358</v>
      </c>
      <c r="F2177" s="10" t="s">
        <v>29</v>
      </c>
      <c r="G2177" s="12" t="s">
        <v>4918</v>
      </c>
      <c r="H2177" s="12" t="s">
        <v>4919</v>
      </c>
      <c r="I2177" s="10"/>
      <c r="J2177" s="10"/>
      <c r="K2177" s="12"/>
    </row>
    <row r="2178" ht="15.75" customHeight="1">
      <c r="A2178" s="3" t="s">
        <v>12</v>
      </c>
      <c r="B2178" s="3" t="s">
        <v>359</v>
      </c>
      <c r="C2178" s="3" t="s">
        <v>10359</v>
      </c>
      <c r="D2178" s="8" t="str">
        <f t="shared" si="1"/>
        <v>Abrir anúncio ↗</v>
      </c>
      <c r="E2178" s="9" t="s">
        <v>10360</v>
      </c>
      <c r="F2178" s="3" t="s">
        <v>29</v>
      </c>
      <c r="G2178" s="9" t="s">
        <v>4918</v>
      </c>
      <c r="H2178" s="9" t="s">
        <v>4919</v>
      </c>
      <c r="I2178" s="3"/>
      <c r="J2178" s="3"/>
      <c r="K2178" s="9"/>
    </row>
    <row r="2179" ht="15.75" customHeight="1">
      <c r="A2179" s="10" t="s">
        <v>12</v>
      </c>
      <c r="B2179" s="10" t="s">
        <v>359</v>
      </c>
      <c r="C2179" s="10" t="s">
        <v>10361</v>
      </c>
      <c r="D2179" s="11" t="str">
        <f t="shared" si="1"/>
        <v>Abrir anúncio ↗</v>
      </c>
      <c r="E2179" s="12" t="s">
        <v>10362</v>
      </c>
      <c r="F2179" s="10" t="s">
        <v>29</v>
      </c>
      <c r="G2179" s="12" t="s">
        <v>4918</v>
      </c>
      <c r="H2179" s="12" t="s">
        <v>4919</v>
      </c>
      <c r="I2179" s="10"/>
      <c r="J2179" s="10"/>
      <c r="K2179" s="12"/>
    </row>
    <row r="2180" ht="15.75" customHeight="1">
      <c r="A2180" s="3" t="s">
        <v>12</v>
      </c>
      <c r="B2180" s="3" t="s">
        <v>359</v>
      </c>
      <c r="C2180" s="3" t="s">
        <v>10363</v>
      </c>
      <c r="D2180" s="8" t="str">
        <f t="shared" si="1"/>
        <v>Abrir anúncio ↗</v>
      </c>
      <c r="E2180" s="9" t="s">
        <v>10364</v>
      </c>
      <c r="F2180" s="3" t="s">
        <v>29</v>
      </c>
      <c r="G2180" s="9" t="s">
        <v>9285</v>
      </c>
      <c r="H2180" s="9" t="s">
        <v>10365</v>
      </c>
      <c r="I2180" s="3"/>
      <c r="J2180" s="3"/>
      <c r="K2180" s="9"/>
    </row>
    <row r="2181" ht="15.75" customHeight="1">
      <c r="A2181" s="10" t="s">
        <v>12</v>
      </c>
      <c r="B2181" s="10" t="s">
        <v>359</v>
      </c>
      <c r="C2181" s="10" t="s">
        <v>10366</v>
      </c>
      <c r="D2181" s="11" t="str">
        <f t="shared" si="1"/>
        <v>Abrir anúncio ↗</v>
      </c>
      <c r="E2181" s="12" t="s">
        <v>10367</v>
      </c>
      <c r="F2181" s="10" t="s">
        <v>29</v>
      </c>
      <c r="G2181" s="12" t="s">
        <v>4918</v>
      </c>
      <c r="H2181" s="12" t="s">
        <v>4919</v>
      </c>
      <c r="I2181" s="10"/>
      <c r="J2181" s="10"/>
      <c r="K2181" s="12"/>
    </row>
    <row r="2182" ht="15.75" customHeight="1">
      <c r="A2182" s="3" t="s">
        <v>12</v>
      </c>
      <c r="B2182" s="3" t="s">
        <v>359</v>
      </c>
      <c r="C2182" s="3" t="s">
        <v>10368</v>
      </c>
      <c r="D2182" s="8" t="str">
        <f t="shared" si="1"/>
        <v>Abrir anúncio ↗</v>
      </c>
      <c r="E2182" s="9" t="s">
        <v>10369</v>
      </c>
      <c r="F2182" s="3" t="s">
        <v>29</v>
      </c>
      <c r="G2182" s="9" t="s">
        <v>5013</v>
      </c>
      <c r="H2182" s="9" t="s">
        <v>5015</v>
      </c>
      <c r="I2182" s="3"/>
      <c r="J2182" s="3"/>
      <c r="K2182" s="9"/>
    </row>
    <row r="2183" ht="15.75" customHeight="1">
      <c r="A2183" s="10" t="s">
        <v>12</v>
      </c>
      <c r="B2183" s="10" t="s">
        <v>359</v>
      </c>
      <c r="C2183" s="10" t="s">
        <v>10370</v>
      </c>
      <c r="D2183" s="11" t="str">
        <f t="shared" si="1"/>
        <v>Abrir anúncio ↗</v>
      </c>
      <c r="E2183" s="12" t="s">
        <v>10371</v>
      </c>
      <c r="F2183" s="10" t="s">
        <v>29</v>
      </c>
      <c r="G2183" s="12" t="s">
        <v>9253</v>
      </c>
      <c r="H2183" s="12" t="s">
        <v>9254</v>
      </c>
      <c r="I2183" s="10"/>
      <c r="J2183" s="10"/>
      <c r="K2183" s="12"/>
    </row>
    <row r="2184" ht="15.75" customHeight="1">
      <c r="A2184" s="3" t="s">
        <v>12</v>
      </c>
      <c r="B2184" s="3" t="s">
        <v>359</v>
      </c>
      <c r="C2184" s="3" t="s">
        <v>10372</v>
      </c>
      <c r="D2184" s="8" t="str">
        <f t="shared" si="1"/>
        <v>Abrir anúncio ↗</v>
      </c>
      <c r="E2184" s="9" t="s">
        <v>10373</v>
      </c>
      <c r="F2184" s="3" t="s">
        <v>29</v>
      </c>
      <c r="G2184" s="9" t="s">
        <v>4918</v>
      </c>
      <c r="H2184" s="9" t="s">
        <v>4919</v>
      </c>
      <c r="I2184" s="3"/>
      <c r="J2184" s="3"/>
      <c r="K2184" s="9"/>
    </row>
    <row r="2185" ht="15.75" customHeight="1">
      <c r="A2185" s="10" t="s">
        <v>12</v>
      </c>
      <c r="B2185" s="10" t="s">
        <v>359</v>
      </c>
      <c r="C2185" s="10" t="s">
        <v>10374</v>
      </c>
      <c r="D2185" s="11" t="str">
        <f t="shared" si="1"/>
        <v>Abrir anúncio ↗</v>
      </c>
      <c r="E2185" s="12" t="s">
        <v>10375</v>
      </c>
      <c r="F2185" s="10" t="s">
        <v>29</v>
      </c>
      <c r="G2185" s="12" t="s">
        <v>4918</v>
      </c>
      <c r="H2185" s="12" t="s">
        <v>4919</v>
      </c>
      <c r="I2185" s="10"/>
      <c r="J2185" s="10"/>
      <c r="K2185" s="12"/>
    </row>
    <row r="2186" ht="15.75" customHeight="1">
      <c r="A2186" s="3" t="s">
        <v>12</v>
      </c>
      <c r="B2186" s="3" t="s">
        <v>359</v>
      </c>
      <c r="C2186" s="3" t="s">
        <v>10376</v>
      </c>
      <c r="D2186" s="8" t="str">
        <f t="shared" si="1"/>
        <v>Abrir anúncio ↗</v>
      </c>
      <c r="E2186" s="9" t="s">
        <v>10377</v>
      </c>
      <c r="F2186" s="3" t="s">
        <v>29</v>
      </c>
      <c r="G2186" s="9" t="s">
        <v>4918</v>
      </c>
      <c r="H2186" s="9" t="s">
        <v>4919</v>
      </c>
      <c r="I2186" s="3"/>
      <c r="J2186" s="3"/>
      <c r="K2186" s="9"/>
    </row>
    <row r="2187" ht="15.75" customHeight="1">
      <c r="A2187" s="10" t="s">
        <v>12</v>
      </c>
      <c r="B2187" s="10" t="s">
        <v>359</v>
      </c>
      <c r="C2187" s="10" t="s">
        <v>10378</v>
      </c>
      <c r="D2187" s="11" t="str">
        <f t="shared" si="1"/>
        <v>Abrir anúncio ↗</v>
      </c>
      <c r="E2187" s="12" t="s">
        <v>10379</v>
      </c>
      <c r="F2187" s="10" t="s">
        <v>29</v>
      </c>
      <c r="G2187" s="12" t="s">
        <v>4918</v>
      </c>
      <c r="H2187" s="12" t="s">
        <v>4919</v>
      </c>
      <c r="I2187" s="10"/>
      <c r="J2187" s="10"/>
      <c r="K2187" s="12"/>
    </row>
    <row r="2188" ht="15.75" customHeight="1">
      <c r="A2188" s="3" t="s">
        <v>12</v>
      </c>
      <c r="B2188" s="3" t="s">
        <v>359</v>
      </c>
      <c r="C2188" s="3" t="s">
        <v>10380</v>
      </c>
      <c r="D2188" s="8" t="str">
        <f t="shared" si="1"/>
        <v>Abrir anúncio ↗</v>
      </c>
      <c r="E2188" s="9" t="s">
        <v>10381</v>
      </c>
      <c r="F2188" s="3" t="s">
        <v>29</v>
      </c>
      <c r="G2188" s="9" t="s">
        <v>5013</v>
      </c>
      <c r="H2188" s="9" t="s">
        <v>5015</v>
      </c>
      <c r="I2188" s="3"/>
      <c r="J2188" s="3"/>
      <c r="K2188" s="9"/>
    </row>
    <row r="2189" ht="15.75" customHeight="1">
      <c r="A2189" s="10" t="s">
        <v>12</v>
      </c>
      <c r="B2189" s="10" t="s">
        <v>359</v>
      </c>
      <c r="C2189" s="10" t="s">
        <v>10382</v>
      </c>
      <c r="D2189" s="11" t="str">
        <f t="shared" si="1"/>
        <v>Abrir anúncio ↗</v>
      </c>
      <c r="E2189" s="12" t="s">
        <v>10383</v>
      </c>
      <c r="F2189" s="10" t="s">
        <v>29</v>
      </c>
      <c r="G2189" s="12" t="s">
        <v>4918</v>
      </c>
      <c r="H2189" s="12" t="s">
        <v>4919</v>
      </c>
      <c r="I2189" s="10"/>
      <c r="J2189" s="10"/>
      <c r="K2189" s="12"/>
    </row>
    <row r="2190" ht="15.75" customHeight="1">
      <c r="A2190" s="3" t="s">
        <v>12</v>
      </c>
      <c r="B2190" s="3" t="s">
        <v>359</v>
      </c>
      <c r="C2190" s="3" t="s">
        <v>10384</v>
      </c>
      <c r="D2190" s="8" t="str">
        <f t="shared" si="1"/>
        <v>Abrir anúncio ↗</v>
      </c>
      <c r="E2190" s="9" t="s">
        <v>10385</v>
      </c>
      <c r="F2190" s="3" t="s">
        <v>29</v>
      </c>
      <c r="G2190" s="9" t="s">
        <v>4918</v>
      </c>
      <c r="H2190" s="9" t="s">
        <v>4919</v>
      </c>
      <c r="I2190" s="3"/>
      <c r="J2190" s="3"/>
      <c r="K2190" s="9"/>
    </row>
    <row r="2191" ht="15.75" customHeight="1">
      <c r="A2191" s="10" t="s">
        <v>12</v>
      </c>
      <c r="B2191" s="10" t="s">
        <v>359</v>
      </c>
      <c r="C2191" s="10" t="s">
        <v>10386</v>
      </c>
      <c r="D2191" s="11" t="str">
        <f t="shared" si="1"/>
        <v>Abrir anúncio ↗</v>
      </c>
      <c r="E2191" s="12" t="s">
        <v>10387</v>
      </c>
      <c r="F2191" s="10" t="s">
        <v>29</v>
      </c>
      <c r="G2191" s="12" t="s">
        <v>4918</v>
      </c>
      <c r="H2191" s="12" t="s">
        <v>4919</v>
      </c>
      <c r="I2191" s="10"/>
      <c r="J2191" s="10"/>
      <c r="K2191" s="12"/>
    </row>
    <row r="2192" ht="15.75" customHeight="1">
      <c r="A2192" s="3" t="s">
        <v>12</v>
      </c>
      <c r="B2192" s="3" t="s">
        <v>359</v>
      </c>
      <c r="C2192" s="3" t="s">
        <v>10388</v>
      </c>
      <c r="D2192" s="8" t="str">
        <f t="shared" si="1"/>
        <v>Abrir anúncio ↗</v>
      </c>
      <c r="E2192" s="9" t="s">
        <v>10389</v>
      </c>
      <c r="F2192" s="3" t="s">
        <v>29</v>
      </c>
      <c r="G2192" s="9" t="s">
        <v>4918</v>
      </c>
      <c r="H2192" s="9" t="s">
        <v>4919</v>
      </c>
      <c r="I2192" s="3"/>
      <c r="J2192" s="3"/>
      <c r="K2192" s="9"/>
    </row>
    <row r="2193" ht="15.75" customHeight="1">
      <c r="A2193" s="10" t="s">
        <v>12</v>
      </c>
      <c r="B2193" s="10" t="s">
        <v>359</v>
      </c>
      <c r="C2193" s="10" t="s">
        <v>10390</v>
      </c>
      <c r="D2193" s="11" t="str">
        <f t="shared" si="1"/>
        <v>Abrir anúncio ↗</v>
      </c>
      <c r="E2193" s="12" t="s">
        <v>10391</v>
      </c>
      <c r="F2193" s="10" t="s">
        <v>29</v>
      </c>
      <c r="G2193" s="12" t="s">
        <v>4918</v>
      </c>
      <c r="H2193" s="12" t="s">
        <v>4919</v>
      </c>
      <c r="I2193" s="10"/>
      <c r="J2193" s="10"/>
      <c r="K2193" s="12"/>
    </row>
    <row r="2194" ht="15.75" customHeight="1">
      <c r="A2194" s="3" t="s">
        <v>12</v>
      </c>
      <c r="B2194" s="3" t="s">
        <v>359</v>
      </c>
      <c r="C2194" s="3" t="s">
        <v>10392</v>
      </c>
      <c r="D2194" s="8" t="str">
        <f t="shared" si="1"/>
        <v>Abrir anúncio ↗</v>
      </c>
      <c r="E2194" s="9" t="s">
        <v>10393</v>
      </c>
      <c r="F2194" s="3" t="s">
        <v>29</v>
      </c>
      <c r="G2194" s="9" t="s">
        <v>4918</v>
      </c>
      <c r="H2194" s="9" t="s">
        <v>4919</v>
      </c>
      <c r="I2194" s="3"/>
      <c r="J2194" s="3"/>
      <c r="K2194" s="9"/>
    </row>
    <row r="2195" ht="15.75" customHeight="1">
      <c r="A2195" s="10" t="s">
        <v>12</v>
      </c>
      <c r="B2195" s="10" t="s">
        <v>359</v>
      </c>
      <c r="C2195" s="10" t="s">
        <v>10394</v>
      </c>
      <c r="D2195" s="11" t="str">
        <f t="shared" si="1"/>
        <v>Abrir anúncio ↗</v>
      </c>
      <c r="E2195" s="12" t="s">
        <v>10395</v>
      </c>
      <c r="F2195" s="10" t="s">
        <v>29</v>
      </c>
      <c r="G2195" s="12" t="s">
        <v>4918</v>
      </c>
      <c r="H2195" s="12" t="s">
        <v>4919</v>
      </c>
      <c r="I2195" s="10"/>
      <c r="J2195" s="10"/>
      <c r="K2195" s="12"/>
    </row>
    <row r="2196" ht="15.75" customHeight="1">
      <c r="A2196" s="3" t="s">
        <v>12</v>
      </c>
      <c r="B2196" s="3" t="s">
        <v>359</v>
      </c>
      <c r="C2196" s="3" t="s">
        <v>10396</v>
      </c>
      <c r="D2196" s="8" t="str">
        <f t="shared" si="1"/>
        <v>Abrir anúncio ↗</v>
      </c>
      <c r="E2196" s="9" t="s">
        <v>10397</v>
      </c>
      <c r="F2196" s="3" t="s">
        <v>29</v>
      </c>
      <c r="G2196" s="9" t="s">
        <v>4918</v>
      </c>
      <c r="H2196" s="9" t="s">
        <v>4919</v>
      </c>
      <c r="I2196" s="3"/>
      <c r="J2196" s="3"/>
      <c r="K2196" s="9"/>
    </row>
    <row r="2197" ht="15.75" customHeight="1">
      <c r="A2197" s="10" t="s">
        <v>12</v>
      </c>
      <c r="B2197" s="10" t="s">
        <v>359</v>
      </c>
      <c r="C2197" s="10" t="s">
        <v>7592</v>
      </c>
      <c r="D2197" s="11" t="str">
        <f t="shared" si="1"/>
        <v>Abrir anúncio ↗</v>
      </c>
      <c r="E2197" s="12" t="s">
        <v>7588</v>
      </c>
      <c r="F2197" s="10" t="s">
        <v>29</v>
      </c>
      <c r="G2197" s="12" t="s">
        <v>4918</v>
      </c>
      <c r="H2197" s="12" t="s">
        <v>4919</v>
      </c>
      <c r="I2197" s="10"/>
      <c r="J2197" s="10"/>
      <c r="K2197" s="12"/>
    </row>
    <row r="2198" ht="15.75" customHeight="1">
      <c r="A2198" s="3" t="s">
        <v>12</v>
      </c>
      <c r="B2198" s="3" t="s">
        <v>359</v>
      </c>
      <c r="C2198" s="3" t="s">
        <v>7779</v>
      </c>
      <c r="D2198" s="8" t="str">
        <f t="shared" si="1"/>
        <v>Abrir anúncio ↗</v>
      </c>
      <c r="E2198" s="9" t="s">
        <v>7777</v>
      </c>
      <c r="F2198" s="3" t="s">
        <v>29</v>
      </c>
      <c r="G2198" s="9" t="s">
        <v>4918</v>
      </c>
      <c r="H2198" s="9" t="s">
        <v>4919</v>
      </c>
      <c r="I2198" s="3"/>
      <c r="J2198" s="3"/>
      <c r="K2198" s="9"/>
    </row>
    <row r="2199" ht="15.75" customHeight="1">
      <c r="A2199" s="10" t="s">
        <v>12</v>
      </c>
      <c r="B2199" s="10" t="s">
        <v>359</v>
      </c>
      <c r="C2199" s="10" t="s">
        <v>10398</v>
      </c>
      <c r="D2199" s="11" t="str">
        <f t="shared" si="1"/>
        <v>Abrir anúncio ↗</v>
      </c>
      <c r="E2199" s="12" t="s">
        <v>10399</v>
      </c>
      <c r="F2199" s="10" t="s">
        <v>29</v>
      </c>
      <c r="G2199" s="12" t="s">
        <v>4918</v>
      </c>
      <c r="H2199" s="12" t="s">
        <v>4919</v>
      </c>
      <c r="I2199" s="10"/>
      <c r="J2199" s="10"/>
      <c r="K2199" s="12"/>
    </row>
    <row r="2200" ht="15.75" customHeight="1">
      <c r="A2200" s="3" t="s">
        <v>12</v>
      </c>
      <c r="B2200" s="3" t="s">
        <v>359</v>
      </c>
      <c r="C2200" s="3" t="s">
        <v>10400</v>
      </c>
      <c r="D2200" s="8" t="str">
        <f t="shared" si="1"/>
        <v>Abrir anúncio ↗</v>
      </c>
      <c r="E2200" s="9" t="s">
        <v>10401</v>
      </c>
      <c r="F2200" s="3" t="s">
        <v>29</v>
      </c>
      <c r="G2200" s="9" t="s">
        <v>4918</v>
      </c>
      <c r="H2200" s="9" t="s">
        <v>4919</v>
      </c>
      <c r="I2200" s="3"/>
      <c r="J2200" s="3"/>
      <c r="K2200" s="9"/>
    </row>
    <row r="2201" ht="15.75" customHeight="1">
      <c r="A2201" s="10" t="s">
        <v>12</v>
      </c>
      <c r="B2201" s="10" t="s">
        <v>359</v>
      </c>
      <c r="C2201" s="10" t="s">
        <v>10402</v>
      </c>
      <c r="D2201" s="11" t="str">
        <f t="shared" si="1"/>
        <v>Abrir anúncio ↗</v>
      </c>
      <c r="E2201" s="12" t="s">
        <v>10403</v>
      </c>
      <c r="F2201" s="10" t="s">
        <v>29</v>
      </c>
      <c r="G2201" s="12" t="s">
        <v>4918</v>
      </c>
      <c r="H2201" s="12" t="s">
        <v>4919</v>
      </c>
      <c r="I2201" s="10"/>
      <c r="J2201" s="10"/>
      <c r="K2201" s="12"/>
    </row>
    <row r="2202" ht="15.75" customHeight="1">
      <c r="A2202" s="3" t="s">
        <v>12</v>
      </c>
      <c r="B2202" s="3" t="s">
        <v>359</v>
      </c>
      <c r="C2202" s="3" t="s">
        <v>8503</v>
      </c>
      <c r="D2202" s="8" t="str">
        <f t="shared" si="1"/>
        <v>Abrir anúncio ↗</v>
      </c>
      <c r="E2202" s="9" t="s">
        <v>8502</v>
      </c>
      <c r="F2202" s="3" t="s">
        <v>29</v>
      </c>
      <c r="G2202" s="9" t="s">
        <v>4918</v>
      </c>
      <c r="H2202" s="9" t="s">
        <v>4919</v>
      </c>
      <c r="I2202" s="3"/>
      <c r="J2202" s="3"/>
      <c r="K2202" s="9"/>
    </row>
    <row r="2203" ht="15.75" customHeight="1">
      <c r="A2203" s="10" t="s">
        <v>12</v>
      </c>
      <c r="B2203" s="10" t="s">
        <v>359</v>
      </c>
      <c r="C2203" s="10" t="s">
        <v>10404</v>
      </c>
      <c r="D2203" s="11" t="str">
        <f t="shared" si="1"/>
        <v>Abrir anúncio ↗</v>
      </c>
      <c r="E2203" s="12" t="s">
        <v>10405</v>
      </c>
      <c r="F2203" s="10" t="s">
        <v>29</v>
      </c>
      <c r="G2203" s="12" t="s">
        <v>4918</v>
      </c>
      <c r="H2203" s="12" t="s">
        <v>4919</v>
      </c>
      <c r="I2203" s="10"/>
      <c r="J2203" s="10"/>
      <c r="K2203" s="12"/>
    </row>
    <row r="2204" ht="15.75" customHeight="1">
      <c r="A2204" s="3" t="s">
        <v>12</v>
      </c>
      <c r="B2204" s="3" t="s">
        <v>359</v>
      </c>
      <c r="C2204" s="3" t="s">
        <v>10406</v>
      </c>
      <c r="D2204" s="8" t="str">
        <f t="shared" si="1"/>
        <v>Abrir anúncio ↗</v>
      </c>
      <c r="E2204" s="9" t="s">
        <v>10407</v>
      </c>
      <c r="F2204" s="3" t="s">
        <v>29</v>
      </c>
      <c r="G2204" s="9" t="s">
        <v>4918</v>
      </c>
      <c r="H2204" s="9" t="s">
        <v>4919</v>
      </c>
      <c r="I2204" s="3"/>
      <c r="J2204" s="3"/>
      <c r="K2204" s="9"/>
    </row>
    <row r="2205" ht="15.75" customHeight="1">
      <c r="A2205" s="10" t="s">
        <v>12</v>
      </c>
      <c r="B2205" s="10" t="s">
        <v>359</v>
      </c>
      <c r="C2205" s="10" t="s">
        <v>8206</v>
      </c>
      <c r="D2205" s="11" t="str">
        <f t="shared" si="1"/>
        <v>Abrir anúncio ↗</v>
      </c>
      <c r="E2205" s="12" t="s">
        <v>8205</v>
      </c>
      <c r="F2205" s="10" t="s">
        <v>29</v>
      </c>
      <c r="G2205" s="12" t="s">
        <v>4918</v>
      </c>
      <c r="H2205" s="12" t="s">
        <v>4919</v>
      </c>
      <c r="I2205" s="10"/>
      <c r="J2205" s="10"/>
      <c r="K2205" s="12"/>
    </row>
    <row r="2206" ht="15.75" customHeight="1">
      <c r="A2206" s="3" t="s">
        <v>12</v>
      </c>
      <c r="B2206" s="3" t="s">
        <v>359</v>
      </c>
      <c r="C2206" s="3" t="s">
        <v>8209</v>
      </c>
      <c r="D2206" s="8" t="str">
        <f t="shared" si="1"/>
        <v>Abrir anúncio ↗</v>
      </c>
      <c r="E2206" s="9" t="s">
        <v>8205</v>
      </c>
      <c r="F2206" s="3" t="s">
        <v>86</v>
      </c>
      <c r="G2206" s="9" t="s">
        <v>4918</v>
      </c>
      <c r="H2206" s="9" t="s">
        <v>4919</v>
      </c>
      <c r="I2206" s="3"/>
      <c r="J2206" s="3"/>
      <c r="K2206" s="9"/>
    </row>
    <row r="2207" ht="15.75" customHeight="1">
      <c r="A2207" s="10" t="s">
        <v>12</v>
      </c>
      <c r="B2207" s="10" t="s">
        <v>359</v>
      </c>
      <c r="C2207" s="10" t="s">
        <v>10408</v>
      </c>
      <c r="D2207" s="11" t="str">
        <f t="shared" si="1"/>
        <v>Abrir anúncio ↗</v>
      </c>
      <c r="E2207" s="12" t="s">
        <v>10409</v>
      </c>
      <c r="F2207" s="10" t="s">
        <v>86</v>
      </c>
      <c r="G2207" s="12" t="s">
        <v>4918</v>
      </c>
      <c r="H2207" s="12" t="s">
        <v>4919</v>
      </c>
      <c r="I2207" s="10"/>
      <c r="J2207" s="10"/>
      <c r="K2207" s="12"/>
    </row>
    <row r="2208" ht="15.75" customHeight="1">
      <c r="A2208" s="3" t="s">
        <v>12</v>
      </c>
      <c r="B2208" s="3" t="s">
        <v>359</v>
      </c>
      <c r="C2208" s="3" t="s">
        <v>10410</v>
      </c>
      <c r="D2208" s="8" t="str">
        <f t="shared" si="1"/>
        <v>Abrir anúncio ↗</v>
      </c>
      <c r="E2208" s="9" t="s">
        <v>10411</v>
      </c>
      <c r="F2208" s="3" t="s">
        <v>86</v>
      </c>
      <c r="G2208" s="9" t="s">
        <v>4918</v>
      </c>
      <c r="H2208" s="9" t="s">
        <v>4919</v>
      </c>
      <c r="I2208" s="3"/>
      <c r="J2208" s="3"/>
      <c r="K2208" s="9"/>
    </row>
    <row r="2209" ht="15.75" customHeight="1">
      <c r="A2209" s="10" t="s">
        <v>12</v>
      </c>
      <c r="B2209" s="10" t="s">
        <v>359</v>
      </c>
      <c r="C2209" s="10" t="s">
        <v>10412</v>
      </c>
      <c r="D2209" s="11" t="str">
        <f t="shared" si="1"/>
        <v>Abrir anúncio ↗</v>
      </c>
      <c r="E2209" s="12" t="s">
        <v>10413</v>
      </c>
      <c r="F2209" s="10" t="s">
        <v>86</v>
      </c>
      <c r="G2209" s="12" t="s">
        <v>4918</v>
      </c>
      <c r="H2209" s="12" t="s">
        <v>4919</v>
      </c>
      <c r="I2209" s="10"/>
      <c r="J2209" s="10"/>
      <c r="K2209" s="12"/>
    </row>
    <row r="2210" ht="15.75" customHeight="1">
      <c r="A2210" s="3" t="s">
        <v>12</v>
      </c>
      <c r="B2210" s="3" t="s">
        <v>359</v>
      </c>
      <c r="C2210" s="3" t="s">
        <v>6294</v>
      </c>
      <c r="D2210" s="8" t="str">
        <f t="shared" si="1"/>
        <v>Abrir anúncio ↗</v>
      </c>
      <c r="E2210" s="9" t="s">
        <v>2275</v>
      </c>
      <c r="F2210" s="3" t="s">
        <v>29</v>
      </c>
      <c r="G2210" s="9" t="s">
        <v>9514</v>
      </c>
      <c r="H2210" s="9" t="s">
        <v>9515</v>
      </c>
      <c r="I2210" s="3"/>
      <c r="J2210" s="3"/>
      <c r="K2210" s="9"/>
    </row>
    <row r="2211" ht="15.75" customHeight="1">
      <c r="A2211" s="10" t="s">
        <v>12</v>
      </c>
      <c r="B2211" s="10" t="s">
        <v>359</v>
      </c>
      <c r="C2211" s="10" t="s">
        <v>6758</v>
      </c>
      <c r="D2211" s="11" t="str">
        <f t="shared" si="1"/>
        <v>Abrir anúncio ↗</v>
      </c>
      <c r="E2211" s="12" t="s">
        <v>6752</v>
      </c>
      <c r="F2211" s="10" t="s">
        <v>29</v>
      </c>
      <c r="G2211" s="12" t="s">
        <v>9514</v>
      </c>
      <c r="H2211" s="12" t="s">
        <v>9515</v>
      </c>
      <c r="I2211" s="10"/>
      <c r="J2211" s="10"/>
      <c r="K2211" s="12"/>
    </row>
    <row r="2212" ht="15.75" customHeight="1">
      <c r="A2212" s="3" t="s">
        <v>12</v>
      </c>
      <c r="B2212" s="3" t="s">
        <v>359</v>
      </c>
      <c r="C2212" s="3" t="s">
        <v>7081</v>
      </c>
      <c r="D2212" s="8" t="str">
        <f t="shared" si="1"/>
        <v>Abrir anúncio ↗</v>
      </c>
      <c r="E2212" s="9" t="s">
        <v>2285</v>
      </c>
      <c r="F2212" s="3" t="s">
        <v>29</v>
      </c>
      <c r="G2212" s="9" t="s">
        <v>9253</v>
      </c>
      <c r="H2212" s="9" t="s">
        <v>9254</v>
      </c>
      <c r="I2212" s="3"/>
      <c r="J2212" s="3"/>
      <c r="K2212" s="9"/>
    </row>
    <row r="2213" ht="15.75" customHeight="1">
      <c r="A2213" s="10" t="s">
        <v>12</v>
      </c>
      <c r="B2213" s="10" t="s">
        <v>359</v>
      </c>
      <c r="C2213" s="10" t="s">
        <v>7952</v>
      </c>
      <c r="D2213" s="11" t="str">
        <f t="shared" si="1"/>
        <v>Abrir anúncio ↗</v>
      </c>
      <c r="E2213" s="12" t="s">
        <v>2265</v>
      </c>
      <c r="F2213" s="10" t="s">
        <v>29</v>
      </c>
      <c r="G2213" s="12" t="s">
        <v>9514</v>
      </c>
      <c r="H2213" s="12" t="s">
        <v>9515</v>
      </c>
      <c r="I2213" s="10"/>
      <c r="J2213" s="10"/>
      <c r="K2213" s="12"/>
    </row>
    <row r="2214" ht="15.75" customHeight="1">
      <c r="A2214" s="3" t="s">
        <v>12</v>
      </c>
      <c r="B2214" s="3" t="s">
        <v>359</v>
      </c>
      <c r="C2214" s="3" t="s">
        <v>7146</v>
      </c>
      <c r="D2214" s="8" t="str">
        <f t="shared" si="1"/>
        <v>Abrir anúncio ↗</v>
      </c>
      <c r="E2214" s="9" t="s">
        <v>2295</v>
      </c>
      <c r="F2214" s="3" t="s">
        <v>86</v>
      </c>
      <c r="G2214" s="9" t="s">
        <v>9514</v>
      </c>
      <c r="H2214" s="9" t="s">
        <v>9515</v>
      </c>
      <c r="I2214" s="3"/>
      <c r="J2214" s="3"/>
      <c r="K2214" s="9"/>
    </row>
    <row r="2215" ht="15.75" customHeight="1">
      <c r="A2215" s="10" t="s">
        <v>12</v>
      </c>
      <c r="B2215" s="10" t="s">
        <v>359</v>
      </c>
      <c r="C2215" s="10" t="s">
        <v>10414</v>
      </c>
      <c r="D2215" s="11" t="str">
        <f t="shared" si="1"/>
        <v>Abrir anúncio ↗</v>
      </c>
      <c r="E2215" s="12" t="s">
        <v>10415</v>
      </c>
      <c r="F2215" s="10" t="s">
        <v>29</v>
      </c>
      <c r="G2215" s="12" t="s">
        <v>4918</v>
      </c>
      <c r="H2215" s="12" t="s">
        <v>4919</v>
      </c>
      <c r="I2215" s="10"/>
      <c r="J2215" s="10"/>
      <c r="K2215" s="12"/>
    </row>
    <row r="2216" ht="15.75" customHeight="1">
      <c r="A2216" s="3" t="s">
        <v>12</v>
      </c>
      <c r="B2216" s="3" t="s">
        <v>359</v>
      </c>
      <c r="C2216" s="3" t="s">
        <v>6280</v>
      </c>
      <c r="D2216" s="8" t="str">
        <f t="shared" si="1"/>
        <v>Abrir anúncio ↗</v>
      </c>
      <c r="E2216" s="9" t="s">
        <v>6272</v>
      </c>
      <c r="F2216" s="3" t="s">
        <v>29</v>
      </c>
      <c r="G2216" s="9" t="s">
        <v>9253</v>
      </c>
      <c r="H2216" s="9" t="s">
        <v>9254</v>
      </c>
      <c r="I2216" s="3"/>
      <c r="J2216" s="3"/>
      <c r="K2216" s="9"/>
    </row>
    <row r="2217" ht="15.75" customHeight="1">
      <c r="A2217" s="10" t="s">
        <v>12</v>
      </c>
      <c r="B2217" s="10" t="s">
        <v>359</v>
      </c>
      <c r="C2217" s="10" t="s">
        <v>6274</v>
      </c>
      <c r="D2217" s="11" t="str">
        <f t="shared" si="1"/>
        <v>Abrir anúncio ↗</v>
      </c>
      <c r="E2217" s="12" t="s">
        <v>6272</v>
      </c>
      <c r="F2217" s="10" t="s">
        <v>29</v>
      </c>
      <c r="G2217" s="12" t="s">
        <v>4918</v>
      </c>
      <c r="H2217" s="12" t="s">
        <v>4919</v>
      </c>
      <c r="I2217" s="10"/>
      <c r="J2217" s="10"/>
      <c r="K2217" s="12"/>
    </row>
    <row r="2218" ht="15.75" customHeight="1">
      <c r="A2218" s="3" t="s">
        <v>12</v>
      </c>
      <c r="B2218" s="3" t="s">
        <v>359</v>
      </c>
      <c r="C2218" s="3" t="s">
        <v>6753</v>
      </c>
      <c r="D2218" s="8" t="str">
        <f t="shared" si="1"/>
        <v>Abrir anúncio ↗</v>
      </c>
      <c r="E2218" s="9" t="s">
        <v>6752</v>
      </c>
      <c r="F2218" s="3" t="s">
        <v>29</v>
      </c>
      <c r="G2218" s="9" t="s">
        <v>4918</v>
      </c>
      <c r="H2218" s="9" t="s">
        <v>4919</v>
      </c>
      <c r="I2218" s="3"/>
      <c r="J2218" s="3"/>
      <c r="K2218" s="9"/>
    </row>
    <row r="2219" ht="15.75" customHeight="1">
      <c r="A2219" s="10" t="s">
        <v>12</v>
      </c>
      <c r="B2219" s="10" t="s">
        <v>359</v>
      </c>
      <c r="C2219" s="10" t="s">
        <v>10416</v>
      </c>
      <c r="D2219" s="11" t="str">
        <f t="shared" si="1"/>
        <v>Abrir anúncio ↗</v>
      </c>
      <c r="E2219" s="12" t="s">
        <v>10417</v>
      </c>
      <c r="F2219" s="10" t="s">
        <v>29</v>
      </c>
      <c r="G2219" s="12" t="s">
        <v>4918</v>
      </c>
      <c r="H2219" s="12" t="s">
        <v>4919</v>
      </c>
      <c r="I2219" s="10"/>
      <c r="J2219" s="10"/>
      <c r="K2219" s="12"/>
    </row>
    <row r="2220" ht="15.75" customHeight="1">
      <c r="A2220" s="3" t="s">
        <v>12</v>
      </c>
      <c r="B2220" s="3" t="s">
        <v>359</v>
      </c>
      <c r="C2220" s="3" t="s">
        <v>10418</v>
      </c>
      <c r="D2220" s="8" t="str">
        <f t="shared" si="1"/>
        <v>Abrir anúncio ↗</v>
      </c>
      <c r="E2220" s="9" t="s">
        <v>10419</v>
      </c>
      <c r="F2220" s="3" t="s">
        <v>29</v>
      </c>
      <c r="G2220" s="9" t="s">
        <v>4918</v>
      </c>
      <c r="H2220" s="9" t="s">
        <v>4919</v>
      </c>
      <c r="I2220" s="3"/>
      <c r="J2220" s="3"/>
      <c r="K2220" s="9"/>
    </row>
    <row r="2221" ht="15.75" customHeight="1">
      <c r="A2221" s="10" t="s">
        <v>12</v>
      </c>
      <c r="B2221" s="10" t="s">
        <v>359</v>
      </c>
      <c r="C2221" s="10" t="s">
        <v>6548</v>
      </c>
      <c r="D2221" s="11" t="str">
        <f t="shared" si="1"/>
        <v>Abrir anúncio ↗</v>
      </c>
      <c r="E2221" s="12" t="s">
        <v>3391</v>
      </c>
      <c r="F2221" s="10" t="s">
        <v>29</v>
      </c>
      <c r="G2221" s="12" t="s">
        <v>4918</v>
      </c>
      <c r="H2221" s="12" t="s">
        <v>4919</v>
      </c>
      <c r="I2221" s="10"/>
      <c r="J2221" s="10"/>
      <c r="K2221" s="12"/>
    </row>
    <row r="2222" ht="15.75" customHeight="1">
      <c r="A2222" s="3" t="s">
        <v>12</v>
      </c>
      <c r="B2222" s="3" t="s">
        <v>359</v>
      </c>
      <c r="C2222" s="3" t="s">
        <v>10420</v>
      </c>
      <c r="D2222" s="8" t="str">
        <f t="shared" si="1"/>
        <v>Abrir anúncio ↗</v>
      </c>
      <c r="E2222" s="9" t="s">
        <v>10421</v>
      </c>
      <c r="F2222" s="3" t="s">
        <v>86</v>
      </c>
      <c r="G2222" s="9" t="s">
        <v>9253</v>
      </c>
      <c r="H2222" s="9" t="s">
        <v>9254</v>
      </c>
      <c r="I2222" s="3"/>
      <c r="J2222" s="3"/>
      <c r="K2222" s="9"/>
    </row>
    <row r="2223" ht="15.75" customHeight="1">
      <c r="A2223" s="10" t="s">
        <v>12</v>
      </c>
      <c r="B2223" s="10" t="s">
        <v>359</v>
      </c>
      <c r="C2223" s="10" t="s">
        <v>10422</v>
      </c>
      <c r="D2223" s="11" t="str">
        <f t="shared" si="1"/>
        <v>Abrir anúncio ↗</v>
      </c>
      <c r="E2223" s="12" t="s">
        <v>10423</v>
      </c>
      <c r="F2223" s="10" t="s">
        <v>29</v>
      </c>
      <c r="G2223" s="12" t="s">
        <v>4918</v>
      </c>
      <c r="H2223" s="12" t="s">
        <v>4919</v>
      </c>
      <c r="I2223" s="10"/>
      <c r="J2223" s="10"/>
      <c r="K2223" s="12"/>
    </row>
    <row r="2224" ht="15.75" customHeight="1">
      <c r="A2224" s="3" t="s">
        <v>12</v>
      </c>
      <c r="B2224" s="3" t="s">
        <v>359</v>
      </c>
      <c r="C2224" s="3" t="s">
        <v>10424</v>
      </c>
      <c r="D2224" s="8" t="str">
        <f t="shared" si="1"/>
        <v>Abrir anúncio ↗</v>
      </c>
      <c r="E2224" s="9" t="s">
        <v>10425</v>
      </c>
      <c r="F2224" s="3" t="s">
        <v>29</v>
      </c>
      <c r="G2224" s="9" t="s">
        <v>4918</v>
      </c>
      <c r="H2224" s="9" t="s">
        <v>4919</v>
      </c>
      <c r="I2224" s="3"/>
      <c r="J2224" s="3"/>
      <c r="K2224" s="9"/>
    </row>
    <row r="2225" ht="15.75" customHeight="1">
      <c r="A2225" s="10" t="s">
        <v>12</v>
      </c>
      <c r="B2225" s="10" t="s">
        <v>359</v>
      </c>
      <c r="C2225" s="10" t="s">
        <v>10426</v>
      </c>
      <c r="D2225" s="11" t="str">
        <f t="shared" si="1"/>
        <v>Abrir anúncio ↗</v>
      </c>
      <c r="E2225" s="12" t="s">
        <v>10427</v>
      </c>
      <c r="F2225" s="10" t="s">
        <v>29</v>
      </c>
      <c r="G2225" s="12" t="s">
        <v>4918</v>
      </c>
      <c r="H2225" s="12" t="s">
        <v>4919</v>
      </c>
      <c r="I2225" s="10"/>
      <c r="J2225" s="10"/>
      <c r="K2225" s="12"/>
    </row>
    <row r="2226" ht="15.75" customHeight="1">
      <c r="A2226" s="3" t="s">
        <v>12</v>
      </c>
      <c r="B2226" s="3" t="s">
        <v>359</v>
      </c>
      <c r="C2226" s="3" t="s">
        <v>10428</v>
      </c>
      <c r="D2226" s="8" t="str">
        <f t="shared" si="1"/>
        <v>Abrir anúncio ↗</v>
      </c>
      <c r="E2226" s="9" t="s">
        <v>10429</v>
      </c>
      <c r="F2226" s="3" t="s">
        <v>29</v>
      </c>
      <c r="G2226" s="9" t="s">
        <v>4918</v>
      </c>
      <c r="H2226" s="9" t="s">
        <v>4919</v>
      </c>
      <c r="I2226" s="3"/>
      <c r="J2226" s="3"/>
      <c r="K2226" s="9"/>
    </row>
    <row r="2227" ht="15.75" customHeight="1">
      <c r="A2227" s="10" t="s">
        <v>12</v>
      </c>
      <c r="B2227" s="10" t="s">
        <v>359</v>
      </c>
      <c r="C2227" s="10" t="s">
        <v>10430</v>
      </c>
      <c r="D2227" s="11" t="str">
        <f t="shared" si="1"/>
        <v>Abrir anúncio ↗</v>
      </c>
      <c r="E2227" s="12" t="s">
        <v>10431</v>
      </c>
      <c r="F2227" s="10" t="s">
        <v>29</v>
      </c>
      <c r="G2227" s="12" t="s">
        <v>4918</v>
      </c>
      <c r="H2227" s="12" t="s">
        <v>4919</v>
      </c>
      <c r="I2227" s="10"/>
      <c r="J2227" s="10"/>
      <c r="K2227" s="12"/>
    </row>
    <row r="2228" ht="15.75" customHeight="1">
      <c r="A2228" s="3" t="s">
        <v>12</v>
      </c>
      <c r="B2228" s="3" t="s">
        <v>359</v>
      </c>
      <c r="C2228" s="3" t="s">
        <v>10432</v>
      </c>
      <c r="D2228" s="8" t="str">
        <f t="shared" si="1"/>
        <v>Abrir anúncio ↗</v>
      </c>
      <c r="E2228" s="9" t="s">
        <v>10433</v>
      </c>
      <c r="F2228" s="3" t="s">
        <v>29</v>
      </c>
      <c r="G2228" s="9" t="s">
        <v>4918</v>
      </c>
      <c r="H2228" s="9" t="s">
        <v>4919</v>
      </c>
      <c r="I2228" s="3"/>
      <c r="J2228" s="3"/>
      <c r="K2228" s="9"/>
    </row>
    <row r="2229" ht="15.75" customHeight="1">
      <c r="A2229" s="10" t="s">
        <v>12</v>
      </c>
      <c r="B2229" s="10" t="s">
        <v>359</v>
      </c>
      <c r="C2229" s="10" t="s">
        <v>10434</v>
      </c>
      <c r="D2229" s="11" t="str">
        <f t="shared" si="1"/>
        <v>Abrir anúncio ↗</v>
      </c>
      <c r="E2229" s="12" t="s">
        <v>10435</v>
      </c>
      <c r="F2229" s="10" t="s">
        <v>86</v>
      </c>
      <c r="G2229" s="12" t="s">
        <v>4918</v>
      </c>
      <c r="H2229" s="12" t="s">
        <v>4919</v>
      </c>
      <c r="I2229" s="10"/>
      <c r="J2229" s="10"/>
      <c r="K2229" s="12"/>
    </row>
    <row r="2230" ht="15.75" customHeight="1">
      <c r="A2230" s="3" t="s">
        <v>12</v>
      </c>
      <c r="B2230" s="3" t="s">
        <v>359</v>
      </c>
      <c r="C2230" s="3" t="s">
        <v>10436</v>
      </c>
      <c r="D2230" s="8" t="str">
        <f t="shared" si="1"/>
        <v>Abrir anúncio ↗</v>
      </c>
      <c r="E2230" s="9" t="s">
        <v>10437</v>
      </c>
      <c r="F2230" s="3" t="s">
        <v>29</v>
      </c>
      <c r="G2230" s="9" t="s">
        <v>4918</v>
      </c>
      <c r="H2230" s="9" t="s">
        <v>4919</v>
      </c>
      <c r="I2230" s="3"/>
      <c r="J2230" s="3"/>
      <c r="K2230" s="9"/>
    </row>
    <row r="2231" ht="15.75" customHeight="1">
      <c r="A2231" s="10" t="s">
        <v>12</v>
      </c>
      <c r="B2231" s="10" t="s">
        <v>359</v>
      </c>
      <c r="C2231" s="10" t="s">
        <v>10438</v>
      </c>
      <c r="D2231" s="11" t="str">
        <f t="shared" si="1"/>
        <v>Abrir anúncio ↗</v>
      </c>
      <c r="E2231" s="12" t="s">
        <v>10439</v>
      </c>
      <c r="F2231" s="10" t="s">
        <v>29</v>
      </c>
      <c r="G2231" s="12" t="s">
        <v>5013</v>
      </c>
      <c r="H2231" s="12" t="s">
        <v>5015</v>
      </c>
      <c r="I2231" s="10"/>
      <c r="J2231" s="10"/>
      <c r="K2231" s="12"/>
    </row>
    <row r="2232" ht="15.75" customHeight="1">
      <c r="A2232" s="3" t="s">
        <v>12</v>
      </c>
      <c r="B2232" s="3" t="s">
        <v>359</v>
      </c>
      <c r="C2232" s="3" t="s">
        <v>10440</v>
      </c>
      <c r="D2232" s="8" t="str">
        <f t="shared" si="1"/>
        <v>Abrir anúncio ↗</v>
      </c>
      <c r="E2232" s="9" t="s">
        <v>10441</v>
      </c>
      <c r="F2232" s="3" t="s">
        <v>29</v>
      </c>
      <c r="G2232" s="9" t="s">
        <v>4918</v>
      </c>
      <c r="H2232" s="9" t="s">
        <v>4919</v>
      </c>
      <c r="I2232" s="3"/>
      <c r="J2232" s="3"/>
      <c r="K2232" s="9"/>
    </row>
    <row r="2233" ht="15.75" customHeight="1">
      <c r="A2233" s="10" t="s">
        <v>12</v>
      </c>
      <c r="B2233" s="10" t="s">
        <v>359</v>
      </c>
      <c r="C2233" s="10" t="s">
        <v>10442</v>
      </c>
      <c r="D2233" s="11" t="str">
        <f t="shared" si="1"/>
        <v>Abrir anúncio ↗</v>
      </c>
      <c r="E2233" s="12" t="s">
        <v>10443</v>
      </c>
      <c r="F2233" s="10" t="s">
        <v>29</v>
      </c>
      <c r="G2233" s="12" t="s">
        <v>4918</v>
      </c>
      <c r="H2233" s="12" t="s">
        <v>4919</v>
      </c>
      <c r="I2233" s="10"/>
      <c r="J2233" s="10"/>
      <c r="K2233" s="12"/>
    </row>
    <row r="2234" ht="15.75" customHeight="1">
      <c r="A2234" s="3" t="s">
        <v>12</v>
      </c>
      <c r="B2234" s="3" t="s">
        <v>359</v>
      </c>
      <c r="C2234" s="3" t="s">
        <v>10444</v>
      </c>
      <c r="D2234" s="8" t="str">
        <f t="shared" si="1"/>
        <v>Abrir anúncio ↗</v>
      </c>
      <c r="E2234" s="9" t="s">
        <v>10445</v>
      </c>
      <c r="F2234" s="3" t="s">
        <v>29</v>
      </c>
      <c r="G2234" s="9" t="s">
        <v>4918</v>
      </c>
      <c r="H2234" s="9" t="s">
        <v>4919</v>
      </c>
      <c r="I2234" s="3"/>
      <c r="J2234" s="3"/>
      <c r="K2234" s="9"/>
    </row>
    <row r="2235" ht="15.75" customHeight="1">
      <c r="A2235" s="10" t="s">
        <v>12</v>
      </c>
      <c r="B2235" s="10" t="s">
        <v>359</v>
      </c>
      <c r="C2235" s="10" t="s">
        <v>10446</v>
      </c>
      <c r="D2235" s="11" t="str">
        <f t="shared" si="1"/>
        <v>Abrir anúncio ↗</v>
      </c>
      <c r="E2235" s="12" t="s">
        <v>10447</v>
      </c>
      <c r="F2235" s="10" t="s">
        <v>29</v>
      </c>
      <c r="G2235" s="12" t="s">
        <v>4918</v>
      </c>
      <c r="H2235" s="12" t="s">
        <v>4919</v>
      </c>
      <c r="I2235" s="10"/>
      <c r="J2235" s="10"/>
      <c r="K2235" s="12"/>
    </row>
    <row r="2236" ht="15.75" customHeight="1">
      <c r="A2236" s="3" t="s">
        <v>12</v>
      </c>
      <c r="B2236" s="3" t="s">
        <v>359</v>
      </c>
      <c r="C2236" s="3" t="s">
        <v>10448</v>
      </c>
      <c r="D2236" s="8" t="str">
        <f t="shared" si="1"/>
        <v>Abrir anúncio ↗</v>
      </c>
      <c r="E2236" s="9" t="s">
        <v>10449</v>
      </c>
      <c r="F2236" s="3" t="s">
        <v>29</v>
      </c>
      <c r="G2236" s="9" t="s">
        <v>4918</v>
      </c>
      <c r="H2236" s="9" t="s">
        <v>4919</v>
      </c>
      <c r="I2236" s="3"/>
      <c r="J2236" s="3"/>
      <c r="K2236" s="9"/>
    </row>
    <row r="2237" ht="15.75" customHeight="1">
      <c r="A2237" s="10" t="s">
        <v>12</v>
      </c>
      <c r="B2237" s="10" t="s">
        <v>359</v>
      </c>
      <c r="C2237" s="10" t="s">
        <v>10450</v>
      </c>
      <c r="D2237" s="11" t="str">
        <f t="shared" si="1"/>
        <v>Abrir anúncio ↗</v>
      </c>
      <c r="E2237" s="12" t="s">
        <v>10451</v>
      </c>
      <c r="F2237" s="10" t="s">
        <v>29</v>
      </c>
      <c r="G2237" s="12" t="s">
        <v>4918</v>
      </c>
      <c r="H2237" s="12" t="s">
        <v>4919</v>
      </c>
      <c r="I2237" s="10"/>
      <c r="J2237" s="10"/>
      <c r="K2237" s="12"/>
    </row>
    <row r="2238" ht="15.75" customHeight="1">
      <c r="A2238" s="3" t="s">
        <v>12</v>
      </c>
      <c r="B2238" s="3" t="s">
        <v>359</v>
      </c>
      <c r="C2238" s="3" t="s">
        <v>7727</v>
      </c>
      <c r="D2238" s="8" t="str">
        <f t="shared" si="1"/>
        <v>Abrir anúncio ↗</v>
      </c>
      <c r="E2238" s="9" t="s">
        <v>7724</v>
      </c>
      <c r="F2238" s="3" t="s">
        <v>29</v>
      </c>
      <c r="G2238" s="9" t="s">
        <v>4918</v>
      </c>
      <c r="H2238" s="9" t="s">
        <v>4919</v>
      </c>
      <c r="I2238" s="3"/>
      <c r="J2238" s="3"/>
      <c r="K2238" s="9"/>
    </row>
    <row r="2239" ht="15.75" customHeight="1">
      <c r="A2239" s="10" t="s">
        <v>12</v>
      </c>
      <c r="B2239" s="10" t="s">
        <v>359</v>
      </c>
      <c r="C2239" s="10" t="s">
        <v>10452</v>
      </c>
      <c r="D2239" s="11" t="str">
        <f t="shared" si="1"/>
        <v>Abrir anúncio ↗</v>
      </c>
      <c r="E2239" s="12" t="s">
        <v>10453</v>
      </c>
      <c r="F2239" s="10" t="s">
        <v>29</v>
      </c>
      <c r="G2239" s="12" t="s">
        <v>4918</v>
      </c>
      <c r="H2239" s="12" t="s">
        <v>4919</v>
      </c>
      <c r="I2239" s="10"/>
      <c r="J2239" s="10"/>
      <c r="K2239" s="12"/>
    </row>
    <row r="2240" ht="15.75" customHeight="1">
      <c r="A2240" s="3" t="s">
        <v>12</v>
      </c>
      <c r="B2240" s="3" t="s">
        <v>359</v>
      </c>
      <c r="C2240" s="3" t="s">
        <v>10454</v>
      </c>
      <c r="D2240" s="8" t="str">
        <f t="shared" si="1"/>
        <v>Abrir anúncio ↗</v>
      </c>
      <c r="E2240" s="9" t="s">
        <v>10455</v>
      </c>
      <c r="F2240" s="3" t="s">
        <v>29</v>
      </c>
      <c r="G2240" s="9" t="s">
        <v>4918</v>
      </c>
      <c r="H2240" s="9" t="s">
        <v>4919</v>
      </c>
      <c r="I2240" s="3"/>
      <c r="J2240" s="3"/>
      <c r="K2240" s="9"/>
    </row>
    <row r="2241" ht="15.75" customHeight="1">
      <c r="A2241" s="10" t="s">
        <v>12</v>
      </c>
      <c r="B2241" s="10" t="s">
        <v>359</v>
      </c>
      <c r="C2241" s="10" t="s">
        <v>8509</v>
      </c>
      <c r="D2241" s="11" t="str">
        <f t="shared" si="1"/>
        <v>Abrir anúncio ↗</v>
      </c>
      <c r="E2241" s="12" t="s">
        <v>8508</v>
      </c>
      <c r="F2241" s="10" t="s">
        <v>29</v>
      </c>
      <c r="G2241" s="12" t="s">
        <v>5013</v>
      </c>
      <c r="H2241" s="12" t="s">
        <v>5015</v>
      </c>
      <c r="I2241" s="10"/>
      <c r="J2241" s="10"/>
      <c r="K2241" s="12"/>
    </row>
    <row r="2242" ht="15.75" customHeight="1">
      <c r="A2242" s="3" t="s">
        <v>12</v>
      </c>
      <c r="B2242" s="3" t="s">
        <v>359</v>
      </c>
      <c r="C2242" s="3" t="s">
        <v>10456</v>
      </c>
      <c r="D2242" s="8" t="str">
        <f t="shared" si="1"/>
        <v>Abrir anúncio ↗</v>
      </c>
      <c r="E2242" s="9" t="s">
        <v>10457</v>
      </c>
      <c r="F2242" s="3" t="s">
        <v>86</v>
      </c>
      <c r="G2242" s="9" t="s">
        <v>4918</v>
      </c>
      <c r="H2242" s="9" t="s">
        <v>4919</v>
      </c>
      <c r="I2242" s="3"/>
      <c r="J2242" s="3"/>
      <c r="K2242" s="9"/>
    </row>
    <row r="2243" ht="15.75" customHeight="1">
      <c r="A2243" s="10" t="s">
        <v>12</v>
      </c>
      <c r="B2243" s="10" t="s">
        <v>359</v>
      </c>
      <c r="C2243" s="10" t="s">
        <v>10458</v>
      </c>
      <c r="D2243" s="11" t="str">
        <f t="shared" si="1"/>
        <v>Abrir anúncio ↗</v>
      </c>
      <c r="E2243" s="12" t="s">
        <v>10459</v>
      </c>
      <c r="F2243" s="10" t="s">
        <v>86</v>
      </c>
      <c r="G2243" s="12" t="s">
        <v>4918</v>
      </c>
      <c r="H2243" s="12" t="s">
        <v>4919</v>
      </c>
      <c r="I2243" s="10"/>
      <c r="J2243" s="10"/>
      <c r="K2243" s="12"/>
    </row>
    <row r="2244" ht="15.75" customHeight="1">
      <c r="A2244" s="3" t="s">
        <v>12</v>
      </c>
      <c r="B2244" s="3" t="s">
        <v>359</v>
      </c>
      <c r="C2244" s="3" t="s">
        <v>10460</v>
      </c>
      <c r="D2244" s="8" t="str">
        <f t="shared" si="1"/>
        <v>Abrir anúncio ↗</v>
      </c>
      <c r="E2244" s="9" t="s">
        <v>10461</v>
      </c>
      <c r="F2244" s="3" t="s">
        <v>86</v>
      </c>
      <c r="G2244" s="9" t="s">
        <v>9514</v>
      </c>
      <c r="H2244" s="9" t="s">
        <v>9515</v>
      </c>
      <c r="I2244" s="3"/>
      <c r="J2244" s="3"/>
      <c r="K2244" s="9"/>
    </row>
    <row r="2245" ht="15.75" customHeight="1">
      <c r="A2245" s="10" t="s">
        <v>12</v>
      </c>
      <c r="B2245" s="10" t="s">
        <v>359</v>
      </c>
      <c r="C2245" s="10" t="s">
        <v>10462</v>
      </c>
      <c r="D2245" s="11" t="str">
        <f t="shared" si="1"/>
        <v>Abrir anúncio ↗</v>
      </c>
      <c r="E2245" s="12" t="s">
        <v>10463</v>
      </c>
      <c r="F2245" s="10" t="s">
        <v>29</v>
      </c>
      <c r="G2245" s="12" t="s">
        <v>4918</v>
      </c>
      <c r="H2245" s="12" t="s">
        <v>4919</v>
      </c>
      <c r="I2245" s="10"/>
      <c r="J2245" s="10"/>
      <c r="K2245" s="12"/>
    </row>
    <row r="2246" ht="15.75" customHeight="1">
      <c r="A2246" s="3" t="s">
        <v>12</v>
      </c>
      <c r="B2246" s="3" t="s">
        <v>359</v>
      </c>
      <c r="C2246" s="3" t="s">
        <v>7000</v>
      </c>
      <c r="D2246" s="8" t="str">
        <f t="shared" si="1"/>
        <v>Abrir anúncio ↗</v>
      </c>
      <c r="E2246" s="9" t="s">
        <v>6999</v>
      </c>
      <c r="F2246" s="3" t="s">
        <v>29</v>
      </c>
      <c r="G2246" s="9" t="s">
        <v>4918</v>
      </c>
      <c r="H2246" s="9" t="s">
        <v>4919</v>
      </c>
      <c r="I2246" s="3"/>
      <c r="J2246" s="3"/>
      <c r="K2246" s="9"/>
    </row>
    <row r="2247" ht="15.75" customHeight="1">
      <c r="A2247" s="10" t="s">
        <v>12</v>
      </c>
      <c r="B2247" s="10" t="s">
        <v>359</v>
      </c>
      <c r="C2247" s="10" t="s">
        <v>10464</v>
      </c>
      <c r="D2247" s="11" t="str">
        <f t="shared" si="1"/>
        <v>Abrir anúncio ↗</v>
      </c>
      <c r="E2247" s="12" t="s">
        <v>10465</v>
      </c>
      <c r="F2247" s="10" t="s">
        <v>29</v>
      </c>
      <c r="G2247" s="12" t="s">
        <v>4918</v>
      </c>
      <c r="H2247" s="12" t="s">
        <v>4919</v>
      </c>
      <c r="I2247" s="10"/>
      <c r="J2247" s="10"/>
      <c r="K2247" s="12"/>
    </row>
    <row r="2248" ht="15.75" customHeight="1">
      <c r="A2248" s="3" t="s">
        <v>12</v>
      </c>
      <c r="B2248" s="3" t="s">
        <v>359</v>
      </c>
      <c r="C2248" s="3" t="s">
        <v>10466</v>
      </c>
      <c r="D2248" s="8" t="str">
        <f t="shared" si="1"/>
        <v>Abrir anúncio ↗</v>
      </c>
      <c r="E2248" s="9" t="s">
        <v>10467</v>
      </c>
      <c r="F2248" s="3" t="s">
        <v>29</v>
      </c>
      <c r="G2248" s="9" t="s">
        <v>4918</v>
      </c>
      <c r="H2248" s="9" t="s">
        <v>4919</v>
      </c>
      <c r="I2248" s="3"/>
      <c r="J2248" s="3"/>
      <c r="K2248" s="9"/>
    </row>
    <row r="2249" ht="15.75" customHeight="1">
      <c r="A2249" s="10" t="s">
        <v>12</v>
      </c>
      <c r="B2249" s="10" t="s">
        <v>359</v>
      </c>
      <c r="C2249" s="10" t="s">
        <v>10468</v>
      </c>
      <c r="D2249" s="11" t="str">
        <f t="shared" si="1"/>
        <v>Abrir anúncio ↗</v>
      </c>
      <c r="E2249" s="12" t="s">
        <v>10469</v>
      </c>
      <c r="F2249" s="10" t="s">
        <v>29</v>
      </c>
      <c r="G2249" s="12" t="s">
        <v>5013</v>
      </c>
      <c r="H2249" s="12" t="s">
        <v>5015</v>
      </c>
      <c r="I2249" s="10"/>
      <c r="J2249" s="10"/>
      <c r="K2249" s="12"/>
    </row>
    <row r="2250" ht="15.75" customHeight="1">
      <c r="A2250" s="3" t="s">
        <v>12</v>
      </c>
      <c r="B2250" s="3" t="s">
        <v>359</v>
      </c>
      <c r="C2250" s="3" t="s">
        <v>10470</v>
      </c>
      <c r="D2250" s="8" t="str">
        <f t="shared" si="1"/>
        <v>Abrir anúncio ↗</v>
      </c>
      <c r="E2250" s="9" t="s">
        <v>10471</v>
      </c>
      <c r="F2250" s="3" t="s">
        <v>29</v>
      </c>
      <c r="G2250" s="9" t="s">
        <v>4918</v>
      </c>
      <c r="H2250" s="9" t="s">
        <v>4919</v>
      </c>
      <c r="I2250" s="3"/>
      <c r="J2250" s="3"/>
      <c r="K2250" s="9"/>
    </row>
    <row r="2251" ht="15.75" customHeight="1">
      <c r="A2251" s="10" t="s">
        <v>12</v>
      </c>
      <c r="B2251" s="10" t="s">
        <v>359</v>
      </c>
      <c r="C2251" s="10" t="s">
        <v>10472</v>
      </c>
      <c r="D2251" s="11" t="str">
        <f t="shared" si="1"/>
        <v>Abrir anúncio ↗</v>
      </c>
      <c r="E2251" s="12" t="s">
        <v>10473</v>
      </c>
      <c r="F2251" s="10" t="s">
        <v>29</v>
      </c>
      <c r="G2251" s="12" t="s">
        <v>5013</v>
      </c>
      <c r="H2251" s="12" t="s">
        <v>5015</v>
      </c>
      <c r="I2251" s="10"/>
      <c r="J2251" s="10"/>
      <c r="K2251" s="12"/>
    </row>
    <row r="2252" ht="15.75" customHeight="1">
      <c r="A2252" s="3" t="s">
        <v>12</v>
      </c>
      <c r="B2252" s="3" t="s">
        <v>359</v>
      </c>
      <c r="C2252" s="3" t="s">
        <v>10474</v>
      </c>
      <c r="D2252" s="8" t="str">
        <f t="shared" si="1"/>
        <v>Abrir anúncio ↗</v>
      </c>
      <c r="E2252" s="9" t="s">
        <v>10475</v>
      </c>
      <c r="F2252" s="3" t="s">
        <v>29</v>
      </c>
      <c r="G2252" s="9" t="s">
        <v>5013</v>
      </c>
      <c r="H2252" s="9" t="s">
        <v>5015</v>
      </c>
      <c r="I2252" s="3"/>
      <c r="J2252" s="3"/>
      <c r="K2252" s="9"/>
    </row>
    <row r="2253" ht="15.75" customHeight="1">
      <c r="A2253" s="10" t="s">
        <v>12</v>
      </c>
      <c r="B2253" s="10" t="s">
        <v>359</v>
      </c>
      <c r="C2253" s="10" t="s">
        <v>10476</v>
      </c>
      <c r="D2253" s="11" t="str">
        <f t="shared" si="1"/>
        <v>Abrir anúncio ↗</v>
      </c>
      <c r="E2253" s="12" t="s">
        <v>10477</v>
      </c>
      <c r="F2253" s="10" t="s">
        <v>29</v>
      </c>
      <c r="G2253" s="12" t="s">
        <v>4918</v>
      </c>
      <c r="H2253" s="12" t="s">
        <v>4919</v>
      </c>
      <c r="I2253" s="10"/>
      <c r="J2253" s="10"/>
      <c r="K2253" s="12"/>
    </row>
    <row r="2254" ht="15.75" customHeight="1">
      <c r="A2254" s="3" t="s">
        <v>12</v>
      </c>
      <c r="B2254" s="3" t="s">
        <v>359</v>
      </c>
      <c r="C2254" s="3" t="s">
        <v>10478</v>
      </c>
      <c r="D2254" s="8" t="str">
        <f t="shared" si="1"/>
        <v>Abrir anúncio ↗</v>
      </c>
      <c r="E2254" s="9" t="s">
        <v>10479</v>
      </c>
      <c r="F2254" s="3" t="s">
        <v>29</v>
      </c>
      <c r="G2254" s="9" t="s">
        <v>4918</v>
      </c>
      <c r="H2254" s="9" t="s">
        <v>4919</v>
      </c>
      <c r="I2254" s="3"/>
      <c r="J2254" s="3"/>
      <c r="K2254" s="9"/>
    </row>
    <row r="2255" ht="15.75" customHeight="1">
      <c r="A2255" s="10" t="s">
        <v>12</v>
      </c>
      <c r="B2255" s="10" t="s">
        <v>359</v>
      </c>
      <c r="C2255" s="10" t="s">
        <v>10480</v>
      </c>
      <c r="D2255" s="11" t="str">
        <f t="shared" si="1"/>
        <v>Abrir anúncio ↗</v>
      </c>
      <c r="E2255" s="12" t="s">
        <v>10481</v>
      </c>
      <c r="F2255" s="10" t="s">
        <v>29</v>
      </c>
      <c r="G2255" s="12" t="s">
        <v>4918</v>
      </c>
      <c r="H2255" s="12" t="s">
        <v>4919</v>
      </c>
      <c r="I2255" s="10"/>
      <c r="J2255" s="10"/>
      <c r="K2255" s="12"/>
    </row>
    <row r="2256" ht="15.75" customHeight="1">
      <c r="A2256" s="3" t="s">
        <v>12</v>
      </c>
      <c r="B2256" s="3" t="s">
        <v>359</v>
      </c>
      <c r="C2256" s="3" t="s">
        <v>10482</v>
      </c>
      <c r="D2256" s="8" t="str">
        <f t="shared" si="1"/>
        <v>Abrir anúncio ↗</v>
      </c>
      <c r="E2256" s="9" t="s">
        <v>10483</v>
      </c>
      <c r="F2256" s="3" t="s">
        <v>29</v>
      </c>
      <c r="G2256" s="9" t="s">
        <v>4918</v>
      </c>
      <c r="H2256" s="9" t="s">
        <v>4919</v>
      </c>
      <c r="I2256" s="3"/>
      <c r="J2256" s="3"/>
      <c r="K2256" s="9"/>
    </row>
    <row r="2257" ht="15.75" customHeight="1">
      <c r="A2257" s="10" t="s">
        <v>12</v>
      </c>
      <c r="B2257" s="10" t="s">
        <v>359</v>
      </c>
      <c r="C2257" s="10" t="s">
        <v>10484</v>
      </c>
      <c r="D2257" s="11" t="str">
        <f t="shared" si="1"/>
        <v>Abrir anúncio ↗</v>
      </c>
      <c r="E2257" s="12" t="s">
        <v>10485</v>
      </c>
      <c r="F2257" s="10" t="s">
        <v>29</v>
      </c>
      <c r="G2257" s="12" t="s">
        <v>5013</v>
      </c>
      <c r="H2257" s="12" t="s">
        <v>5015</v>
      </c>
      <c r="I2257" s="10"/>
      <c r="J2257" s="10"/>
      <c r="K2257" s="12"/>
    </row>
    <row r="2258" ht="15.75" customHeight="1">
      <c r="A2258" s="3" t="s">
        <v>12</v>
      </c>
      <c r="B2258" s="3" t="s">
        <v>359</v>
      </c>
      <c r="C2258" s="3" t="s">
        <v>10486</v>
      </c>
      <c r="D2258" s="8" t="str">
        <f t="shared" si="1"/>
        <v>Abrir anúncio ↗</v>
      </c>
      <c r="E2258" s="9" t="s">
        <v>10487</v>
      </c>
      <c r="F2258" s="3" t="s">
        <v>29</v>
      </c>
      <c r="G2258" s="9" t="s">
        <v>5013</v>
      </c>
      <c r="H2258" s="9" t="s">
        <v>5015</v>
      </c>
      <c r="I2258" s="3"/>
      <c r="J2258" s="3"/>
      <c r="K2258" s="9"/>
    </row>
    <row r="2259" ht="15.75" customHeight="1">
      <c r="A2259" s="10" t="s">
        <v>12</v>
      </c>
      <c r="B2259" s="10" t="s">
        <v>359</v>
      </c>
      <c r="C2259" s="10" t="s">
        <v>10488</v>
      </c>
      <c r="D2259" s="11" t="str">
        <f t="shared" si="1"/>
        <v>Abrir anúncio ↗</v>
      </c>
      <c r="E2259" s="12" t="s">
        <v>10489</v>
      </c>
      <c r="F2259" s="10" t="s">
        <v>29</v>
      </c>
      <c r="G2259" s="12" t="s">
        <v>4918</v>
      </c>
      <c r="H2259" s="12" t="s">
        <v>4919</v>
      </c>
      <c r="I2259" s="10"/>
      <c r="J2259" s="10"/>
      <c r="K2259" s="12"/>
    </row>
    <row r="2260" ht="15.75" customHeight="1">
      <c r="A2260" s="3" t="s">
        <v>12</v>
      </c>
      <c r="B2260" s="3" t="s">
        <v>359</v>
      </c>
      <c r="C2260" s="3" t="s">
        <v>10490</v>
      </c>
      <c r="D2260" s="8" t="str">
        <f t="shared" si="1"/>
        <v>Abrir anúncio ↗</v>
      </c>
      <c r="E2260" s="9" t="s">
        <v>10491</v>
      </c>
      <c r="F2260" s="3" t="s">
        <v>29</v>
      </c>
      <c r="G2260" s="9" t="s">
        <v>4918</v>
      </c>
      <c r="H2260" s="9" t="s">
        <v>4919</v>
      </c>
      <c r="I2260" s="3"/>
      <c r="J2260" s="3"/>
      <c r="K2260" s="9"/>
    </row>
    <row r="2261" ht="15.75" customHeight="1">
      <c r="A2261" s="10" t="s">
        <v>12</v>
      </c>
      <c r="B2261" s="10" t="s">
        <v>359</v>
      </c>
      <c r="C2261" s="10" t="s">
        <v>10492</v>
      </c>
      <c r="D2261" s="11" t="str">
        <f t="shared" si="1"/>
        <v>Abrir anúncio ↗</v>
      </c>
      <c r="E2261" s="12" t="s">
        <v>10493</v>
      </c>
      <c r="F2261" s="10" t="s">
        <v>29</v>
      </c>
      <c r="G2261" s="12" t="s">
        <v>4918</v>
      </c>
      <c r="H2261" s="12" t="s">
        <v>4919</v>
      </c>
      <c r="I2261" s="10"/>
      <c r="J2261" s="10"/>
      <c r="K2261" s="12"/>
    </row>
    <row r="2262" ht="15.75" customHeight="1">
      <c r="A2262" s="3" t="s">
        <v>12</v>
      </c>
      <c r="B2262" s="3" t="s">
        <v>359</v>
      </c>
      <c r="C2262" s="3" t="s">
        <v>10494</v>
      </c>
      <c r="D2262" s="8" t="str">
        <f t="shared" si="1"/>
        <v>Abrir anúncio ↗</v>
      </c>
      <c r="E2262" s="9" t="s">
        <v>10495</v>
      </c>
      <c r="F2262" s="3" t="s">
        <v>86</v>
      </c>
      <c r="G2262" s="9" t="s">
        <v>4918</v>
      </c>
      <c r="H2262" s="9" t="s">
        <v>4919</v>
      </c>
      <c r="I2262" s="3"/>
      <c r="J2262" s="3"/>
      <c r="K2262" s="9"/>
    </row>
    <row r="2263" ht="15.75" customHeight="1">
      <c r="A2263" s="10" t="s">
        <v>12</v>
      </c>
      <c r="B2263" s="10" t="s">
        <v>359</v>
      </c>
      <c r="C2263" s="10" t="s">
        <v>10496</v>
      </c>
      <c r="D2263" s="11" t="str">
        <f t="shared" si="1"/>
        <v>Abrir anúncio ↗</v>
      </c>
      <c r="E2263" s="12" t="s">
        <v>10497</v>
      </c>
      <c r="F2263" s="10" t="s">
        <v>29</v>
      </c>
      <c r="G2263" s="12" t="s">
        <v>4918</v>
      </c>
      <c r="H2263" s="12" t="s">
        <v>4919</v>
      </c>
      <c r="I2263" s="10"/>
      <c r="J2263" s="10"/>
      <c r="K2263" s="12"/>
    </row>
    <row r="2264" ht="15.75" customHeight="1">
      <c r="A2264" s="3" t="s">
        <v>12</v>
      </c>
      <c r="B2264" s="3" t="s">
        <v>359</v>
      </c>
      <c r="C2264" s="3" t="s">
        <v>10498</v>
      </c>
      <c r="D2264" s="8" t="str">
        <f t="shared" si="1"/>
        <v>Abrir anúncio ↗</v>
      </c>
      <c r="E2264" s="9" t="s">
        <v>10499</v>
      </c>
      <c r="F2264" s="3" t="s">
        <v>86</v>
      </c>
      <c r="G2264" s="9" t="s">
        <v>4918</v>
      </c>
      <c r="H2264" s="9" t="s">
        <v>4919</v>
      </c>
      <c r="I2264" s="3"/>
      <c r="J2264" s="3"/>
      <c r="K2264" s="9"/>
    </row>
    <row r="2265" ht="15.75" customHeight="1">
      <c r="A2265" s="10" t="s">
        <v>12</v>
      </c>
      <c r="B2265" s="10" t="s">
        <v>359</v>
      </c>
      <c r="C2265" s="10" t="s">
        <v>7219</v>
      </c>
      <c r="D2265" s="11" t="str">
        <f t="shared" si="1"/>
        <v>Abrir anúncio ↗</v>
      </c>
      <c r="E2265" s="12" t="s">
        <v>7217</v>
      </c>
      <c r="F2265" s="10" t="s">
        <v>29</v>
      </c>
      <c r="G2265" s="12" t="s">
        <v>4918</v>
      </c>
      <c r="H2265" s="12" t="s">
        <v>4919</v>
      </c>
      <c r="I2265" s="10"/>
      <c r="J2265" s="10"/>
      <c r="K2265" s="12"/>
    </row>
    <row r="2266" ht="15.75" customHeight="1">
      <c r="A2266" s="3" t="s">
        <v>12</v>
      </c>
      <c r="B2266" s="3" t="s">
        <v>359</v>
      </c>
      <c r="C2266" s="3" t="s">
        <v>10500</v>
      </c>
      <c r="D2266" s="8" t="str">
        <f t="shared" si="1"/>
        <v>Abrir anúncio ↗</v>
      </c>
      <c r="E2266" s="9" t="s">
        <v>10501</v>
      </c>
      <c r="F2266" s="3" t="s">
        <v>86</v>
      </c>
      <c r="G2266" s="9" t="s">
        <v>4918</v>
      </c>
      <c r="H2266" s="9" t="s">
        <v>4919</v>
      </c>
      <c r="I2266" s="3"/>
      <c r="J2266" s="3"/>
      <c r="K2266" s="9"/>
    </row>
    <row r="2267" ht="15.75" customHeight="1">
      <c r="A2267" s="10" t="s">
        <v>12</v>
      </c>
      <c r="B2267" s="10" t="s">
        <v>359</v>
      </c>
      <c r="C2267" s="10" t="s">
        <v>10502</v>
      </c>
      <c r="D2267" s="11" t="str">
        <f t="shared" si="1"/>
        <v>Abrir anúncio ↗</v>
      </c>
      <c r="E2267" s="12" t="s">
        <v>10503</v>
      </c>
      <c r="F2267" s="10" t="s">
        <v>29</v>
      </c>
      <c r="G2267" s="12" t="s">
        <v>4918</v>
      </c>
      <c r="H2267" s="12" t="s">
        <v>4919</v>
      </c>
      <c r="I2267" s="10"/>
      <c r="J2267" s="10"/>
      <c r="K2267" s="12"/>
    </row>
    <row r="2268" ht="15.75" customHeight="1">
      <c r="A2268" s="3" t="s">
        <v>12</v>
      </c>
      <c r="B2268" s="3" t="s">
        <v>359</v>
      </c>
      <c r="C2268" s="3" t="s">
        <v>10504</v>
      </c>
      <c r="D2268" s="8" t="str">
        <f t="shared" si="1"/>
        <v>Abrir anúncio ↗</v>
      </c>
      <c r="E2268" s="9" t="s">
        <v>10505</v>
      </c>
      <c r="F2268" s="3" t="s">
        <v>29</v>
      </c>
      <c r="G2268" s="9" t="s">
        <v>4918</v>
      </c>
      <c r="H2268" s="9" t="s">
        <v>4919</v>
      </c>
      <c r="I2268" s="3"/>
      <c r="J2268" s="3"/>
      <c r="K2268" s="9"/>
    </row>
    <row r="2269" ht="15.75" customHeight="1">
      <c r="A2269" s="10" t="s">
        <v>12</v>
      </c>
      <c r="B2269" s="10" t="s">
        <v>359</v>
      </c>
      <c r="C2269" s="10" t="s">
        <v>10506</v>
      </c>
      <c r="D2269" s="11" t="str">
        <f t="shared" si="1"/>
        <v>Abrir anúncio ↗</v>
      </c>
      <c r="E2269" s="12" t="s">
        <v>10507</v>
      </c>
      <c r="F2269" s="10" t="s">
        <v>29</v>
      </c>
      <c r="G2269" s="12" t="s">
        <v>4918</v>
      </c>
      <c r="H2269" s="12" t="s">
        <v>4919</v>
      </c>
      <c r="I2269" s="10"/>
      <c r="J2269" s="10"/>
      <c r="K2269" s="12"/>
    </row>
    <row r="2270" ht="15.75" customHeight="1">
      <c r="A2270" s="3" t="s">
        <v>12</v>
      </c>
      <c r="B2270" s="3" t="s">
        <v>359</v>
      </c>
      <c r="C2270" s="3" t="s">
        <v>10508</v>
      </c>
      <c r="D2270" s="8" t="str">
        <f t="shared" si="1"/>
        <v>Abrir anúncio ↗</v>
      </c>
      <c r="E2270" s="9" t="s">
        <v>10509</v>
      </c>
      <c r="F2270" s="3" t="s">
        <v>29</v>
      </c>
      <c r="G2270" s="9" t="s">
        <v>4918</v>
      </c>
      <c r="H2270" s="9" t="s">
        <v>4919</v>
      </c>
      <c r="I2270" s="3"/>
      <c r="J2270" s="3"/>
      <c r="K2270" s="9"/>
    </row>
    <row r="2271" ht="15.75" customHeight="1">
      <c r="A2271" s="10" t="s">
        <v>12</v>
      </c>
      <c r="B2271" s="10" t="s">
        <v>359</v>
      </c>
      <c r="C2271" s="10" t="s">
        <v>10510</v>
      </c>
      <c r="D2271" s="11" t="str">
        <f t="shared" si="1"/>
        <v>Abrir anúncio ↗</v>
      </c>
      <c r="E2271" s="12" t="s">
        <v>10511</v>
      </c>
      <c r="F2271" s="10" t="s">
        <v>29</v>
      </c>
      <c r="G2271" s="12" t="s">
        <v>4918</v>
      </c>
      <c r="H2271" s="12" t="s">
        <v>4919</v>
      </c>
      <c r="I2271" s="10"/>
      <c r="J2271" s="10"/>
      <c r="K2271" s="12"/>
    </row>
    <row r="2272" ht="15.75" customHeight="1">
      <c r="A2272" s="3" t="s">
        <v>12</v>
      </c>
      <c r="B2272" s="3" t="s">
        <v>359</v>
      </c>
      <c r="C2272" s="3" t="s">
        <v>10512</v>
      </c>
      <c r="D2272" s="8" t="str">
        <f t="shared" si="1"/>
        <v>Abrir anúncio ↗</v>
      </c>
      <c r="E2272" s="9" t="s">
        <v>10513</v>
      </c>
      <c r="F2272" s="3" t="s">
        <v>29</v>
      </c>
      <c r="G2272" s="9" t="s">
        <v>4918</v>
      </c>
      <c r="H2272" s="9" t="s">
        <v>4919</v>
      </c>
      <c r="I2272" s="3"/>
      <c r="J2272" s="3"/>
      <c r="K2272" s="9"/>
    </row>
    <row r="2273" ht="15.75" customHeight="1">
      <c r="A2273" s="10" t="s">
        <v>12</v>
      </c>
      <c r="B2273" s="10" t="s">
        <v>359</v>
      </c>
      <c r="C2273" s="10" t="s">
        <v>10514</v>
      </c>
      <c r="D2273" s="11" t="str">
        <f t="shared" si="1"/>
        <v>Abrir anúncio ↗</v>
      </c>
      <c r="E2273" s="12" t="s">
        <v>10515</v>
      </c>
      <c r="F2273" s="10" t="s">
        <v>29</v>
      </c>
      <c r="G2273" s="12" t="s">
        <v>4918</v>
      </c>
      <c r="H2273" s="12" t="s">
        <v>4919</v>
      </c>
      <c r="I2273" s="10"/>
      <c r="J2273" s="10"/>
      <c r="K2273" s="12"/>
    </row>
    <row r="2274" ht="15.75" customHeight="1">
      <c r="A2274" s="3" t="s">
        <v>12</v>
      </c>
      <c r="B2274" s="3" t="s">
        <v>359</v>
      </c>
      <c r="C2274" s="3" t="s">
        <v>10516</v>
      </c>
      <c r="D2274" s="8" t="str">
        <f t="shared" si="1"/>
        <v>Abrir anúncio ↗</v>
      </c>
      <c r="E2274" s="9" t="s">
        <v>10517</v>
      </c>
      <c r="F2274" s="3" t="s">
        <v>29</v>
      </c>
      <c r="G2274" s="9" t="s">
        <v>4918</v>
      </c>
      <c r="H2274" s="9" t="s">
        <v>4919</v>
      </c>
      <c r="I2274" s="3"/>
      <c r="J2274" s="3"/>
      <c r="K2274" s="9"/>
    </row>
    <row r="2275" ht="15.75" customHeight="1">
      <c r="A2275" s="10" t="s">
        <v>12</v>
      </c>
      <c r="B2275" s="10" t="s">
        <v>359</v>
      </c>
      <c r="C2275" s="10" t="s">
        <v>10518</v>
      </c>
      <c r="D2275" s="11" t="str">
        <f t="shared" si="1"/>
        <v>Abrir anúncio ↗</v>
      </c>
      <c r="E2275" s="12" t="s">
        <v>10519</v>
      </c>
      <c r="F2275" s="10" t="s">
        <v>29</v>
      </c>
      <c r="G2275" s="12" t="s">
        <v>4918</v>
      </c>
      <c r="H2275" s="12" t="s">
        <v>4919</v>
      </c>
      <c r="I2275" s="10"/>
      <c r="J2275" s="10"/>
      <c r="K2275" s="12"/>
    </row>
    <row r="2276" ht="15.75" customHeight="1">
      <c r="A2276" s="3" t="s">
        <v>12</v>
      </c>
      <c r="B2276" s="3" t="s">
        <v>359</v>
      </c>
      <c r="C2276" s="3" t="s">
        <v>10520</v>
      </c>
      <c r="D2276" s="8" t="str">
        <f t="shared" si="1"/>
        <v>Abrir anúncio ↗</v>
      </c>
      <c r="E2276" s="9" t="s">
        <v>10521</v>
      </c>
      <c r="F2276" s="3" t="s">
        <v>29</v>
      </c>
      <c r="G2276" s="9" t="s">
        <v>4918</v>
      </c>
      <c r="H2276" s="9" t="s">
        <v>4919</v>
      </c>
      <c r="I2276" s="3"/>
      <c r="J2276" s="3"/>
      <c r="K2276" s="9"/>
    </row>
    <row r="2277" ht="15.75" customHeight="1">
      <c r="A2277" s="10" t="s">
        <v>12</v>
      </c>
      <c r="B2277" s="10" t="s">
        <v>359</v>
      </c>
      <c r="C2277" s="10" t="s">
        <v>10522</v>
      </c>
      <c r="D2277" s="11" t="str">
        <f t="shared" si="1"/>
        <v>Abrir anúncio ↗</v>
      </c>
      <c r="E2277" s="12" t="s">
        <v>10523</v>
      </c>
      <c r="F2277" s="10" t="s">
        <v>29</v>
      </c>
      <c r="G2277" s="12" t="s">
        <v>4918</v>
      </c>
      <c r="H2277" s="12" t="s">
        <v>4919</v>
      </c>
      <c r="I2277" s="10"/>
      <c r="J2277" s="10"/>
      <c r="K2277" s="12"/>
    </row>
    <row r="2278" ht="15.75" customHeight="1">
      <c r="A2278" s="3" t="s">
        <v>12</v>
      </c>
      <c r="B2278" s="3" t="s">
        <v>359</v>
      </c>
      <c r="C2278" s="3" t="s">
        <v>10524</v>
      </c>
      <c r="D2278" s="8" t="str">
        <f t="shared" si="1"/>
        <v>Abrir anúncio ↗</v>
      </c>
      <c r="E2278" s="9" t="s">
        <v>10525</v>
      </c>
      <c r="F2278" s="3" t="s">
        <v>29</v>
      </c>
      <c r="G2278" s="9" t="s">
        <v>4918</v>
      </c>
      <c r="H2278" s="9" t="s">
        <v>4919</v>
      </c>
      <c r="I2278" s="3"/>
      <c r="J2278" s="3"/>
      <c r="K2278" s="9"/>
    </row>
    <row r="2279" ht="15.75" customHeight="1">
      <c r="A2279" s="10" t="s">
        <v>12</v>
      </c>
      <c r="B2279" s="10" t="s">
        <v>359</v>
      </c>
      <c r="C2279" s="10" t="s">
        <v>10526</v>
      </c>
      <c r="D2279" s="11" t="str">
        <f t="shared" si="1"/>
        <v>Abrir anúncio ↗</v>
      </c>
      <c r="E2279" s="12" t="s">
        <v>10527</v>
      </c>
      <c r="F2279" s="10" t="s">
        <v>29</v>
      </c>
      <c r="G2279" s="12" t="s">
        <v>4918</v>
      </c>
      <c r="H2279" s="12" t="s">
        <v>4919</v>
      </c>
      <c r="I2279" s="10"/>
      <c r="J2279" s="10"/>
      <c r="K2279" s="12"/>
    </row>
    <row r="2280" ht="15.75" customHeight="1">
      <c r="A2280" s="3" t="s">
        <v>12</v>
      </c>
      <c r="B2280" s="3" t="s">
        <v>359</v>
      </c>
      <c r="C2280" s="3" t="s">
        <v>10528</v>
      </c>
      <c r="D2280" s="8" t="str">
        <f t="shared" si="1"/>
        <v>Abrir anúncio ↗</v>
      </c>
      <c r="E2280" s="9" t="s">
        <v>10529</v>
      </c>
      <c r="F2280" s="3" t="s">
        <v>29</v>
      </c>
      <c r="G2280" s="9" t="s">
        <v>4918</v>
      </c>
      <c r="H2280" s="9" t="s">
        <v>4919</v>
      </c>
      <c r="I2280" s="3"/>
      <c r="J2280" s="3"/>
      <c r="K2280" s="9"/>
    </row>
    <row r="2281" ht="15.75" customHeight="1">
      <c r="A2281" s="10" t="s">
        <v>12</v>
      </c>
      <c r="B2281" s="10" t="s">
        <v>359</v>
      </c>
      <c r="C2281" s="10" t="s">
        <v>10530</v>
      </c>
      <c r="D2281" s="11" t="str">
        <f t="shared" si="1"/>
        <v>Abrir anúncio ↗</v>
      </c>
      <c r="E2281" s="12" t="s">
        <v>10531</v>
      </c>
      <c r="F2281" s="10" t="s">
        <v>29</v>
      </c>
      <c r="G2281" s="12" t="s">
        <v>4918</v>
      </c>
      <c r="H2281" s="12" t="s">
        <v>4919</v>
      </c>
      <c r="I2281" s="10"/>
      <c r="J2281" s="10"/>
      <c r="K2281" s="12"/>
    </row>
    <row r="2282" ht="15.75" customHeight="1">
      <c r="A2282" s="3" t="s">
        <v>12</v>
      </c>
      <c r="B2282" s="3" t="s">
        <v>359</v>
      </c>
      <c r="C2282" s="3" t="s">
        <v>6323</v>
      </c>
      <c r="D2282" s="8" t="str">
        <f t="shared" si="1"/>
        <v>Abrir anúncio ↗</v>
      </c>
      <c r="E2282" s="9" t="s">
        <v>3452</v>
      </c>
      <c r="F2282" s="3" t="s">
        <v>29</v>
      </c>
      <c r="G2282" s="9" t="s">
        <v>4918</v>
      </c>
      <c r="H2282" s="9" t="s">
        <v>4919</v>
      </c>
      <c r="I2282" s="3"/>
      <c r="J2282" s="3"/>
      <c r="K2282" s="9"/>
    </row>
    <row r="2283" ht="15.75" customHeight="1">
      <c r="A2283" s="10" t="s">
        <v>12</v>
      </c>
      <c r="B2283" s="10" t="s">
        <v>359</v>
      </c>
      <c r="C2283" s="10" t="s">
        <v>10532</v>
      </c>
      <c r="D2283" s="11" t="str">
        <f t="shared" si="1"/>
        <v>Abrir anúncio ↗</v>
      </c>
      <c r="E2283" s="12" t="s">
        <v>10533</v>
      </c>
      <c r="F2283" s="10" t="s">
        <v>29</v>
      </c>
      <c r="G2283" s="12" t="s">
        <v>9285</v>
      </c>
      <c r="H2283" s="12" t="s">
        <v>10534</v>
      </c>
      <c r="I2283" s="10"/>
      <c r="J2283" s="10"/>
      <c r="K2283" s="12"/>
    </row>
    <row r="2284" ht="15.75" customHeight="1">
      <c r="A2284" s="3" t="s">
        <v>12</v>
      </c>
      <c r="B2284" s="3" t="s">
        <v>359</v>
      </c>
      <c r="C2284" s="3" t="s">
        <v>8306</v>
      </c>
      <c r="D2284" s="8" t="str">
        <f t="shared" si="1"/>
        <v>Abrir anúncio ↗</v>
      </c>
      <c r="E2284" s="9" t="s">
        <v>8304</v>
      </c>
      <c r="F2284" s="3" t="s">
        <v>29</v>
      </c>
      <c r="G2284" s="9" t="s">
        <v>4918</v>
      </c>
      <c r="H2284" s="9" t="s">
        <v>4919</v>
      </c>
      <c r="I2284" s="3"/>
      <c r="J2284" s="3"/>
      <c r="K2284" s="9"/>
    </row>
    <row r="2285" ht="15.75" customHeight="1">
      <c r="A2285" s="10" t="s">
        <v>12</v>
      </c>
      <c r="B2285" s="10" t="s">
        <v>359</v>
      </c>
      <c r="C2285" s="10" t="s">
        <v>10535</v>
      </c>
      <c r="D2285" s="11" t="str">
        <f t="shared" si="1"/>
        <v>Abrir anúncio ↗</v>
      </c>
      <c r="E2285" s="12" t="s">
        <v>10536</v>
      </c>
      <c r="F2285" s="10" t="s">
        <v>29</v>
      </c>
      <c r="G2285" s="12" t="s">
        <v>4918</v>
      </c>
      <c r="H2285" s="12" t="s">
        <v>4919</v>
      </c>
      <c r="I2285" s="10"/>
      <c r="J2285" s="10"/>
      <c r="K2285" s="12"/>
    </row>
    <row r="2286" ht="15.75" customHeight="1">
      <c r="A2286" s="3" t="s">
        <v>12</v>
      </c>
      <c r="B2286" s="3" t="s">
        <v>359</v>
      </c>
      <c r="C2286" s="3" t="s">
        <v>7826</v>
      </c>
      <c r="D2286" s="8" t="str">
        <f t="shared" si="1"/>
        <v>Abrir anúncio ↗</v>
      </c>
      <c r="E2286" s="9" t="s">
        <v>7821</v>
      </c>
      <c r="F2286" s="3" t="s">
        <v>29</v>
      </c>
      <c r="G2286" s="9" t="s">
        <v>4918</v>
      </c>
      <c r="H2286" s="9" t="s">
        <v>4919</v>
      </c>
      <c r="I2286" s="3"/>
      <c r="J2286" s="3"/>
      <c r="K2286" s="9"/>
    </row>
    <row r="2287" ht="15.75" customHeight="1">
      <c r="A2287" s="10" t="s">
        <v>12</v>
      </c>
      <c r="B2287" s="10" t="s">
        <v>359</v>
      </c>
      <c r="C2287" s="10" t="s">
        <v>10537</v>
      </c>
      <c r="D2287" s="11" t="str">
        <f t="shared" si="1"/>
        <v>Abrir anúncio ↗</v>
      </c>
      <c r="E2287" s="12" t="s">
        <v>10538</v>
      </c>
      <c r="F2287" s="10" t="s">
        <v>29</v>
      </c>
      <c r="G2287" s="12" t="s">
        <v>4918</v>
      </c>
      <c r="H2287" s="12" t="s">
        <v>4919</v>
      </c>
      <c r="I2287" s="10"/>
      <c r="J2287" s="10"/>
      <c r="K2287" s="12"/>
    </row>
    <row r="2288" ht="15.75" customHeight="1">
      <c r="A2288" s="3" t="s">
        <v>12</v>
      </c>
      <c r="B2288" s="3" t="s">
        <v>359</v>
      </c>
      <c r="C2288" s="3" t="s">
        <v>10539</v>
      </c>
      <c r="D2288" s="8" t="str">
        <f t="shared" si="1"/>
        <v>Abrir anúncio ↗</v>
      </c>
      <c r="E2288" s="9" t="s">
        <v>10540</v>
      </c>
      <c r="F2288" s="3" t="s">
        <v>29</v>
      </c>
      <c r="G2288" s="9" t="s">
        <v>9285</v>
      </c>
      <c r="H2288" s="9" t="s">
        <v>10534</v>
      </c>
      <c r="I2288" s="3"/>
      <c r="J2288" s="3"/>
      <c r="K2288" s="9"/>
    </row>
    <row r="2289" ht="15.75" customHeight="1">
      <c r="A2289" s="10" t="s">
        <v>12</v>
      </c>
      <c r="B2289" s="10" t="s">
        <v>359</v>
      </c>
      <c r="C2289" s="10" t="s">
        <v>10541</v>
      </c>
      <c r="D2289" s="11" t="str">
        <f t="shared" si="1"/>
        <v>Abrir anúncio ↗</v>
      </c>
      <c r="E2289" s="12" t="s">
        <v>10542</v>
      </c>
      <c r="F2289" s="10" t="s">
        <v>29</v>
      </c>
      <c r="G2289" s="12" t="s">
        <v>4918</v>
      </c>
      <c r="H2289" s="12" t="s">
        <v>4919</v>
      </c>
      <c r="I2289" s="10"/>
      <c r="J2289" s="10"/>
      <c r="K2289" s="12"/>
    </row>
    <row r="2290" ht="15.75" customHeight="1">
      <c r="A2290" s="3" t="s">
        <v>12</v>
      </c>
      <c r="B2290" s="3" t="s">
        <v>359</v>
      </c>
      <c r="C2290" s="3" t="s">
        <v>10543</v>
      </c>
      <c r="D2290" s="8" t="str">
        <f t="shared" si="1"/>
        <v>Abrir anúncio ↗</v>
      </c>
      <c r="E2290" s="9" t="s">
        <v>10544</v>
      </c>
      <c r="F2290" s="3" t="s">
        <v>29</v>
      </c>
      <c r="G2290" s="9" t="s">
        <v>4918</v>
      </c>
      <c r="H2290" s="9" t="s">
        <v>4919</v>
      </c>
      <c r="I2290" s="3"/>
      <c r="J2290" s="3"/>
      <c r="K2290" s="9"/>
    </row>
    <row r="2291" ht="15.75" customHeight="1">
      <c r="A2291" s="10" t="s">
        <v>12</v>
      </c>
      <c r="B2291" s="10" t="s">
        <v>359</v>
      </c>
      <c r="C2291" s="10" t="s">
        <v>10545</v>
      </c>
      <c r="D2291" s="11" t="str">
        <f t="shared" si="1"/>
        <v>Abrir anúncio ↗</v>
      </c>
      <c r="E2291" s="12" t="s">
        <v>10546</v>
      </c>
      <c r="F2291" s="10" t="s">
        <v>29</v>
      </c>
      <c r="G2291" s="12" t="s">
        <v>4918</v>
      </c>
      <c r="H2291" s="12" t="s">
        <v>4919</v>
      </c>
      <c r="I2291" s="10"/>
      <c r="J2291" s="10"/>
      <c r="K2291" s="12"/>
    </row>
    <row r="2292" ht="15.75" customHeight="1">
      <c r="A2292" s="3" t="s">
        <v>12</v>
      </c>
      <c r="B2292" s="3" t="s">
        <v>359</v>
      </c>
      <c r="C2292" s="3" t="s">
        <v>10547</v>
      </c>
      <c r="D2292" s="8" t="str">
        <f t="shared" si="1"/>
        <v>Abrir anúncio ↗</v>
      </c>
      <c r="E2292" s="9" t="s">
        <v>10548</v>
      </c>
      <c r="F2292" s="3" t="s">
        <v>29</v>
      </c>
      <c r="G2292" s="9" t="s">
        <v>9285</v>
      </c>
      <c r="H2292" s="9" t="s">
        <v>10534</v>
      </c>
      <c r="I2292" s="3"/>
      <c r="J2292" s="3"/>
      <c r="K2292" s="9"/>
    </row>
    <row r="2293" ht="15.75" customHeight="1">
      <c r="A2293" s="10" t="s">
        <v>12</v>
      </c>
      <c r="B2293" s="10" t="s">
        <v>359</v>
      </c>
      <c r="C2293" s="10" t="s">
        <v>10549</v>
      </c>
      <c r="D2293" s="11" t="str">
        <f t="shared" si="1"/>
        <v>Abrir anúncio ↗</v>
      </c>
      <c r="E2293" s="12" t="s">
        <v>10550</v>
      </c>
      <c r="F2293" s="10" t="s">
        <v>29</v>
      </c>
      <c r="G2293" s="12" t="s">
        <v>4918</v>
      </c>
      <c r="H2293" s="12" t="s">
        <v>4919</v>
      </c>
      <c r="I2293" s="10"/>
      <c r="J2293" s="10"/>
      <c r="K2293" s="12"/>
    </row>
    <row r="2294" ht="15.75" customHeight="1">
      <c r="A2294" s="3" t="s">
        <v>12</v>
      </c>
      <c r="B2294" s="3" t="s">
        <v>359</v>
      </c>
      <c r="C2294" s="3" t="s">
        <v>6330</v>
      </c>
      <c r="D2294" s="8" t="str">
        <f t="shared" si="1"/>
        <v>Abrir anúncio ↗</v>
      </c>
      <c r="E2294" s="9" t="s">
        <v>3538</v>
      </c>
      <c r="F2294" s="3" t="s">
        <v>29</v>
      </c>
      <c r="G2294" s="9" t="s">
        <v>4918</v>
      </c>
      <c r="H2294" s="9" t="s">
        <v>4919</v>
      </c>
      <c r="I2294" s="3"/>
      <c r="J2294" s="3"/>
      <c r="K2294" s="9"/>
    </row>
    <row r="2295" ht="15.75" customHeight="1">
      <c r="A2295" s="10" t="s">
        <v>12</v>
      </c>
      <c r="B2295" s="10" t="s">
        <v>359</v>
      </c>
      <c r="C2295" s="10" t="s">
        <v>10551</v>
      </c>
      <c r="D2295" s="11" t="str">
        <f t="shared" si="1"/>
        <v>Abrir anúncio ↗</v>
      </c>
      <c r="E2295" s="12" t="s">
        <v>10552</v>
      </c>
      <c r="F2295" s="10" t="s">
        <v>29</v>
      </c>
      <c r="G2295" s="12" t="s">
        <v>4918</v>
      </c>
      <c r="H2295" s="12" t="s">
        <v>4919</v>
      </c>
      <c r="I2295" s="10"/>
      <c r="J2295" s="10"/>
      <c r="K2295" s="12"/>
    </row>
    <row r="2296" ht="15.75" customHeight="1">
      <c r="A2296" s="3" t="s">
        <v>12</v>
      </c>
      <c r="B2296" s="3" t="s">
        <v>359</v>
      </c>
      <c r="C2296" s="3" t="s">
        <v>10553</v>
      </c>
      <c r="D2296" s="8" t="str">
        <f t="shared" si="1"/>
        <v>Abrir anúncio ↗</v>
      </c>
      <c r="E2296" s="9" t="s">
        <v>10554</v>
      </c>
      <c r="F2296" s="3" t="s">
        <v>29</v>
      </c>
      <c r="G2296" s="9" t="s">
        <v>4918</v>
      </c>
      <c r="H2296" s="9" t="s">
        <v>4919</v>
      </c>
      <c r="I2296" s="3"/>
      <c r="J2296" s="3"/>
      <c r="K2296" s="9"/>
    </row>
    <row r="2297" ht="15.75" customHeight="1">
      <c r="A2297" s="10" t="s">
        <v>12</v>
      </c>
      <c r="B2297" s="10" t="s">
        <v>359</v>
      </c>
      <c r="C2297" s="10" t="s">
        <v>10555</v>
      </c>
      <c r="D2297" s="11" t="str">
        <f t="shared" si="1"/>
        <v>Abrir anúncio ↗</v>
      </c>
      <c r="E2297" s="12" t="s">
        <v>10556</v>
      </c>
      <c r="F2297" s="10" t="s">
        <v>29</v>
      </c>
      <c r="G2297" s="12" t="s">
        <v>4918</v>
      </c>
      <c r="H2297" s="12" t="s">
        <v>4919</v>
      </c>
      <c r="I2297" s="10"/>
      <c r="J2297" s="10"/>
      <c r="K2297" s="12"/>
    </row>
    <row r="2298" ht="15.75" customHeight="1">
      <c r="A2298" s="3" t="s">
        <v>12</v>
      </c>
      <c r="B2298" s="3" t="s">
        <v>359</v>
      </c>
      <c r="C2298" s="3" t="s">
        <v>10557</v>
      </c>
      <c r="D2298" s="8" t="str">
        <f t="shared" si="1"/>
        <v>Abrir anúncio ↗</v>
      </c>
      <c r="E2298" s="9" t="s">
        <v>10558</v>
      </c>
      <c r="F2298" s="3" t="s">
        <v>29</v>
      </c>
      <c r="G2298" s="9" t="s">
        <v>4918</v>
      </c>
      <c r="H2298" s="9" t="s">
        <v>4919</v>
      </c>
      <c r="I2298" s="3"/>
      <c r="J2298" s="3"/>
      <c r="K2298" s="9"/>
    </row>
    <row r="2299" ht="15.75" customHeight="1">
      <c r="A2299" s="10" t="s">
        <v>12</v>
      </c>
      <c r="B2299" s="10" t="s">
        <v>359</v>
      </c>
      <c r="C2299" s="10" t="s">
        <v>10559</v>
      </c>
      <c r="D2299" s="11" t="str">
        <f t="shared" si="1"/>
        <v>Abrir anúncio ↗</v>
      </c>
      <c r="E2299" s="12" t="s">
        <v>10560</v>
      </c>
      <c r="F2299" s="10" t="s">
        <v>29</v>
      </c>
      <c r="G2299" s="12" t="s">
        <v>4918</v>
      </c>
      <c r="H2299" s="12" t="s">
        <v>4919</v>
      </c>
      <c r="I2299" s="10"/>
      <c r="J2299" s="10"/>
      <c r="K2299" s="12"/>
    </row>
    <row r="2300" ht="15.75" customHeight="1">
      <c r="A2300" s="3" t="s">
        <v>12</v>
      </c>
      <c r="B2300" s="3" t="s">
        <v>359</v>
      </c>
      <c r="C2300" s="3" t="s">
        <v>10561</v>
      </c>
      <c r="D2300" s="8" t="str">
        <f t="shared" si="1"/>
        <v>Abrir anúncio ↗</v>
      </c>
      <c r="E2300" s="9" t="s">
        <v>10562</v>
      </c>
      <c r="F2300" s="3" t="s">
        <v>29</v>
      </c>
      <c r="G2300" s="9" t="s">
        <v>4918</v>
      </c>
      <c r="H2300" s="9" t="s">
        <v>4919</v>
      </c>
      <c r="I2300" s="3"/>
      <c r="J2300" s="3"/>
      <c r="K2300" s="9"/>
    </row>
    <row r="2301" ht="15.75" customHeight="1">
      <c r="A2301" s="10" t="s">
        <v>12</v>
      </c>
      <c r="B2301" s="10" t="s">
        <v>359</v>
      </c>
      <c r="C2301" s="10" t="s">
        <v>10563</v>
      </c>
      <c r="D2301" s="11" t="str">
        <f t="shared" si="1"/>
        <v>Abrir anúncio ↗</v>
      </c>
      <c r="E2301" s="12" t="s">
        <v>10564</v>
      </c>
      <c r="F2301" s="10" t="s">
        <v>29</v>
      </c>
      <c r="G2301" s="12" t="s">
        <v>4918</v>
      </c>
      <c r="H2301" s="12" t="s">
        <v>4919</v>
      </c>
      <c r="I2301" s="10"/>
      <c r="J2301" s="10"/>
      <c r="K2301" s="12"/>
    </row>
    <row r="2302" ht="15.75" customHeight="1">
      <c r="A2302" s="3" t="s">
        <v>12</v>
      </c>
      <c r="B2302" s="3" t="s">
        <v>359</v>
      </c>
      <c r="C2302" s="3" t="s">
        <v>6482</v>
      </c>
      <c r="D2302" s="8" t="str">
        <f t="shared" si="1"/>
        <v>Abrir anúncio ↗</v>
      </c>
      <c r="E2302" s="9" t="s">
        <v>6474</v>
      </c>
      <c r="F2302" s="3" t="s">
        <v>29</v>
      </c>
      <c r="G2302" s="9" t="s">
        <v>4918</v>
      </c>
      <c r="H2302" s="9" t="s">
        <v>4919</v>
      </c>
      <c r="I2302" s="3"/>
      <c r="J2302" s="3"/>
      <c r="K2302" s="9"/>
    </row>
    <row r="2303" ht="15.75" customHeight="1">
      <c r="A2303" s="10" t="s">
        <v>12</v>
      </c>
      <c r="B2303" s="10" t="s">
        <v>359</v>
      </c>
      <c r="C2303" s="10" t="s">
        <v>10565</v>
      </c>
      <c r="D2303" s="11" t="str">
        <f t="shared" si="1"/>
        <v>Abrir anúncio ↗</v>
      </c>
      <c r="E2303" s="12" t="s">
        <v>10566</v>
      </c>
      <c r="F2303" s="10" t="s">
        <v>29</v>
      </c>
      <c r="G2303" s="12" t="s">
        <v>4918</v>
      </c>
      <c r="H2303" s="12" t="s">
        <v>4919</v>
      </c>
      <c r="I2303" s="10"/>
      <c r="J2303" s="10"/>
      <c r="K2303" s="12"/>
    </row>
    <row r="2304" ht="15.75" customHeight="1">
      <c r="A2304" s="3" t="s">
        <v>12</v>
      </c>
      <c r="B2304" s="3" t="s">
        <v>359</v>
      </c>
      <c r="C2304" s="3" t="s">
        <v>7794</v>
      </c>
      <c r="D2304" s="8" t="str">
        <f t="shared" si="1"/>
        <v>Abrir anúncio ↗</v>
      </c>
      <c r="E2304" s="9" t="s">
        <v>7793</v>
      </c>
      <c r="F2304" s="3" t="s">
        <v>29</v>
      </c>
      <c r="G2304" s="9" t="s">
        <v>4918</v>
      </c>
      <c r="H2304" s="9" t="s">
        <v>4919</v>
      </c>
      <c r="I2304" s="3"/>
      <c r="J2304" s="3"/>
      <c r="K2304" s="9"/>
    </row>
    <row r="2305" ht="15.75" customHeight="1">
      <c r="A2305" s="10" t="s">
        <v>12</v>
      </c>
      <c r="B2305" s="10" t="s">
        <v>359</v>
      </c>
      <c r="C2305" s="10" t="s">
        <v>6594</v>
      </c>
      <c r="D2305" s="11" t="str">
        <f t="shared" si="1"/>
        <v>Abrir anúncio ↗</v>
      </c>
      <c r="E2305" s="12" t="s">
        <v>6588</v>
      </c>
      <c r="F2305" s="10" t="s">
        <v>29</v>
      </c>
      <c r="G2305" s="12" t="s">
        <v>4918</v>
      </c>
      <c r="H2305" s="12" t="s">
        <v>4919</v>
      </c>
      <c r="I2305" s="10"/>
      <c r="J2305" s="10"/>
      <c r="K2305" s="12"/>
    </row>
    <row r="2306" ht="15.75" customHeight="1">
      <c r="A2306" s="3" t="s">
        <v>12</v>
      </c>
      <c r="B2306" s="3" t="s">
        <v>359</v>
      </c>
      <c r="C2306" s="3" t="s">
        <v>10567</v>
      </c>
      <c r="D2306" s="8" t="str">
        <f t="shared" si="1"/>
        <v>Abrir anúncio ↗</v>
      </c>
      <c r="E2306" s="9" t="s">
        <v>10568</v>
      </c>
      <c r="F2306" s="3" t="s">
        <v>29</v>
      </c>
      <c r="G2306" s="9" t="s">
        <v>4918</v>
      </c>
      <c r="H2306" s="9" t="s">
        <v>4919</v>
      </c>
      <c r="I2306" s="3"/>
      <c r="J2306" s="3"/>
      <c r="K2306" s="9"/>
    </row>
    <row r="2307" ht="15.75" customHeight="1">
      <c r="A2307" s="10" t="s">
        <v>12</v>
      </c>
      <c r="B2307" s="10" t="s">
        <v>359</v>
      </c>
      <c r="C2307" s="10" t="s">
        <v>6565</v>
      </c>
      <c r="D2307" s="11" t="str">
        <f t="shared" si="1"/>
        <v>Abrir anúncio ↗</v>
      </c>
      <c r="E2307" s="12" t="s">
        <v>3486</v>
      </c>
      <c r="F2307" s="10" t="s">
        <v>29</v>
      </c>
      <c r="G2307" s="12" t="s">
        <v>4918</v>
      </c>
      <c r="H2307" s="12" t="s">
        <v>4919</v>
      </c>
      <c r="I2307" s="10"/>
      <c r="J2307" s="10"/>
      <c r="K2307" s="12"/>
    </row>
    <row r="2308" ht="15.75" customHeight="1">
      <c r="A2308" s="3" t="s">
        <v>12</v>
      </c>
      <c r="B2308" s="3" t="s">
        <v>359</v>
      </c>
      <c r="C2308" s="3" t="s">
        <v>6313</v>
      </c>
      <c r="D2308" s="8" t="str">
        <f t="shared" si="1"/>
        <v>Abrir anúncio ↗</v>
      </c>
      <c r="E2308" s="9" t="s">
        <v>3518</v>
      </c>
      <c r="F2308" s="3" t="s">
        <v>29</v>
      </c>
      <c r="G2308" s="9" t="s">
        <v>4918</v>
      </c>
      <c r="H2308" s="9" t="s">
        <v>4919</v>
      </c>
      <c r="I2308" s="3"/>
      <c r="J2308" s="3"/>
      <c r="K2308" s="9"/>
    </row>
    <row r="2309" ht="15.75" customHeight="1">
      <c r="A2309" s="10" t="s">
        <v>12</v>
      </c>
      <c r="B2309" s="10" t="s">
        <v>359</v>
      </c>
      <c r="C2309" s="10" t="s">
        <v>10569</v>
      </c>
      <c r="D2309" s="11" t="str">
        <f t="shared" si="1"/>
        <v>Abrir anúncio ↗</v>
      </c>
      <c r="E2309" s="12" t="s">
        <v>10570</v>
      </c>
      <c r="F2309" s="10" t="s">
        <v>86</v>
      </c>
      <c r="G2309" s="12" t="s">
        <v>9253</v>
      </c>
      <c r="H2309" s="12" t="s">
        <v>9254</v>
      </c>
      <c r="I2309" s="10"/>
      <c r="J2309" s="10"/>
      <c r="K2309" s="12"/>
    </row>
    <row r="2310" ht="15.75" customHeight="1">
      <c r="A2310" s="3" t="s">
        <v>12</v>
      </c>
      <c r="B2310" s="3" t="s">
        <v>359</v>
      </c>
      <c r="C2310" s="3" t="s">
        <v>10571</v>
      </c>
      <c r="D2310" s="8" t="str">
        <f t="shared" si="1"/>
        <v>Abrir anúncio ↗</v>
      </c>
      <c r="E2310" s="9" t="s">
        <v>10572</v>
      </c>
      <c r="F2310" s="3" t="s">
        <v>29</v>
      </c>
      <c r="G2310" s="9" t="s">
        <v>4918</v>
      </c>
      <c r="H2310" s="9" t="s">
        <v>4919</v>
      </c>
      <c r="I2310" s="3"/>
      <c r="J2310" s="3"/>
      <c r="K2310" s="9"/>
    </row>
    <row r="2311" ht="15.75" customHeight="1">
      <c r="A2311" s="10" t="s">
        <v>12</v>
      </c>
      <c r="B2311" s="10" t="s">
        <v>359</v>
      </c>
      <c r="C2311" s="10" t="s">
        <v>10573</v>
      </c>
      <c r="D2311" s="11" t="str">
        <f t="shared" si="1"/>
        <v>Abrir anúncio ↗</v>
      </c>
      <c r="E2311" s="12" t="s">
        <v>10574</v>
      </c>
      <c r="F2311" s="10" t="s">
        <v>29</v>
      </c>
      <c r="G2311" s="12" t="s">
        <v>4918</v>
      </c>
      <c r="H2311" s="12" t="s">
        <v>4919</v>
      </c>
      <c r="I2311" s="10"/>
      <c r="J2311" s="10"/>
      <c r="K2311" s="12"/>
    </row>
    <row r="2312" ht="15.75" customHeight="1">
      <c r="A2312" s="3" t="s">
        <v>12</v>
      </c>
      <c r="B2312" s="3" t="s">
        <v>359</v>
      </c>
      <c r="C2312" s="3" t="s">
        <v>6707</v>
      </c>
      <c r="D2312" s="8" t="str">
        <f t="shared" si="1"/>
        <v>Abrir anúncio ↗</v>
      </c>
      <c r="E2312" s="9" t="s">
        <v>6702</v>
      </c>
      <c r="F2312" s="3" t="s">
        <v>29</v>
      </c>
      <c r="G2312" s="9" t="s">
        <v>4918</v>
      </c>
      <c r="H2312" s="9" t="s">
        <v>4919</v>
      </c>
      <c r="I2312" s="3"/>
      <c r="J2312" s="3"/>
      <c r="K2312" s="9"/>
    </row>
    <row r="2313" ht="15.75" customHeight="1">
      <c r="A2313" s="10" t="s">
        <v>12</v>
      </c>
      <c r="B2313" s="10" t="s">
        <v>359</v>
      </c>
      <c r="C2313" s="10" t="s">
        <v>10575</v>
      </c>
      <c r="D2313" s="11" t="str">
        <f t="shared" si="1"/>
        <v>Abrir anúncio ↗</v>
      </c>
      <c r="E2313" s="12" t="s">
        <v>10576</v>
      </c>
      <c r="F2313" s="10" t="s">
        <v>29</v>
      </c>
      <c r="G2313" s="12" t="s">
        <v>4918</v>
      </c>
      <c r="H2313" s="12" t="s">
        <v>4919</v>
      </c>
      <c r="I2313" s="10"/>
      <c r="J2313" s="10"/>
      <c r="K2313" s="12"/>
    </row>
    <row r="2314" ht="15.75" customHeight="1">
      <c r="A2314" s="3" t="s">
        <v>12</v>
      </c>
      <c r="B2314" s="3" t="s">
        <v>359</v>
      </c>
      <c r="C2314" s="3" t="s">
        <v>6649</v>
      </c>
      <c r="D2314" s="8" t="str">
        <f t="shared" si="1"/>
        <v>Abrir anúncio ↗</v>
      </c>
      <c r="E2314" s="9" t="s">
        <v>3460</v>
      </c>
      <c r="F2314" s="3" t="s">
        <v>29</v>
      </c>
      <c r="G2314" s="9" t="s">
        <v>4918</v>
      </c>
      <c r="H2314" s="9" t="s">
        <v>4919</v>
      </c>
      <c r="I2314" s="3"/>
      <c r="J2314" s="3"/>
      <c r="K2314" s="9"/>
    </row>
    <row r="2315" ht="15.75" customHeight="1">
      <c r="A2315" s="10" t="s">
        <v>12</v>
      </c>
      <c r="B2315" s="10" t="s">
        <v>359</v>
      </c>
      <c r="C2315" s="10" t="s">
        <v>10577</v>
      </c>
      <c r="D2315" s="11" t="str">
        <f t="shared" si="1"/>
        <v>Abrir anúncio ↗</v>
      </c>
      <c r="E2315" s="12" t="s">
        <v>10578</v>
      </c>
      <c r="F2315" s="10" t="s">
        <v>29</v>
      </c>
      <c r="G2315" s="12" t="s">
        <v>4918</v>
      </c>
      <c r="H2315" s="12" t="s">
        <v>4919</v>
      </c>
      <c r="I2315" s="10"/>
      <c r="J2315" s="10"/>
      <c r="K2315" s="12"/>
    </row>
    <row r="2316" ht="15.75" customHeight="1">
      <c r="A2316" s="3" t="s">
        <v>12</v>
      </c>
      <c r="B2316" s="3" t="s">
        <v>359</v>
      </c>
      <c r="C2316" s="3" t="s">
        <v>6925</v>
      </c>
      <c r="D2316" s="8" t="str">
        <f t="shared" si="1"/>
        <v>Abrir anúncio ↗</v>
      </c>
      <c r="E2316" s="9" t="s">
        <v>6924</v>
      </c>
      <c r="F2316" s="3" t="s">
        <v>29</v>
      </c>
      <c r="G2316" s="9" t="s">
        <v>4918</v>
      </c>
      <c r="H2316" s="9" t="s">
        <v>4919</v>
      </c>
      <c r="I2316" s="3"/>
      <c r="J2316" s="3"/>
      <c r="K2316" s="9"/>
    </row>
    <row r="2317" ht="15.75" customHeight="1">
      <c r="A2317" s="10" t="s">
        <v>12</v>
      </c>
      <c r="B2317" s="10" t="s">
        <v>359</v>
      </c>
      <c r="C2317" s="10" t="s">
        <v>10579</v>
      </c>
      <c r="D2317" s="11" t="str">
        <f t="shared" si="1"/>
        <v>Abrir anúncio ↗</v>
      </c>
      <c r="E2317" s="12" t="s">
        <v>10580</v>
      </c>
      <c r="F2317" s="10" t="s">
        <v>29</v>
      </c>
      <c r="G2317" s="12" t="s">
        <v>4918</v>
      </c>
      <c r="H2317" s="12" t="s">
        <v>4919</v>
      </c>
      <c r="I2317" s="10"/>
      <c r="J2317" s="10"/>
      <c r="K2317" s="12"/>
    </row>
    <row r="2318" ht="15.75" customHeight="1">
      <c r="A2318" s="3" t="s">
        <v>12</v>
      </c>
      <c r="B2318" s="3" t="s">
        <v>359</v>
      </c>
      <c r="C2318" s="3" t="s">
        <v>9062</v>
      </c>
      <c r="D2318" s="8" t="str">
        <f t="shared" si="1"/>
        <v>Abrir anúncio ↗</v>
      </c>
      <c r="E2318" s="9" t="s">
        <v>9061</v>
      </c>
      <c r="F2318" s="3" t="s">
        <v>86</v>
      </c>
      <c r="G2318" s="9" t="s">
        <v>4918</v>
      </c>
      <c r="H2318" s="9" t="s">
        <v>4919</v>
      </c>
      <c r="I2318" s="3"/>
      <c r="J2318" s="3"/>
      <c r="K2318" s="9"/>
    </row>
    <row r="2319" ht="15.75" customHeight="1">
      <c r="A2319" s="10" t="s">
        <v>12</v>
      </c>
      <c r="B2319" s="10" t="s">
        <v>359</v>
      </c>
      <c r="C2319" s="10" t="s">
        <v>10581</v>
      </c>
      <c r="D2319" s="11" t="str">
        <f t="shared" si="1"/>
        <v>Abrir anúncio ↗</v>
      </c>
      <c r="E2319" s="12" t="s">
        <v>10582</v>
      </c>
      <c r="F2319" s="10" t="s">
        <v>86</v>
      </c>
      <c r="G2319" s="12" t="s">
        <v>4918</v>
      </c>
      <c r="H2319" s="12" t="s">
        <v>4919</v>
      </c>
      <c r="I2319" s="10"/>
      <c r="J2319" s="10"/>
      <c r="K2319" s="12"/>
    </row>
    <row r="2320" ht="15.75" customHeight="1">
      <c r="A2320" s="3" t="s">
        <v>12</v>
      </c>
      <c r="B2320" s="3" t="s">
        <v>359</v>
      </c>
      <c r="C2320" s="3" t="s">
        <v>10583</v>
      </c>
      <c r="D2320" s="8" t="str">
        <f t="shared" si="1"/>
        <v>Abrir anúncio ↗</v>
      </c>
      <c r="E2320" s="9" t="s">
        <v>10584</v>
      </c>
      <c r="F2320" s="3" t="s">
        <v>86</v>
      </c>
      <c r="G2320" s="9" t="s">
        <v>4918</v>
      </c>
      <c r="H2320" s="9" t="s">
        <v>4919</v>
      </c>
      <c r="I2320" s="3"/>
      <c r="J2320" s="3"/>
      <c r="K2320" s="9"/>
    </row>
    <row r="2321" ht="15.75" customHeight="1">
      <c r="A2321" s="10" t="s">
        <v>12</v>
      </c>
      <c r="B2321" s="10" t="s">
        <v>359</v>
      </c>
      <c r="C2321" s="10" t="s">
        <v>10585</v>
      </c>
      <c r="D2321" s="11" t="str">
        <f t="shared" si="1"/>
        <v>Abrir anúncio ↗</v>
      </c>
      <c r="E2321" s="12" t="s">
        <v>10586</v>
      </c>
      <c r="F2321" s="10" t="s">
        <v>86</v>
      </c>
      <c r="G2321" s="12" t="s">
        <v>4918</v>
      </c>
      <c r="H2321" s="12" t="s">
        <v>4919</v>
      </c>
      <c r="I2321" s="10"/>
      <c r="J2321" s="10"/>
      <c r="K2321" s="12"/>
    </row>
    <row r="2322" ht="15.75" customHeight="1">
      <c r="A2322" s="3" t="s">
        <v>12</v>
      </c>
      <c r="B2322" s="3" t="s">
        <v>359</v>
      </c>
      <c r="C2322" s="3" t="s">
        <v>10587</v>
      </c>
      <c r="D2322" s="8" t="str">
        <f t="shared" si="1"/>
        <v>Abrir anúncio ↗</v>
      </c>
      <c r="E2322" s="9" t="s">
        <v>10588</v>
      </c>
      <c r="F2322" s="3" t="s">
        <v>86</v>
      </c>
      <c r="G2322" s="9" t="s">
        <v>4918</v>
      </c>
      <c r="H2322" s="9" t="s">
        <v>4919</v>
      </c>
      <c r="I2322" s="3"/>
      <c r="J2322" s="3"/>
      <c r="K2322" s="9"/>
    </row>
    <row r="2323" ht="15.75" customHeight="1">
      <c r="A2323" s="10" t="s">
        <v>12</v>
      </c>
      <c r="B2323" s="10" t="s">
        <v>359</v>
      </c>
      <c r="C2323" s="10" t="s">
        <v>10589</v>
      </c>
      <c r="D2323" s="11" t="str">
        <f t="shared" si="1"/>
        <v>Abrir anúncio ↗</v>
      </c>
      <c r="E2323" s="12" t="s">
        <v>10590</v>
      </c>
      <c r="F2323" s="10" t="s">
        <v>29</v>
      </c>
      <c r="G2323" s="12" t="s">
        <v>4918</v>
      </c>
      <c r="H2323" s="12" t="s">
        <v>4919</v>
      </c>
      <c r="I2323" s="10"/>
      <c r="J2323" s="10"/>
      <c r="K2323" s="12"/>
    </row>
    <row r="2324" ht="15.75" customHeight="1">
      <c r="A2324" s="3" t="s">
        <v>12</v>
      </c>
      <c r="B2324" s="3" t="s">
        <v>359</v>
      </c>
      <c r="C2324" s="3" t="s">
        <v>10591</v>
      </c>
      <c r="D2324" s="8" t="str">
        <f t="shared" si="1"/>
        <v>Abrir anúncio ↗</v>
      </c>
      <c r="E2324" s="9" t="s">
        <v>10592</v>
      </c>
      <c r="F2324" s="3" t="s">
        <v>29</v>
      </c>
      <c r="G2324" s="9" t="s">
        <v>4918</v>
      </c>
      <c r="H2324" s="9" t="s">
        <v>4919</v>
      </c>
      <c r="I2324" s="3"/>
      <c r="J2324" s="3"/>
      <c r="K2324" s="9"/>
    </row>
    <row r="2325" ht="15.75" customHeight="1">
      <c r="A2325" s="10" t="s">
        <v>12</v>
      </c>
      <c r="B2325" s="10" t="s">
        <v>359</v>
      </c>
      <c r="C2325" s="10" t="s">
        <v>10593</v>
      </c>
      <c r="D2325" s="11" t="str">
        <f t="shared" si="1"/>
        <v>Abrir anúncio ↗</v>
      </c>
      <c r="E2325" s="12" t="s">
        <v>10594</v>
      </c>
      <c r="F2325" s="10" t="s">
        <v>29</v>
      </c>
      <c r="G2325" s="12" t="s">
        <v>4918</v>
      </c>
      <c r="H2325" s="12" t="s">
        <v>4919</v>
      </c>
      <c r="I2325" s="10"/>
      <c r="J2325" s="10"/>
      <c r="K2325" s="12"/>
    </row>
    <row r="2326" ht="15.75" customHeight="1">
      <c r="A2326" s="3" t="s">
        <v>12</v>
      </c>
      <c r="B2326" s="3" t="s">
        <v>359</v>
      </c>
      <c r="C2326" s="3" t="s">
        <v>10595</v>
      </c>
      <c r="D2326" s="8" t="str">
        <f t="shared" si="1"/>
        <v>Abrir anúncio ↗</v>
      </c>
      <c r="E2326" s="9" t="s">
        <v>10596</v>
      </c>
      <c r="F2326" s="3" t="s">
        <v>29</v>
      </c>
      <c r="G2326" s="9" t="s">
        <v>4918</v>
      </c>
      <c r="H2326" s="9" t="s">
        <v>4919</v>
      </c>
      <c r="I2326" s="3"/>
      <c r="J2326" s="3"/>
      <c r="K2326" s="9"/>
    </row>
    <row r="2327" ht="15.75" customHeight="1">
      <c r="A2327" s="10" t="s">
        <v>12</v>
      </c>
      <c r="B2327" s="10" t="s">
        <v>359</v>
      </c>
      <c r="C2327" s="10" t="s">
        <v>10597</v>
      </c>
      <c r="D2327" s="11" t="str">
        <f t="shared" si="1"/>
        <v>Abrir anúncio ↗</v>
      </c>
      <c r="E2327" s="12" t="s">
        <v>10598</v>
      </c>
      <c r="F2327" s="10" t="s">
        <v>29</v>
      </c>
      <c r="G2327" s="12" t="s">
        <v>4918</v>
      </c>
      <c r="H2327" s="12" t="s">
        <v>4919</v>
      </c>
      <c r="I2327" s="10"/>
      <c r="J2327" s="10"/>
      <c r="K2327" s="12"/>
    </row>
    <row r="2328" ht="15.75" customHeight="1">
      <c r="A2328" s="3" t="s">
        <v>12</v>
      </c>
      <c r="B2328" s="3" t="s">
        <v>359</v>
      </c>
      <c r="C2328" s="3" t="s">
        <v>10599</v>
      </c>
      <c r="D2328" s="8" t="str">
        <f t="shared" si="1"/>
        <v>Abrir anúncio ↗</v>
      </c>
      <c r="E2328" s="9" t="s">
        <v>10600</v>
      </c>
      <c r="F2328" s="3" t="s">
        <v>29</v>
      </c>
      <c r="G2328" s="9" t="s">
        <v>4918</v>
      </c>
      <c r="H2328" s="9" t="s">
        <v>4919</v>
      </c>
      <c r="I2328" s="3"/>
      <c r="J2328" s="3"/>
      <c r="K2328" s="9"/>
    </row>
    <row r="2329" ht="15.75" customHeight="1">
      <c r="A2329" s="10" t="s">
        <v>12</v>
      </c>
      <c r="B2329" s="10" t="s">
        <v>359</v>
      </c>
      <c r="C2329" s="10" t="s">
        <v>10601</v>
      </c>
      <c r="D2329" s="11" t="str">
        <f t="shared" si="1"/>
        <v>Abrir anúncio ↗</v>
      </c>
      <c r="E2329" s="12" t="s">
        <v>10602</v>
      </c>
      <c r="F2329" s="10" t="s">
        <v>29</v>
      </c>
      <c r="G2329" s="12" t="s">
        <v>4918</v>
      </c>
      <c r="H2329" s="12" t="s">
        <v>4919</v>
      </c>
      <c r="I2329" s="10"/>
      <c r="J2329" s="10"/>
      <c r="K2329" s="12"/>
    </row>
    <row r="2330" ht="15.75" customHeight="1">
      <c r="A2330" s="3" t="s">
        <v>12</v>
      </c>
      <c r="B2330" s="3" t="s">
        <v>359</v>
      </c>
      <c r="C2330" s="3" t="s">
        <v>10603</v>
      </c>
      <c r="D2330" s="8" t="str">
        <f t="shared" si="1"/>
        <v>Abrir anúncio ↗</v>
      </c>
      <c r="E2330" s="9" t="s">
        <v>10604</v>
      </c>
      <c r="F2330" s="3" t="s">
        <v>29</v>
      </c>
      <c r="G2330" s="9" t="s">
        <v>4918</v>
      </c>
      <c r="H2330" s="9" t="s">
        <v>4919</v>
      </c>
      <c r="I2330" s="3"/>
      <c r="J2330" s="3"/>
      <c r="K2330" s="9"/>
    </row>
    <row r="2331" ht="15.75" customHeight="1">
      <c r="A2331" s="10" t="s">
        <v>12</v>
      </c>
      <c r="B2331" s="10" t="s">
        <v>359</v>
      </c>
      <c r="C2331" s="10" t="s">
        <v>10605</v>
      </c>
      <c r="D2331" s="11" t="str">
        <f t="shared" si="1"/>
        <v>Abrir anúncio ↗</v>
      </c>
      <c r="E2331" s="12" t="s">
        <v>10606</v>
      </c>
      <c r="F2331" s="10" t="s">
        <v>29</v>
      </c>
      <c r="G2331" s="12" t="s">
        <v>4918</v>
      </c>
      <c r="H2331" s="12" t="s">
        <v>4919</v>
      </c>
      <c r="I2331" s="10"/>
      <c r="J2331" s="10"/>
      <c r="K2331" s="12"/>
    </row>
    <row r="2332" ht="15.75" customHeight="1">
      <c r="A2332" s="3" t="s">
        <v>12</v>
      </c>
      <c r="B2332" s="3" t="s">
        <v>359</v>
      </c>
      <c r="C2332" s="3" t="s">
        <v>8549</v>
      </c>
      <c r="D2332" s="8" t="str">
        <f t="shared" si="1"/>
        <v>Abrir anúncio ↗</v>
      </c>
      <c r="E2332" s="9" t="s">
        <v>8548</v>
      </c>
      <c r="F2332" s="3" t="s">
        <v>29</v>
      </c>
      <c r="G2332" s="9" t="s">
        <v>4918</v>
      </c>
      <c r="H2332" s="9" t="s">
        <v>4919</v>
      </c>
      <c r="I2332" s="3"/>
      <c r="J2332" s="3"/>
      <c r="K2332" s="9"/>
    </row>
    <row r="2333" ht="15.75" customHeight="1">
      <c r="A2333" s="10" t="s">
        <v>12</v>
      </c>
      <c r="B2333" s="10" t="s">
        <v>359</v>
      </c>
      <c r="C2333" s="10" t="s">
        <v>10607</v>
      </c>
      <c r="D2333" s="11" t="str">
        <f t="shared" si="1"/>
        <v>Abrir anúncio ↗</v>
      </c>
      <c r="E2333" s="12" t="s">
        <v>10608</v>
      </c>
      <c r="F2333" s="10" t="s">
        <v>29</v>
      </c>
      <c r="G2333" s="12" t="s">
        <v>4918</v>
      </c>
      <c r="H2333" s="12" t="s">
        <v>4919</v>
      </c>
      <c r="I2333" s="10"/>
      <c r="J2333" s="10"/>
      <c r="K2333" s="12"/>
    </row>
    <row r="2334" ht="15.75" customHeight="1">
      <c r="A2334" s="3" t="s">
        <v>12</v>
      </c>
      <c r="B2334" s="3" t="s">
        <v>359</v>
      </c>
      <c r="C2334" s="3" t="s">
        <v>10609</v>
      </c>
      <c r="D2334" s="8" t="str">
        <f t="shared" si="1"/>
        <v>Abrir anúncio ↗</v>
      </c>
      <c r="E2334" s="9" t="s">
        <v>10610</v>
      </c>
      <c r="F2334" s="3" t="s">
        <v>29</v>
      </c>
      <c r="G2334" s="9" t="s">
        <v>4918</v>
      </c>
      <c r="H2334" s="9" t="s">
        <v>4919</v>
      </c>
      <c r="I2334" s="3"/>
      <c r="J2334" s="3"/>
      <c r="K2334" s="9"/>
    </row>
    <row r="2335" ht="15.75" customHeight="1">
      <c r="A2335" s="10" t="s">
        <v>12</v>
      </c>
      <c r="B2335" s="10" t="s">
        <v>359</v>
      </c>
      <c r="C2335" s="10" t="s">
        <v>8554</v>
      </c>
      <c r="D2335" s="11" t="str">
        <f t="shared" si="1"/>
        <v>Abrir anúncio ↗</v>
      </c>
      <c r="E2335" s="12" t="s">
        <v>8553</v>
      </c>
      <c r="F2335" s="10" t="s">
        <v>29</v>
      </c>
      <c r="G2335" s="12" t="s">
        <v>4918</v>
      </c>
      <c r="H2335" s="12" t="s">
        <v>4919</v>
      </c>
      <c r="I2335" s="10"/>
      <c r="J2335" s="10"/>
      <c r="K2335" s="12"/>
    </row>
    <row r="2336" ht="15.75" customHeight="1">
      <c r="A2336" s="3" t="s">
        <v>12</v>
      </c>
      <c r="B2336" s="3" t="s">
        <v>359</v>
      </c>
      <c r="C2336" s="3" t="s">
        <v>10611</v>
      </c>
      <c r="D2336" s="8" t="str">
        <f t="shared" si="1"/>
        <v>Abrir anúncio ↗</v>
      </c>
      <c r="E2336" s="9" t="s">
        <v>10612</v>
      </c>
      <c r="F2336" s="3" t="s">
        <v>29</v>
      </c>
      <c r="G2336" s="9" t="s">
        <v>4918</v>
      </c>
      <c r="H2336" s="9" t="s">
        <v>4919</v>
      </c>
      <c r="I2336" s="3"/>
      <c r="J2336" s="3"/>
      <c r="K2336" s="9"/>
    </row>
    <row r="2337" ht="15.75" customHeight="1">
      <c r="A2337" s="10" t="s">
        <v>12</v>
      </c>
      <c r="B2337" s="10" t="s">
        <v>359</v>
      </c>
      <c r="C2337" s="10" t="s">
        <v>8560</v>
      </c>
      <c r="D2337" s="11" t="str">
        <f t="shared" si="1"/>
        <v>Abrir anúncio ↗</v>
      </c>
      <c r="E2337" s="12" t="s">
        <v>8559</v>
      </c>
      <c r="F2337" s="10" t="s">
        <v>29</v>
      </c>
      <c r="G2337" s="12" t="s">
        <v>4918</v>
      </c>
      <c r="H2337" s="12" t="s">
        <v>4919</v>
      </c>
      <c r="I2337" s="10"/>
      <c r="J2337" s="10"/>
      <c r="K2337" s="12"/>
    </row>
    <row r="2338" ht="15.75" customHeight="1">
      <c r="A2338" s="3" t="s">
        <v>12</v>
      </c>
      <c r="B2338" s="3" t="s">
        <v>359</v>
      </c>
      <c r="C2338" s="3" t="s">
        <v>10613</v>
      </c>
      <c r="D2338" s="8" t="str">
        <f t="shared" si="1"/>
        <v>Abrir anúncio ↗</v>
      </c>
      <c r="E2338" s="9" t="s">
        <v>10614</v>
      </c>
      <c r="F2338" s="3" t="s">
        <v>29</v>
      </c>
      <c r="G2338" s="9" t="s">
        <v>4918</v>
      </c>
      <c r="H2338" s="9" t="s">
        <v>4919</v>
      </c>
      <c r="I2338" s="3"/>
      <c r="J2338" s="3"/>
      <c r="K2338" s="9"/>
    </row>
    <row r="2339" ht="15.75" customHeight="1">
      <c r="A2339" s="10" t="s">
        <v>12</v>
      </c>
      <c r="B2339" s="10" t="s">
        <v>359</v>
      </c>
      <c r="C2339" s="10" t="s">
        <v>8563</v>
      </c>
      <c r="D2339" s="11" t="str">
        <f t="shared" si="1"/>
        <v>Abrir anúncio ↗</v>
      </c>
      <c r="E2339" s="12" t="s">
        <v>8562</v>
      </c>
      <c r="F2339" s="10" t="s">
        <v>29</v>
      </c>
      <c r="G2339" s="12" t="s">
        <v>4918</v>
      </c>
      <c r="H2339" s="12" t="s">
        <v>4919</v>
      </c>
      <c r="I2339" s="10"/>
      <c r="J2339" s="10"/>
      <c r="K2339" s="12"/>
    </row>
    <row r="2340" ht="15.75" customHeight="1">
      <c r="A2340" s="3" t="s">
        <v>12</v>
      </c>
      <c r="B2340" s="3" t="s">
        <v>359</v>
      </c>
      <c r="C2340" s="3" t="s">
        <v>7600</v>
      </c>
      <c r="D2340" s="8" t="str">
        <f t="shared" si="1"/>
        <v>Abrir anúncio ↗</v>
      </c>
      <c r="E2340" s="9" t="s">
        <v>7595</v>
      </c>
      <c r="F2340" s="3" t="s">
        <v>29</v>
      </c>
      <c r="G2340" s="9" t="s">
        <v>4918</v>
      </c>
      <c r="H2340" s="9" t="s">
        <v>4919</v>
      </c>
      <c r="I2340" s="3"/>
      <c r="J2340" s="3"/>
      <c r="K2340" s="9"/>
    </row>
    <row r="2341" ht="15.75" customHeight="1">
      <c r="A2341" s="10" t="s">
        <v>12</v>
      </c>
      <c r="B2341" s="10" t="s">
        <v>359</v>
      </c>
      <c r="C2341" s="10" t="s">
        <v>10615</v>
      </c>
      <c r="D2341" s="11" t="str">
        <f t="shared" si="1"/>
        <v>Abrir anúncio ↗</v>
      </c>
      <c r="E2341" s="12" t="s">
        <v>10616</v>
      </c>
      <c r="F2341" s="10" t="s">
        <v>29</v>
      </c>
      <c r="G2341" s="12" t="s">
        <v>4918</v>
      </c>
      <c r="H2341" s="12" t="s">
        <v>4919</v>
      </c>
      <c r="I2341" s="10"/>
      <c r="J2341" s="10"/>
      <c r="K2341" s="12"/>
    </row>
    <row r="2342" ht="15.75" customHeight="1">
      <c r="A2342" s="3" t="s">
        <v>12</v>
      </c>
      <c r="B2342" s="3" t="s">
        <v>359</v>
      </c>
      <c r="C2342" s="3" t="s">
        <v>10617</v>
      </c>
      <c r="D2342" s="8" t="str">
        <f t="shared" si="1"/>
        <v>Abrir anúncio ↗</v>
      </c>
      <c r="E2342" s="9" t="s">
        <v>10618</v>
      </c>
      <c r="F2342" s="3" t="s">
        <v>29</v>
      </c>
      <c r="G2342" s="9" t="s">
        <v>4918</v>
      </c>
      <c r="H2342" s="9" t="s">
        <v>4919</v>
      </c>
      <c r="I2342" s="3"/>
      <c r="J2342" s="3"/>
      <c r="K2342" s="9"/>
    </row>
    <row r="2343" ht="15.75" customHeight="1">
      <c r="A2343" s="10" t="s">
        <v>12</v>
      </c>
      <c r="B2343" s="10" t="s">
        <v>359</v>
      </c>
      <c r="C2343" s="10" t="s">
        <v>8566</v>
      </c>
      <c r="D2343" s="11" t="str">
        <f t="shared" si="1"/>
        <v>Abrir anúncio ↗</v>
      </c>
      <c r="E2343" s="12" t="s">
        <v>8565</v>
      </c>
      <c r="F2343" s="10" t="s">
        <v>29</v>
      </c>
      <c r="G2343" s="12" t="s">
        <v>4918</v>
      </c>
      <c r="H2343" s="12" t="s">
        <v>4919</v>
      </c>
      <c r="I2343" s="10"/>
      <c r="J2343" s="10"/>
      <c r="K2343" s="12"/>
    </row>
    <row r="2344" ht="15.75" customHeight="1">
      <c r="A2344" s="3" t="s">
        <v>12</v>
      </c>
      <c r="B2344" s="3" t="s">
        <v>359</v>
      </c>
      <c r="C2344" s="3" t="s">
        <v>10619</v>
      </c>
      <c r="D2344" s="8" t="str">
        <f t="shared" si="1"/>
        <v>Abrir anúncio ↗</v>
      </c>
      <c r="E2344" s="9" t="s">
        <v>10620</v>
      </c>
      <c r="F2344" s="3" t="s">
        <v>29</v>
      </c>
      <c r="G2344" s="9" t="s">
        <v>4918</v>
      </c>
      <c r="H2344" s="9" t="s">
        <v>4919</v>
      </c>
      <c r="I2344" s="3"/>
      <c r="J2344" s="3"/>
      <c r="K2344" s="9"/>
    </row>
    <row r="2345" ht="15.75" customHeight="1">
      <c r="A2345" s="10" t="s">
        <v>12</v>
      </c>
      <c r="B2345" s="10" t="s">
        <v>359</v>
      </c>
      <c r="C2345" s="10" t="s">
        <v>8223</v>
      </c>
      <c r="D2345" s="11" t="str">
        <f t="shared" si="1"/>
        <v>Abrir anúncio ↗</v>
      </c>
      <c r="E2345" s="12" t="s">
        <v>8222</v>
      </c>
      <c r="F2345" s="10" t="s">
        <v>29</v>
      </c>
      <c r="G2345" s="12" t="s">
        <v>4918</v>
      </c>
      <c r="H2345" s="12" t="s">
        <v>4919</v>
      </c>
      <c r="I2345" s="10"/>
      <c r="J2345" s="10"/>
      <c r="K2345" s="12"/>
    </row>
    <row r="2346" ht="15.75" customHeight="1">
      <c r="A2346" s="3" t="s">
        <v>12</v>
      </c>
      <c r="B2346" s="3" t="s">
        <v>359</v>
      </c>
      <c r="C2346" s="3" t="s">
        <v>8571</v>
      </c>
      <c r="D2346" s="8" t="str">
        <f t="shared" si="1"/>
        <v>Abrir anúncio ↗</v>
      </c>
      <c r="E2346" s="9" t="s">
        <v>8570</v>
      </c>
      <c r="F2346" s="3" t="s">
        <v>29</v>
      </c>
      <c r="G2346" s="9" t="s">
        <v>4918</v>
      </c>
      <c r="H2346" s="9" t="s">
        <v>4919</v>
      </c>
      <c r="I2346" s="3"/>
      <c r="J2346" s="3"/>
      <c r="K2346" s="9"/>
    </row>
    <row r="2347" ht="15.75" customHeight="1">
      <c r="A2347" s="10" t="s">
        <v>12</v>
      </c>
      <c r="B2347" s="10" t="s">
        <v>359</v>
      </c>
      <c r="C2347" s="10" t="s">
        <v>8576</v>
      </c>
      <c r="D2347" s="11" t="str">
        <f t="shared" si="1"/>
        <v>Abrir anúncio ↗</v>
      </c>
      <c r="E2347" s="12" t="s">
        <v>8575</v>
      </c>
      <c r="F2347" s="10" t="s">
        <v>29</v>
      </c>
      <c r="G2347" s="12" t="s">
        <v>4918</v>
      </c>
      <c r="H2347" s="12" t="s">
        <v>4919</v>
      </c>
      <c r="I2347" s="10"/>
      <c r="J2347" s="10"/>
      <c r="K2347" s="12"/>
    </row>
    <row r="2348" ht="15.75" customHeight="1">
      <c r="A2348" s="3" t="s">
        <v>12</v>
      </c>
      <c r="B2348" s="3" t="s">
        <v>359</v>
      </c>
      <c r="C2348" s="3" t="s">
        <v>10621</v>
      </c>
      <c r="D2348" s="8" t="str">
        <f t="shared" si="1"/>
        <v>Abrir anúncio ↗</v>
      </c>
      <c r="E2348" s="9" t="s">
        <v>10622</v>
      </c>
      <c r="F2348" s="3" t="s">
        <v>29</v>
      </c>
      <c r="G2348" s="9" t="s">
        <v>4918</v>
      </c>
      <c r="H2348" s="9" t="s">
        <v>4919</v>
      </c>
      <c r="I2348" s="3"/>
      <c r="J2348" s="3"/>
      <c r="K2348" s="9"/>
    </row>
    <row r="2349" ht="15.75" customHeight="1">
      <c r="A2349" s="10" t="s">
        <v>12</v>
      </c>
      <c r="B2349" s="10" t="s">
        <v>359</v>
      </c>
      <c r="C2349" s="10" t="s">
        <v>8580</v>
      </c>
      <c r="D2349" s="11" t="str">
        <f t="shared" si="1"/>
        <v>Abrir anúncio ↗</v>
      </c>
      <c r="E2349" s="12" t="s">
        <v>8579</v>
      </c>
      <c r="F2349" s="10" t="s">
        <v>29</v>
      </c>
      <c r="G2349" s="12" t="s">
        <v>4918</v>
      </c>
      <c r="H2349" s="12" t="s">
        <v>4919</v>
      </c>
      <c r="I2349" s="10"/>
      <c r="J2349" s="10"/>
      <c r="K2349" s="12"/>
    </row>
    <row r="2350" ht="15.75" customHeight="1">
      <c r="A2350" s="3" t="s">
        <v>12</v>
      </c>
      <c r="B2350" s="3" t="s">
        <v>359</v>
      </c>
      <c r="C2350" s="3" t="s">
        <v>8586</v>
      </c>
      <c r="D2350" s="8" t="str">
        <f t="shared" si="1"/>
        <v>Abrir anúncio ↗</v>
      </c>
      <c r="E2350" s="9" t="s">
        <v>8584</v>
      </c>
      <c r="F2350" s="3" t="s">
        <v>29</v>
      </c>
      <c r="G2350" s="9" t="s">
        <v>4918</v>
      </c>
      <c r="H2350" s="9" t="s">
        <v>4919</v>
      </c>
      <c r="I2350" s="3"/>
      <c r="J2350" s="3"/>
      <c r="K2350" s="9"/>
    </row>
    <row r="2351" ht="15.75" customHeight="1">
      <c r="A2351" s="10" t="s">
        <v>12</v>
      </c>
      <c r="B2351" s="10" t="s">
        <v>359</v>
      </c>
      <c r="C2351" s="10" t="s">
        <v>6576</v>
      </c>
      <c r="D2351" s="11" t="str">
        <f t="shared" si="1"/>
        <v>Abrir anúncio ↗</v>
      </c>
      <c r="E2351" s="12" t="s">
        <v>6572</v>
      </c>
      <c r="F2351" s="10" t="s">
        <v>29</v>
      </c>
      <c r="G2351" s="12" t="s">
        <v>4918</v>
      </c>
      <c r="H2351" s="12" t="s">
        <v>4919</v>
      </c>
      <c r="I2351" s="10"/>
      <c r="J2351" s="10"/>
      <c r="K2351" s="12"/>
    </row>
    <row r="2352" ht="15.75" customHeight="1">
      <c r="A2352" s="3" t="s">
        <v>12</v>
      </c>
      <c r="B2352" s="3" t="s">
        <v>359</v>
      </c>
      <c r="C2352" s="3" t="s">
        <v>6826</v>
      </c>
      <c r="D2352" s="8" t="str">
        <f t="shared" si="1"/>
        <v>Abrir anúncio ↗</v>
      </c>
      <c r="E2352" s="9" t="s">
        <v>6821</v>
      </c>
      <c r="F2352" s="3" t="s">
        <v>29</v>
      </c>
      <c r="G2352" s="9" t="s">
        <v>4918</v>
      </c>
      <c r="H2352" s="9" t="s">
        <v>4919</v>
      </c>
      <c r="I2352" s="3"/>
      <c r="J2352" s="3"/>
      <c r="K2352" s="9"/>
    </row>
    <row r="2353" ht="15.75" customHeight="1">
      <c r="A2353" s="10" t="s">
        <v>12</v>
      </c>
      <c r="B2353" s="10" t="s">
        <v>359</v>
      </c>
      <c r="C2353" s="10" t="s">
        <v>10623</v>
      </c>
      <c r="D2353" s="11" t="str">
        <f t="shared" si="1"/>
        <v>Abrir anúncio ↗</v>
      </c>
      <c r="E2353" s="12" t="s">
        <v>10624</v>
      </c>
      <c r="F2353" s="10" t="s">
        <v>29</v>
      </c>
      <c r="G2353" s="12" t="s">
        <v>4918</v>
      </c>
      <c r="H2353" s="12" t="s">
        <v>4919</v>
      </c>
      <c r="I2353" s="10"/>
      <c r="J2353" s="10"/>
      <c r="K2353" s="12"/>
    </row>
    <row r="2354" ht="15.75" customHeight="1">
      <c r="A2354" s="3" t="s">
        <v>12</v>
      </c>
      <c r="B2354" s="3" t="s">
        <v>359</v>
      </c>
      <c r="C2354" s="3" t="s">
        <v>8591</v>
      </c>
      <c r="D2354" s="8" t="str">
        <f t="shared" si="1"/>
        <v>Abrir anúncio ↗</v>
      </c>
      <c r="E2354" s="9" t="s">
        <v>8589</v>
      </c>
      <c r="F2354" s="3" t="s">
        <v>29</v>
      </c>
      <c r="G2354" s="9" t="s">
        <v>4918</v>
      </c>
      <c r="H2354" s="9" t="s">
        <v>4919</v>
      </c>
      <c r="I2354" s="3"/>
      <c r="J2354" s="3"/>
      <c r="K2354" s="9"/>
    </row>
    <row r="2355" ht="15.75" customHeight="1">
      <c r="A2355" s="10" t="s">
        <v>12</v>
      </c>
      <c r="B2355" s="10" t="s">
        <v>359</v>
      </c>
      <c r="C2355" s="10" t="s">
        <v>10625</v>
      </c>
      <c r="D2355" s="11" t="str">
        <f t="shared" si="1"/>
        <v>Abrir anúncio ↗</v>
      </c>
      <c r="E2355" s="12" t="s">
        <v>10626</v>
      </c>
      <c r="F2355" s="10" t="s">
        <v>86</v>
      </c>
      <c r="G2355" s="12" t="s">
        <v>4918</v>
      </c>
      <c r="H2355" s="12" t="s">
        <v>4919</v>
      </c>
      <c r="I2355" s="10"/>
      <c r="J2355" s="10"/>
      <c r="K2355" s="12"/>
    </row>
    <row r="2356" ht="15.75" customHeight="1">
      <c r="A2356" s="3" t="s">
        <v>12</v>
      </c>
      <c r="B2356" s="3" t="s">
        <v>359</v>
      </c>
      <c r="C2356" s="3" t="s">
        <v>8596</v>
      </c>
      <c r="D2356" s="8" t="str">
        <f t="shared" si="1"/>
        <v>Abrir anúncio ↗</v>
      </c>
      <c r="E2356" s="9" t="s">
        <v>8595</v>
      </c>
      <c r="F2356" s="3" t="s">
        <v>29</v>
      </c>
      <c r="G2356" s="9" t="s">
        <v>4918</v>
      </c>
      <c r="H2356" s="9" t="s">
        <v>4919</v>
      </c>
      <c r="I2356" s="3"/>
      <c r="J2356" s="3"/>
      <c r="K2356" s="9"/>
    </row>
    <row r="2357" ht="15.75" customHeight="1">
      <c r="A2357" s="10" t="s">
        <v>12</v>
      </c>
      <c r="B2357" s="10" t="s">
        <v>359</v>
      </c>
      <c r="C2357" s="10" t="s">
        <v>8229</v>
      </c>
      <c r="D2357" s="11" t="str">
        <f t="shared" si="1"/>
        <v>Abrir anúncio ↗</v>
      </c>
      <c r="E2357" s="12" t="s">
        <v>8227</v>
      </c>
      <c r="F2357" s="10" t="s">
        <v>29</v>
      </c>
      <c r="G2357" s="12" t="s">
        <v>4918</v>
      </c>
      <c r="H2357" s="12" t="s">
        <v>4919</v>
      </c>
      <c r="I2357" s="10"/>
      <c r="J2357" s="10"/>
      <c r="K2357" s="12"/>
    </row>
    <row r="2358" ht="15.75" customHeight="1">
      <c r="A2358" s="3" t="s">
        <v>12</v>
      </c>
      <c r="B2358" s="3" t="s">
        <v>359</v>
      </c>
      <c r="C2358" s="3" t="s">
        <v>10627</v>
      </c>
      <c r="D2358" s="8" t="str">
        <f t="shared" si="1"/>
        <v>Abrir anúncio ↗</v>
      </c>
      <c r="E2358" s="9" t="s">
        <v>10628</v>
      </c>
      <c r="F2358" s="3" t="s">
        <v>29</v>
      </c>
      <c r="G2358" s="9" t="s">
        <v>4918</v>
      </c>
      <c r="H2358" s="9" t="s">
        <v>4919</v>
      </c>
      <c r="I2358" s="3"/>
      <c r="J2358" s="3"/>
      <c r="K2358" s="9"/>
    </row>
    <row r="2359" ht="15.75" customHeight="1">
      <c r="A2359" s="10" t="s">
        <v>12</v>
      </c>
      <c r="B2359" s="10" t="s">
        <v>359</v>
      </c>
      <c r="C2359" s="10" t="s">
        <v>10629</v>
      </c>
      <c r="D2359" s="11" t="str">
        <f t="shared" si="1"/>
        <v>Abrir anúncio ↗</v>
      </c>
      <c r="E2359" s="12" t="s">
        <v>10630</v>
      </c>
      <c r="F2359" s="10" t="s">
        <v>86</v>
      </c>
      <c r="G2359" s="12" t="s">
        <v>4918</v>
      </c>
      <c r="H2359" s="12" t="s">
        <v>4919</v>
      </c>
      <c r="I2359" s="10"/>
      <c r="J2359" s="10"/>
      <c r="K2359" s="12"/>
    </row>
    <row r="2360" ht="15.75" customHeight="1">
      <c r="A2360" s="3" t="s">
        <v>12</v>
      </c>
      <c r="B2360" s="3" t="s">
        <v>359</v>
      </c>
      <c r="C2360" s="3" t="s">
        <v>6742</v>
      </c>
      <c r="D2360" s="8" t="str">
        <f t="shared" si="1"/>
        <v>Abrir anúncio ↗</v>
      </c>
      <c r="E2360" s="9" t="s">
        <v>6737</v>
      </c>
      <c r="F2360" s="3" t="s">
        <v>29</v>
      </c>
      <c r="G2360" s="9" t="s">
        <v>9285</v>
      </c>
      <c r="H2360" s="9" t="s">
        <v>10631</v>
      </c>
      <c r="I2360" s="3"/>
      <c r="J2360" s="3"/>
      <c r="K2360" s="9"/>
    </row>
    <row r="2361" ht="15.75" customHeight="1">
      <c r="A2361" s="10" t="s">
        <v>12</v>
      </c>
      <c r="B2361" s="10" t="s">
        <v>359</v>
      </c>
      <c r="C2361" s="10" t="s">
        <v>10632</v>
      </c>
      <c r="D2361" s="11" t="str">
        <f t="shared" si="1"/>
        <v>Abrir anúncio ↗</v>
      </c>
      <c r="E2361" s="12" t="s">
        <v>10633</v>
      </c>
      <c r="F2361" s="10" t="s">
        <v>29</v>
      </c>
      <c r="G2361" s="12" t="s">
        <v>4918</v>
      </c>
      <c r="H2361" s="12" t="s">
        <v>4919</v>
      </c>
      <c r="I2361" s="10"/>
      <c r="J2361" s="10"/>
      <c r="K2361" s="12"/>
    </row>
    <row r="2362" ht="15.75" customHeight="1">
      <c r="A2362" s="3" t="s">
        <v>12</v>
      </c>
      <c r="B2362" s="3" t="s">
        <v>359</v>
      </c>
      <c r="C2362" s="3" t="s">
        <v>10634</v>
      </c>
      <c r="D2362" s="8" t="str">
        <f t="shared" si="1"/>
        <v>Abrir anúncio ↗</v>
      </c>
      <c r="E2362" s="9" t="s">
        <v>10635</v>
      </c>
      <c r="F2362" s="3" t="s">
        <v>29</v>
      </c>
      <c r="G2362" s="9" t="s">
        <v>4918</v>
      </c>
      <c r="H2362" s="9" t="s">
        <v>4919</v>
      </c>
      <c r="I2362" s="3"/>
      <c r="J2362" s="3"/>
      <c r="K2362" s="9"/>
    </row>
    <row r="2363" ht="15.75" customHeight="1">
      <c r="A2363" s="10" t="s">
        <v>12</v>
      </c>
      <c r="B2363" s="10" t="s">
        <v>359</v>
      </c>
      <c r="C2363" s="10" t="s">
        <v>7398</v>
      </c>
      <c r="D2363" s="11" t="str">
        <f t="shared" si="1"/>
        <v>Abrir anúncio ↗</v>
      </c>
      <c r="E2363" s="12" t="s">
        <v>7396</v>
      </c>
      <c r="F2363" s="10" t="s">
        <v>29</v>
      </c>
      <c r="G2363" s="12" t="s">
        <v>4918</v>
      </c>
      <c r="H2363" s="12" t="s">
        <v>4919</v>
      </c>
      <c r="I2363" s="10"/>
      <c r="J2363" s="10"/>
      <c r="K2363" s="12"/>
    </row>
    <row r="2364" ht="15.75" customHeight="1">
      <c r="A2364" s="3" t="s">
        <v>12</v>
      </c>
      <c r="B2364" s="3" t="s">
        <v>359</v>
      </c>
      <c r="C2364" s="3" t="s">
        <v>10636</v>
      </c>
      <c r="D2364" s="8" t="str">
        <f t="shared" si="1"/>
        <v>Abrir anúncio ↗</v>
      </c>
      <c r="E2364" s="9" t="s">
        <v>10637</v>
      </c>
      <c r="F2364" s="3" t="s">
        <v>29</v>
      </c>
      <c r="G2364" s="9" t="s">
        <v>4918</v>
      </c>
      <c r="H2364" s="9" t="s">
        <v>4919</v>
      </c>
      <c r="I2364" s="3"/>
      <c r="J2364" s="3"/>
      <c r="K2364" s="9"/>
    </row>
    <row r="2365" ht="15.75" customHeight="1">
      <c r="A2365" s="10" t="s">
        <v>12</v>
      </c>
      <c r="B2365" s="10" t="s">
        <v>359</v>
      </c>
      <c r="C2365" s="10" t="s">
        <v>10638</v>
      </c>
      <c r="D2365" s="11" t="str">
        <f t="shared" si="1"/>
        <v>Abrir anúncio ↗</v>
      </c>
      <c r="E2365" s="12" t="s">
        <v>10639</v>
      </c>
      <c r="F2365" s="10" t="s">
        <v>29</v>
      </c>
      <c r="G2365" s="12" t="s">
        <v>4918</v>
      </c>
      <c r="H2365" s="12" t="s">
        <v>4919</v>
      </c>
      <c r="I2365" s="10"/>
      <c r="J2365" s="10"/>
      <c r="K2365" s="12"/>
    </row>
    <row r="2366" ht="15.75" customHeight="1">
      <c r="A2366" s="3" t="s">
        <v>12</v>
      </c>
      <c r="B2366" s="3" t="s">
        <v>359</v>
      </c>
      <c r="C2366" s="3" t="s">
        <v>10640</v>
      </c>
      <c r="D2366" s="8" t="str">
        <f t="shared" si="1"/>
        <v>Abrir anúncio ↗</v>
      </c>
      <c r="E2366" s="9" t="s">
        <v>10641</v>
      </c>
      <c r="F2366" s="3" t="s">
        <v>86</v>
      </c>
      <c r="G2366" s="9" t="s">
        <v>9253</v>
      </c>
      <c r="H2366" s="9" t="s">
        <v>9254</v>
      </c>
      <c r="I2366" s="3"/>
      <c r="J2366" s="3"/>
      <c r="K2366" s="9"/>
    </row>
    <row r="2367" ht="15.75" customHeight="1">
      <c r="A2367" s="10" t="s">
        <v>12</v>
      </c>
      <c r="B2367" s="10" t="s">
        <v>359</v>
      </c>
      <c r="C2367" s="10" t="s">
        <v>10642</v>
      </c>
      <c r="D2367" s="11" t="str">
        <f t="shared" si="1"/>
        <v>Abrir anúncio ↗</v>
      </c>
      <c r="E2367" s="12" t="s">
        <v>10643</v>
      </c>
      <c r="F2367" s="10" t="s">
        <v>86</v>
      </c>
      <c r="G2367" s="12" t="s">
        <v>9253</v>
      </c>
      <c r="H2367" s="12" t="s">
        <v>9254</v>
      </c>
      <c r="I2367" s="10"/>
      <c r="J2367" s="10"/>
      <c r="K2367" s="12"/>
    </row>
    <row r="2368" ht="15.75" customHeight="1">
      <c r="A2368" s="3" t="s">
        <v>12</v>
      </c>
      <c r="B2368" s="3" t="s">
        <v>359</v>
      </c>
      <c r="C2368" s="3" t="s">
        <v>10644</v>
      </c>
      <c r="D2368" s="8" t="str">
        <f t="shared" si="1"/>
        <v>Abrir anúncio ↗</v>
      </c>
      <c r="E2368" s="9" t="s">
        <v>10645</v>
      </c>
      <c r="F2368" s="3" t="s">
        <v>29</v>
      </c>
      <c r="G2368" s="9" t="s">
        <v>4918</v>
      </c>
      <c r="H2368" s="9" t="s">
        <v>4919</v>
      </c>
      <c r="I2368" s="3"/>
      <c r="J2368" s="3"/>
      <c r="K2368" s="9"/>
    </row>
    <row r="2369" ht="15.75" customHeight="1">
      <c r="A2369" s="10" t="s">
        <v>12</v>
      </c>
      <c r="B2369" s="10" t="s">
        <v>359</v>
      </c>
      <c r="C2369" s="10" t="s">
        <v>7800</v>
      </c>
      <c r="D2369" s="11" t="str">
        <f t="shared" si="1"/>
        <v>Abrir anúncio ↗</v>
      </c>
      <c r="E2369" s="12" t="s">
        <v>5945</v>
      </c>
      <c r="F2369" s="10" t="s">
        <v>29</v>
      </c>
      <c r="G2369" s="12" t="s">
        <v>9253</v>
      </c>
      <c r="H2369" s="12" t="s">
        <v>9254</v>
      </c>
      <c r="I2369" s="10"/>
      <c r="J2369" s="10"/>
      <c r="K2369" s="12"/>
    </row>
    <row r="2370" ht="15.75" customHeight="1">
      <c r="A2370" s="3" t="s">
        <v>12</v>
      </c>
      <c r="B2370" s="3" t="s">
        <v>359</v>
      </c>
      <c r="C2370" s="3" t="s">
        <v>7837</v>
      </c>
      <c r="D2370" s="8" t="str">
        <f t="shared" si="1"/>
        <v>Abrir anúncio ↗</v>
      </c>
      <c r="E2370" s="9" t="s">
        <v>7835</v>
      </c>
      <c r="F2370" s="3" t="s">
        <v>29</v>
      </c>
      <c r="G2370" s="9" t="s">
        <v>4918</v>
      </c>
      <c r="H2370" s="9" t="s">
        <v>4919</v>
      </c>
      <c r="I2370" s="3"/>
      <c r="J2370" s="3"/>
      <c r="K2370" s="9"/>
    </row>
    <row r="2371" ht="15.75" customHeight="1">
      <c r="A2371" s="10" t="s">
        <v>12</v>
      </c>
      <c r="B2371" s="10" t="s">
        <v>359</v>
      </c>
      <c r="C2371" s="10" t="s">
        <v>10646</v>
      </c>
      <c r="D2371" s="11" t="str">
        <f t="shared" si="1"/>
        <v>Abrir anúncio ↗</v>
      </c>
      <c r="E2371" s="12" t="s">
        <v>10647</v>
      </c>
      <c r="F2371" s="10" t="s">
        <v>29</v>
      </c>
      <c r="G2371" s="12" t="s">
        <v>4918</v>
      </c>
      <c r="H2371" s="12" t="s">
        <v>4919</v>
      </c>
      <c r="I2371" s="10"/>
      <c r="J2371" s="10"/>
      <c r="K2371" s="12"/>
    </row>
    <row r="2372" ht="15.75" customHeight="1">
      <c r="A2372" s="3" t="s">
        <v>12</v>
      </c>
      <c r="B2372" s="3" t="s">
        <v>359</v>
      </c>
      <c r="C2372" s="3" t="s">
        <v>10648</v>
      </c>
      <c r="D2372" s="8" t="str">
        <f t="shared" si="1"/>
        <v>Abrir anúncio ↗</v>
      </c>
      <c r="E2372" s="9" t="s">
        <v>10649</v>
      </c>
      <c r="F2372" s="3" t="s">
        <v>29</v>
      </c>
      <c r="G2372" s="9" t="s">
        <v>4918</v>
      </c>
      <c r="H2372" s="9" t="s">
        <v>4919</v>
      </c>
      <c r="I2372" s="3"/>
      <c r="J2372" s="3"/>
      <c r="K2372" s="9"/>
    </row>
    <row r="2373" ht="15.75" customHeight="1">
      <c r="A2373" s="10" t="s">
        <v>12</v>
      </c>
      <c r="B2373" s="10" t="s">
        <v>359</v>
      </c>
      <c r="C2373" s="10" t="s">
        <v>10650</v>
      </c>
      <c r="D2373" s="11" t="str">
        <f t="shared" si="1"/>
        <v>Abrir anúncio ↗</v>
      </c>
      <c r="E2373" s="12" t="s">
        <v>10651</v>
      </c>
      <c r="F2373" s="10" t="s">
        <v>29</v>
      </c>
      <c r="G2373" s="12" t="s">
        <v>4918</v>
      </c>
      <c r="H2373" s="12" t="s">
        <v>4919</v>
      </c>
      <c r="I2373" s="10"/>
      <c r="J2373" s="10"/>
      <c r="K2373" s="12"/>
    </row>
    <row r="2374" ht="15.75" customHeight="1">
      <c r="A2374" s="3" t="s">
        <v>12</v>
      </c>
      <c r="B2374" s="3" t="s">
        <v>359</v>
      </c>
      <c r="C2374" s="3" t="s">
        <v>10652</v>
      </c>
      <c r="D2374" s="8" t="str">
        <f t="shared" si="1"/>
        <v>Abrir anúncio ↗</v>
      </c>
      <c r="E2374" s="9" t="s">
        <v>10653</v>
      </c>
      <c r="F2374" s="3" t="s">
        <v>29</v>
      </c>
      <c r="G2374" s="9" t="s">
        <v>4918</v>
      </c>
      <c r="H2374" s="9" t="s">
        <v>4919</v>
      </c>
      <c r="I2374" s="3"/>
      <c r="J2374" s="3"/>
      <c r="K2374" s="9"/>
    </row>
    <row r="2375" ht="15.75" customHeight="1">
      <c r="A2375" s="10" t="s">
        <v>12</v>
      </c>
      <c r="B2375" s="10" t="s">
        <v>359</v>
      </c>
      <c r="C2375" s="10" t="s">
        <v>10654</v>
      </c>
      <c r="D2375" s="11" t="str">
        <f t="shared" si="1"/>
        <v>Abrir anúncio ↗</v>
      </c>
      <c r="E2375" s="12" t="s">
        <v>10655</v>
      </c>
      <c r="F2375" s="10" t="s">
        <v>29</v>
      </c>
      <c r="G2375" s="12" t="s">
        <v>4918</v>
      </c>
      <c r="H2375" s="12" t="s">
        <v>4919</v>
      </c>
      <c r="I2375" s="10"/>
      <c r="J2375" s="10"/>
      <c r="K2375" s="12"/>
    </row>
    <row r="2376" ht="15.75" customHeight="1">
      <c r="A2376" s="3" t="s">
        <v>12</v>
      </c>
      <c r="B2376" s="3" t="s">
        <v>359</v>
      </c>
      <c r="C2376" s="3" t="s">
        <v>10656</v>
      </c>
      <c r="D2376" s="8" t="str">
        <f t="shared" si="1"/>
        <v>Abrir anúncio ↗</v>
      </c>
      <c r="E2376" s="9" t="s">
        <v>10657</v>
      </c>
      <c r="F2376" s="3" t="s">
        <v>29</v>
      </c>
      <c r="G2376" s="9" t="s">
        <v>4918</v>
      </c>
      <c r="H2376" s="9" t="s">
        <v>4919</v>
      </c>
      <c r="I2376" s="3"/>
      <c r="J2376" s="3"/>
      <c r="K2376" s="9"/>
    </row>
    <row r="2377" ht="15.75" customHeight="1">
      <c r="A2377" s="10" t="s">
        <v>12</v>
      </c>
      <c r="B2377" s="10" t="s">
        <v>359</v>
      </c>
      <c r="C2377" s="10" t="s">
        <v>10658</v>
      </c>
      <c r="D2377" s="11" t="str">
        <f t="shared" si="1"/>
        <v>Abrir anúncio ↗</v>
      </c>
      <c r="E2377" s="12" t="s">
        <v>10659</v>
      </c>
      <c r="F2377" s="10" t="s">
        <v>86</v>
      </c>
      <c r="G2377" s="12" t="s">
        <v>9253</v>
      </c>
      <c r="H2377" s="12" t="s">
        <v>9254</v>
      </c>
      <c r="I2377" s="10"/>
      <c r="J2377" s="10"/>
      <c r="K2377" s="12"/>
    </row>
    <row r="2378" ht="15.75" customHeight="1">
      <c r="A2378" s="3" t="s">
        <v>12</v>
      </c>
      <c r="B2378" s="3" t="s">
        <v>359</v>
      </c>
      <c r="C2378" s="3" t="s">
        <v>10660</v>
      </c>
      <c r="D2378" s="8" t="str">
        <f t="shared" si="1"/>
        <v>Abrir anúncio ↗</v>
      </c>
      <c r="E2378" s="9" t="s">
        <v>10661</v>
      </c>
      <c r="F2378" s="3" t="s">
        <v>29</v>
      </c>
      <c r="G2378" s="9" t="s">
        <v>4918</v>
      </c>
      <c r="H2378" s="9" t="s">
        <v>4919</v>
      </c>
      <c r="I2378" s="3"/>
      <c r="J2378" s="3"/>
      <c r="K2378" s="9"/>
    </row>
    <row r="2379" ht="15.75" customHeight="1">
      <c r="A2379" s="10" t="s">
        <v>12</v>
      </c>
      <c r="B2379" s="10" t="s">
        <v>359</v>
      </c>
      <c r="C2379" s="10" t="s">
        <v>7129</v>
      </c>
      <c r="D2379" s="11" t="str">
        <f t="shared" si="1"/>
        <v>Abrir anúncio ↗</v>
      </c>
      <c r="E2379" s="12" t="s">
        <v>7126</v>
      </c>
      <c r="F2379" s="10" t="s">
        <v>29</v>
      </c>
      <c r="G2379" s="12" t="s">
        <v>4918</v>
      </c>
      <c r="H2379" s="12" t="s">
        <v>4919</v>
      </c>
      <c r="I2379" s="10"/>
      <c r="J2379" s="10"/>
      <c r="K2379" s="12"/>
    </row>
    <row r="2380" ht="15.75" customHeight="1">
      <c r="A2380" s="3" t="s">
        <v>12</v>
      </c>
      <c r="B2380" s="3" t="s">
        <v>359</v>
      </c>
      <c r="C2380" s="3" t="s">
        <v>10662</v>
      </c>
      <c r="D2380" s="8" t="str">
        <f t="shared" si="1"/>
        <v>Abrir anúncio ↗</v>
      </c>
      <c r="E2380" s="9" t="s">
        <v>10663</v>
      </c>
      <c r="F2380" s="3" t="s">
        <v>29</v>
      </c>
      <c r="G2380" s="9" t="s">
        <v>4918</v>
      </c>
      <c r="H2380" s="9" t="s">
        <v>4919</v>
      </c>
      <c r="I2380" s="3"/>
      <c r="J2380" s="3"/>
      <c r="K2380" s="9"/>
    </row>
    <row r="2381" ht="15.75" customHeight="1">
      <c r="A2381" s="10" t="s">
        <v>12</v>
      </c>
      <c r="B2381" s="10" t="s">
        <v>359</v>
      </c>
      <c r="C2381" s="10" t="s">
        <v>10664</v>
      </c>
      <c r="D2381" s="11" t="str">
        <f t="shared" si="1"/>
        <v>Abrir anúncio ↗</v>
      </c>
      <c r="E2381" s="12" t="s">
        <v>10665</v>
      </c>
      <c r="F2381" s="10" t="s">
        <v>29</v>
      </c>
      <c r="G2381" s="12" t="s">
        <v>4918</v>
      </c>
      <c r="H2381" s="12" t="s">
        <v>4919</v>
      </c>
      <c r="I2381" s="10"/>
      <c r="J2381" s="10"/>
      <c r="K2381" s="12"/>
    </row>
    <row r="2382" ht="15.75" customHeight="1">
      <c r="A2382" s="3" t="s">
        <v>12</v>
      </c>
      <c r="B2382" s="3" t="s">
        <v>359</v>
      </c>
      <c r="C2382" s="3" t="s">
        <v>7868</v>
      </c>
      <c r="D2382" s="8" t="str">
        <f t="shared" si="1"/>
        <v>Abrir anúncio ↗</v>
      </c>
      <c r="E2382" s="9" t="s">
        <v>7865</v>
      </c>
      <c r="F2382" s="3" t="s">
        <v>29</v>
      </c>
      <c r="G2382" s="9" t="s">
        <v>4918</v>
      </c>
      <c r="H2382" s="9" t="s">
        <v>4919</v>
      </c>
      <c r="I2382" s="3"/>
      <c r="J2382" s="3"/>
      <c r="K2382" s="9"/>
    </row>
    <row r="2383" ht="15.75" customHeight="1">
      <c r="A2383" s="10" t="s">
        <v>12</v>
      </c>
      <c r="B2383" s="10" t="s">
        <v>359</v>
      </c>
      <c r="C2383" s="10" t="s">
        <v>10666</v>
      </c>
      <c r="D2383" s="11" t="str">
        <f t="shared" si="1"/>
        <v>Abrir anúncio ↗</v>
      </c>
      <c r="E2383" s="12" t="s">
        <v>10667</v>
      </c>
      <c r="F2383" s="10" t="s">
        <v>29</v>
      </c>
      <c r="G2383" s="12" t="s">
        <v>4918</v>
      </c>
      <c r="H2383" s="12" t="s">
        <v>4919</v>
      </c>
      <c r="I2383" s="10"/>
      <c r="J2383" s="10"/>
      <c r="K2383" s="12"/>
    </row>
    <row r="2384" ht="15.75" customHeight="1">
      <c r="A2384" s="3" t="s">
        <v>12</v>
      </c>
      <c r="B2384" s="3" t="s">
        <v>359</v>
      </c>
      <c r="C2384" s="3" t="s">
        <v>6520</v>
      </c>
      <c r="D2384" s="8" t="str">
        <f t="shared" si="1"/>
        <v>Abrir anúncio ↗</v>
      </c>
      <c r="E2384" s="9" t="s">
        <v>6514</v>
      </c>
      <c r="F2384" s="3" t="s">
        <v>29</v>
      </c>
      <c r="G2384" s="9" t="s">
        <v>4918</v>
      </c>
      <c r="H2384" s="9" t="s">
        <v>4919</v>
      </c>
      <c r="I2384" s="3"/>
      <c r="J2384" s="3"/>
      <c r="K2384" s="9"/>
    </row>
    <row r="2385" ht="15.75" customHeight="1">
      <c r="A2385" s="10" t="s">
        <v>12</v>
      </c>
      <c r="B2385" s="10" t="s">
        <v>359</v>
      </c>
      <c r="C2385" s="10" t="s">
        <v>10668</v>
      </c>
      <c r="D2385" s="11" t="str">
        <f t="shared" si="1"/>
        <v>Abrir anúncio ↗</v>
      </c>
      <c r="E2385" s="12" t="s">
        <v>10669</v>
      </c>
      <c r="F2385" s="10" t="s">
        <v>86</v>
      </c>
      <c r="G2385" s="12" t="s">
        <v>9253</v>
      </c>
      <c r="H2385" s="12" t="s">
        <v>9254</v>
      </c>
      <c r="I2385" s="10"/>
      <c r="J2385" s="10"/>
      <c r="K2385" s="12"/>
    </row>
    <row r="2386" ht="15.75" customHeight="1">
      <c r="A2386" s="3" t="s">
        <v>12</v>
      </c>
      <c r="B2386" s="3" t="s">
        <v>359</v>
      </c>
      <c r="C2386" s="3" t="s">
        <v>10670</v>
      </c>
      <c r="D2386" s="8" t="str">
        <f t="shared" si="1"/>
        <v>Abrir anúncio ↗</v>
      </c>
      <c r="E2386" s="9" t="s">
        <v>10671</v>
      </c>
      <c r="F2386" s="3" t="s">
        <v>29</v>
      </c>
      <c r="G2386" s="9" t="s">
        <v>9253</v>
      </c>
      <c r="H2386" s="9" t="s">
        <v>9254</v>
      </c>
      <c r="I2386" s="3"/>
      <c r="J2386" s="3"/>
      <c r="K2386" s="9"/>
    </row>
    <row r="2387" ht="15.75" customHeight="1">
      <c r="A2387" s="10" t="s">
        <v>12</v>
      </c>
      <c r="B2387" s="10" t="s">
        <v>359</v>
      </c>
      <c r="C2387" s="10" t="s">
        <v>10672</v>
      </c>
      <c r="D2387" s="11" t="str">
        <f t="shared" si="1"/>
        <v>Abrir anúncio ↗</v>
      </c>
      <c r="E2387" s="12" t="s">
        <v>10673</v>
      </c>
      <c r="F2387" s="10" t="s">
        <v>29</v>
      </c>
      <c r="G2387" s="12" t="s">
        <v>4918</v>
      </c>
      <c r="H2387" s="12" t="s">
        <v>4919</v>
      </c>
      <c r="I2387" s="10"/>
      <c r="J2387" s="10"/>
      <c r="K2387" s="12"/>
    </row>
    <row r="2388" ht="15.75" customHeight="1">
      <c r="A2388" s="3" t="s">
        <v>12</v>
      </c>
      <c r="B2388" s="3" t="s">
        <v>359</v>
      </c>
      <c r="C2388" s="3" t="s">
        <v>10674</v>
      </c>
      <c r="D2388" s="8" t="str">
        <f t="shared" si="1"/>
        <v>Abrir anúncio ↗</v>
      </c>
      <c r="E2388" s="9" t="s">
        <v>10675</v>
      </c>
      <c r="F2388" s="3" t="s">
        <v>29</v>
      </c>
      <c r="G2388" s="9" t="s">
        <v>4918</v>
      </c>
      <c r="H2388" s="9" t="s">
        <v>4919</v>
      </c>
      <c r="I2388" s="3"/>
      <c r="J2388" s="3"/>
      <c r="K2388" s="9"/>
    </row>
    <row r="2389" ht="15.75" customHeight="1">
      <c r="A2389" s="10" t="s">
        <v>12</v>
      </c>
      <c r="B2389" s="10" t="s">
        <v>359</v>
      </c>
      <c r="C2389" s="10" t="s">
        <v>10676</v>
      </c>
      <c r="D2389" s="11" t="str">
        <f t="shared" si="1"/>
        <v>Abrir anúncio ↗</v>
      </c>
      <c r="E2389" s="12" t="s">
        <v>10677</v>
      </c>
      <c r="F2389" s="10" t="s">
        <v>29</v>
      </c>
      <c r="G2389" s="12" t="s">
        <v>4918</v>
      </c>
      <c r="H2389" s="12" t="s">
        <v>4919</v>
      </c>
      <c r="I2389" s="10"/>
      <c r="J2389" s="10"/>
      <c r="K2389" s="12"/>
    </row>
    <row r="2390" ht="15.75" customHeight="1">
      <c r="A2390" s="3" t="s">
        <v>12</v>
      </c>
      <c r="B2390" s="3" t="s">
        <v>359</v>
      </c>
      <c r="C2390" s="3" t="s">
        <v>6976</v>
      </c>
      <c r="D2390" s="8" t="str">
        <f t="shared" si="1"/>
        <v>Abrir anúncio ↗</v>
      </c>
      <c r="E2390" s="9" t="s">
        <v>6975</v>
      </c>
      <c r="F2390" s="3" t="s">
        <v>29</v>
      </c>
      <c r="G2390" s="9" t="s">
        <v>4918</v>
      </c>
      <c r="H2390" s="9" t="s">
        <v>4919</v>
      </c>
      <c r="I2390" s="3"/>
      <c r="J2390" s="3"/>
      <c r="K2390" s="9"/>
    </row>
    <row r="2391" ht="15.75" customHeight="1">
      <c r="A2391" s="10" t="s">
        <v>12</v>
      </c>
      <c r="B2391" s="10" t="s">
        <v>359</v>
      </c>
      <c r="C2391" s="10" t="s">
        <v>10678</v>
      </c>
      <c r="D2391" s="11" t="str">
        <f t="shared" si="1"/>
        <v>Abrir anúncio ↗</v>
      </c>
      <c r="E2391" s="12" t="s">
        <v>10679</v>
      </c>
      <c r="F2391" s="10" t="s">
        <v>86</v>
      </c>
      <c r="G2391" s="12" t="s">
        <v>4918</v>
      </c>
      <c r="H2391" s="12" t="s">
        <v>4919</v>
      </c>
      <c r="I2391" s="10"/>
      <c r="J2391" s="10"/>
      <c r="K2391" s="12"/>
    </row>
    <row r="2392" ht="15.75" customHeight="1">
      <c r="A2392" s="3" t="s">
        <v>12</v>
      </c>
      <c r="B2392" s="3" t="s">
        <v>359</v>
      </c>
      <c r="C2392" s="3" t="s">
        <v>10680</v>
      </c>
      <c r="D2392" s="8" t="str">
        <f t="shared" si="1"/>
        <v>Abrir anúncio ↗</v>
      </c>
      <c r="E2392" s="9" t="s">
        <v>10681</v>
      </c>
      <c r="F2392" s="3" t="s">
        <v>29</v>
      </c>
      <c r="G2392" s="9" t="s">
        <v>4918</v>
      </c>
      <c r="H2392" s="9" t="s">
        <v>4919</v>
      </c>
      <c r="I2392" s="3"/>
      <c r="J2392" s="3"/>
      <c r="K2392" s="9"/>
    </row>
    <row r="2393" ht="15.75" customHeight="1">
      <c r="A2393" s="10" t="s">
        <v>12</v>
      </c>
      <c r="B2393" s="10" t="s">
        <v>359</v>
      </c>
      <c r="C2393" s="10" t="s">
        <v>10682</v>
      </c>
      <c r="D2393" s="11" t="str">
        <f t="shared" si="1"/>
        <v>Abrir anúncio ↗</v>
      </c>
      <c r="E2393" s="12" t="s">
        <v>10683</v>
      </c>
      <c r="F2393" s="10" t="s">
        <v>29</v>
      </c>
      <c r="G2393" s="12" t="s">
        <v>4918</v>
      </c>
      <c r="H2393" s="12" t="s">
        <v>4919</v>
      </c>
      <c r="I2393" s="10"/>
      <c r="J2393" s="10"/>
      <c r="K2393" s="12"/>
    </row>
    <row r="2394" ht="15.75" customHeight="1">
      <c r="A2394" s="3" t="s">
        <v>12</v>
      </c>
      <c r="B2394" s="3" t="s">
        <v>359</v>
      </c>
      <c r="C2394" s="3" t="s">
        <v>7428</v>
      </c>
      <c r="D2394" s="8" t="str">
        <f t="shared" si="1"/>
        <v>Abrir anúncio ↗</v>
      </c>
      <c r="E2394" s="9" t="s">
        <v>7423</v>
      </c>
      <c r="F2394" s="3" t="s">
        <v>29</v>
      </c>
      <c r="G2394" s="9" t="s">
        <v>4918</v>
      </c>
      <c r="H2394" s="9" t="s">
        <v>4919</v>
      </c>
      <c r="I2394" s="3"/>
      <c r="J2394" s="3"/>
      <c r="K2394" s="9"/>
    </row>
    <row r="2395" ht="15.75" customHeight="1">
      <c r="A2395" s="10" t="s">
        <v>12</v>
      </c>
      <c r="B2395" s="10" t="s">
        <v>359</v>
      </c>
      <c r="C2395" s="10" t="s">
        <v>10684</v>
      </c>
      <c r="D2395" s="11" t="str">
        <f t="shared" si="1"/>
        <v>Abrir anúncio ↗</v>
      </c>
      <c r="E2395" s="12" t="s">
        <v>10685</v>
      </c>
      <c r="F2395" s="10" t="s">
        <v>29</v>
      </c>
      <c r="G2395" s="12" t="s">
        <v>4918</v>
      </c>
      <c r="H2395" s="12" t="s">
        <v>4919</v>
      </c>
      <c r="I2395" s="10"/>
      <c r="J2395" s="10"/>
      <c r="K2395" s="12"/>
    </row>
    <row r="2396" ht="15.75" customHeight="1">
      <c r="A2396" s="3" t="s">
        <v>12</v>
      </c>
      <c r="B2396" s="3" t="s">
        <v>359</v>
      </c>
      <c r="C2396" s="3" t="s">
        <v>10686</v>
      </c>
      <c r="D2396" s="8" t="str">
        <f t="shared" si="1"/>
        <v>Abrir anúncio ↗</v>
      </c>
      <c r="E2396" s="9" t="s">
        <v>10687</v>
      </c>
      <c r="F2396" s="3" t="s">
        <v>29</v>
      </c>
      <c r="G2396" s="9" t="s">
        <v>4918</v>
      </c>
      <c r="H2396" s="9" t="s">
        <v>4919</v>
      </c>
      <c r="I2396" s="3"/>
      <c r="J2396" s="3"/>
      <c r="K2396" s="9"/>
    </row>
    <row r="2397" ht="15.75" customHeight="1">
      <c r="A2397" s="10" t="s">
        <v>12</v>
      </c>
      <c r="B2397" s="10" t="s">
        <v>359</v>
      </c>
      <c r="C2397" s="10" t="s">
        <v>10688</v>
      </c>
      <c r="D2397" s="11" t="str">
        <f t="shared" si="1"/>
        <v>Abrir anúncio ↗</v>
      </c>
      <c r="E2397" s="12" t="s">
        <v>10689</v>
      </c>
      <c r="F2397" s="10" t="s">
        <v>29</v>
      </c>
      <c r="G2397" s="12" t="s">
        <v>4918</v>
      </c>
      <c r="H2397" s="12" t="s">
        <v>4919</v>
      </c>
      <c r="I2397" s="10"/>
      <c r="J2397" s="10"/>
      <c r="K2397" s="12"/>
    </row>
    <row r="2398" ht="15.75" customHeight="1">
      <c r="A2398" s="3" t="s">
        <v>12</v>
      </c>
      <c r="B2398" s="3" t="s">
        <v>359</v>
      </c>
      <c r="C2398" s="3" t="s">
        <v>10690</v>
      </c>
      <c r="D2398" s="8" t="str">
        <f t="shared" si="1"/>
        <v>Abrir anúncio ↗</v>
      </c>
      <c r="E2398" s="9" t="s">
        <v>10691</v>
      </c>
      <c r="F2398" s="3" t="s">
        <v>29</v>
      </c>
      <c r="G2398" s="9" t="s">
        <v>4918</v>
      </c>
      <c r="H2398" s="9" t="s">
        <v>4919</v>
      </c>
      <c r="I2398" s="3"/>
      <c r="J2398" s="3"/>
      <c r="K2398" s="9"/>
    </row>
    <row r="2399" ht="15.75" customHeight="1">
      <c r="A2399" s="10" t="s">
        <v>12</v>
      </c>
      <c r="B2399" s="10" t="s">
        <v>359</v>
      </c>
      <c r="C2399" s="10" t="s">
        <v>10692</v>
      </c>
      <c r="D2399" s="11" t="str">
        <f t="shared" si="1"/>
        <v>Abrir anúncio ↗</v>
      </c>
      <c r="E2399" s="12" t="s">
        <v>10693</v>
      </c>
      <c r="F2399" s="10" t="s">
        <v>29</v>
      </c>
      <c r="G2399" s="12" t="s">
        <v>4918</v>
      </c>
      <c r="H2399" s="12" t="s">
        <v>4919</v>
      </c>
      <c r="I2399" s="10"/>
      <c r="J2399" s="10"/>
      <c r="K2399" s="12"/>
    </row>
    <row r="2400" ht="15.75" customHeight="1">
      <c r="A2400" s="3" t="s">
        <v>12</v>
      </c>
      <c r="B2400" s="3" t="s">
        <v>359</v>
      </c>
      <c r="C2400" s="3" t="s">
        <v>10694</v>
      </c>
      <c r="D2400" s="8" t="str">
        <f t="shared" si="1"/>
        <v>Abrir anúncio ↗</v>
      </c>
      <c r="E2400" s="9" t="s">
        <v>10695</v>
      </c>
      <c r="F2400" s="3" t="s">
        <v>29</v>
      </c>
      <c r="G2400" s="9" t="s">
        <v>4918</v>
      </c>
      <c r="H2400" s="9" t="s">
        <v>4919</v>
      </c>
      <c r="I2400" s="3"/>
      <c r="J2400" s="3"/>
      <c r="K2400" s="9"/>
    </row>
    <row r="2401" ht="15.75" customHeight="1">
      <c r="A2401" s="10" t="s">
        <v>12</v>
      </c>
      <c r="B2401" s="10" t="s">
        <v>359</v>
      </c>
      <c r="C2401" s="10" t="s">
        <v>10696</v>
      </c>
      <c r="D2401" s="11" t="str">
        <f t="shared" si="1"/>
        <v>Abrir anúncio ↗</v>
      </c>
      <c r="E2401" s="12" t="s">
        <v>10697</v>
      </c>
      <c r="F2401" s="10" t="s">
        <v>29</v>
      </c>
      <c r="G2401" s="12" t="s">
        <v>4918</v>
      </c>
      <c r="H2401" s="12" t="s">
        <v>4919</v>
      </c>
      <c r="I2401" s="10"/>
      <c r="J2401" s="10"/>
      <c r="K2401" s="12"/>
    </row>
    <row r="2402" ht="15.75" customHeight="1">
      <c r="A2402" s="3" t="s">
        <v>12</v>
      </c>
      <c r="B2402" s="3" t="s">
        <v>359</v>
      </c>
      <c r="C2402" s="3" t="s">
        <v>7684</v>
      </c>
      <c r="D2402" s="8" t="str">
        <f t="shared" si="1"/>
        <v>Abrir anúncio ↗</v>
      </c>
      <c r="E2402" s="9" t="s">
        <v>7679</v>
      </c>
      <c r="F2402" s="3" t="s">
        <v>29</v>
      </c>
      <c r="G2402" s="9" t="s">
        <v>4918</v>
      </c>
      <c r="H2402" s="9" t="s">
        <v>4919</v>
      </c>
      <c r="I2402" s="3"/>
      <c r="J2402" s="3"/>
      <c r="K2402" s="9"/>
    </row>
    <row r="2403" ht="15.75" customHeight="1">
      <c r="A2403" s="10" t="s">
        <v>12</v>
      </c>
      <c r="B2403" s="10" t="s">
        <v>359</v>
      </c>
      <c r="C2403" s="10" t="s">
        <v>10698</v>
      </c>
      <c r="D2403" s="11" t="str">
        <f t="shared" si="1"/>
        <v>Abrir anúncio ↗</v>
      </c>
      <c r="E2403" s="12" t="s">
        <v>10699</v>
      </c>
      <c r="F2403" s="10" t="s">
        <v>86</v>
      </c>
      <c r="G2403" s="12" t="s">
        <v>4918</v>
      </c>
      <c r="H2403" s="12" t="s">
        <v>4919</v>
      </c>
      <c r="I2403" s="10"/>
      <c r="J2403" s="10"/>
      <c r="K2403" s="12"/>
    </row>
    <row r="2404" ht="15.75" customHeight="1">
      <c r="A2404" s="3" t="s">
        <v>12</v>
      </c>
      <c r="B2404" s="3" t="s">
        <v>359</v>
      </c>
      <c r="C2404" s="3" t="s">
        <v>10700</v>
      </c>
      <c r="D2404" s="8" t="str">
        <f t="shared" si="1"/>
        <v>Abrir anúncio ↗</v>
      </c>
      <c r="E2404" s="9" t="s">
        <v>10701</v>
      </c>
      <c r="F2404" s="3" t="s">
        <v>86</v>
      </c>
      <c r="G2404" s="9" t="s">
        <v>4918</v>
      </c>
      <c r="H2404" s="9" t="s">
        <v>4919</v>
      </c>
      <c r="I2404" s="3"/>
      <c r="J2404" s="3"/>
      <c r="K2404" s="9"/>
    </row>
    <row r="2405" ht="15.75" customHeight="1">
      <c r="A2405" s="10" t="s">
        <v>12</v>
      </c>
      <c r="B2405" s="10" t="s">
        <v>359</v>
      </c>
      <c r="C2405" s="10" t="s">
        <v>10702</v>
      </c>
      <c r="D2405" s="11" t="str">
        <f t="shared" si="1"/>
        <v>Abrir anúncio ↗</v>
      </c>
      <c r="E2405" s="12" t="s">
        <v>10703</v>
      </c>
      <c r="F2405" s="10" t="s">
        <v>29</v>
      </c>
      <c r="G2405" s="12" t="s">
        <v>4918</v>
      </c>
      <c r="H2405" s="12" t="s">
        <v>4919</v>
      </c>
      <c r="I2405" s="10"/>
      <c r="J2405" s="10"/>
      <c r="K2405" s="12"/>
    </row>
    <row r="2406" ht="15.75" customHeight="1">
      <c r="A2406" s="3" t="s">
        <v>12</v>
      </c>
      <c r="B2406" s="3" t="s">
        <v>359</v>
      </c>
      <c r="C2406" s="3" t="s">
        <v>10704</v>
      </c>
      <c r="D2406" s="8" t="str">
        <f t="shared" si="1"/>
        <v>Abrir anúncio ↗</v>
      </c>
      <c r="E2406" s="9" t="s">
        <v>10705</v>
      </c>
      <c r="F2406" s="3" t="s">
        <v>29</v>
      </c>
      <c r="G2406" s="9" t="s">
        <v>4918</v>
      </c>
      <c r="H2406" s="9" t="s">
        <v>4919</v>
      </c>
      <c r="I2406" s="3"/>
      <c r="J2406" s="3"/>
      <c r="K2406" s="9"/>
    </row>
    <row r="2407" ht="15.75" customHeight="1">
      <c r="A2407" s="10" t="s">
        <v>12</v>
      </c>
      <c r="B2407" s="10" t="s">
        <v>359</v>
      </c>
      <c r="C2407" s="10" t="s">
        <v>10706</v>
      </c>
      <c r="D2407" s="11" t="str">
        <f t="shared" si="1"/>
        <v>Abrir anúncio ↗</v>
      </c>
      <c r="E2407" s="12" t="s">
        <v>10707</v>
      </c>
      <c r="F2407" s="10" t="s">
        <v>29</v>
      </c>
      <c r="G2407" s="12" t="s">
        <v>4918</v>
      </c>
      <c r="H2407" s="12" t="s">
        <v>4919</v>
      </c>
      <c r="I2407" s="10"/>
      <c r="J2407" s="10"/>
      <c r="K2407" s="12"/>
    </row>
    <row r="2408" ht="15.75" customHeight="1">
      <c r="A2408" s="3" t="s">
        <v>12</v>
      </c>
      <c r="B2408" s="3" t="s">
        <v>359</v>
      </c>
      <c r="C2408" s="3" t="s">
        <v>10708</v>
      </c>
      <c r="D2408" s="8" t="str">
        <f t="shared" si="1"/>
        <v>Abrir anúncio ↗</v>
      </c>
      <c r="E2408" s="9" t="s">
        <v>10709</v>
      </c>
      <c r="F2408" s="3" t="s">
        <v>29</v>
      </c>
      <c r="G2408" s="9" t="s">
        <v>4918</v>
      </c>
      <c r="H2408" s="9" t="s">
        <v>4919</v>
      </c>
      <c r="I2408" s="3"/>
      <c r="J2408" s="3"/>
      <c r="K2408" s="9"/>
    </row>
    <row r="2409" ht="15.75" customHeight="1">
      <c r="A2409" s="10" t="s">
        <v>12</v>
      </c>
      <c r="B2409" s="10" t="s">
        <v>359</v>
      </c>
      <c r="C2409" s="10" t="s">
        <v>10710</v>
      </c>
      <c r="D2409" s="11" t="str">
        <f t="shared" si="1"/>
        <v>Abrir anúncio ↗</v>
      </c>
      <c r="E2409" s="12" t="s">
        <v>10711</v>
      </c>
      <c r="F2409" s="10" t="s">
        <v>29</v>
      </c>
      <c r="G2409" s="12" t="s">
        <v>4918</v>
      </c>
      <c r="H2409" s="12" t="s">
        <v>4919</v>
      </c>
      <c r="I2409" s="10"/>
      <c r="J2409" s="10"/>
      <c r="K2409" s="12"/>
    </row>
    <row r="2410" ht="15.75" customHeight="1">
      <c r="A2410" s="3" t="s">
        <v>12</v>
      </c>
      <c r="B2410" s="3" t="s">
        <v>359</v>
      </c>
      <c r="C2410" s="3" t="s">
        <v>10712</v>
      </c>
      <c r="D2410" s="8" t="str">
        <f t="shared" si="1"/>
        <v>Abrir anúncio ↗</v>
      </c>
      <c r="E2410" s="9" t="s">
        <v>10713</v>
      </c>
      <c r="F2410" s="3" t="s">
        <v>29</v>
      </c>
      <c r="G2410" s="9" t="s">
        <v>4918</v>
      </c>
      <c r="H2410" s="9" t="s">
        <v>4919</v>
      </c>
      <c r="I2410" s="3"/>
      <c r="J2410" s="3"/>
      <c r="K2410" s="9"/>
    </row>
    <row r="2411" ht="15.75" customHeight="1">
      <c r="A2411" s="10" t="s">
        <v>12</v>
      </c>
      <c r="B2411" s="10" t="s">
        <v>359</v>
      </c>
      <c r="C2411" s="10" t="s">
        <v>10714</v>
      </c>
      <c r="D2411" s="11" t="str">
        <f t="shared" si="1"/>
        <v>Abrir anúncio ↗</v>
      </c>
      <c r="E2411" s="12" t="s">
        <v>10715</v>
      </c>
      <c r="F2411" s="10" t="s">
        <v>29</v>
      </c>
      <c r="G2411" s="12" t="s">
        <v>4918</v>
      </c>
      <c r="H2411" s="12" t="s">
        <v>4919</v>
      </c>
      <c r="I2411" s="10"/>
      <c r="J2411" s="10"/>
      <c r="K2411" s="12"/>
    </row>
    <row r="2412" ht="15.75" customHeight="1">
      <c r="A2412" s="3" t="s">
        <v>12</v>
      </c>
      <c r="B2412" s="3" t="s">
        <v>359</v>
      </c>
      <c r="C2412" s="3" t="s">
        <v>10716</v>
      </c>
      <c r="D2412" s="8" t="str">
        <f t="shared" si="1"/>
        <v>Abrir anúncio ↗</v>
      </c>
      <c r="E2412" s="9" t="s">
        <v>10717</v>
      </c>
      <c r="F2412" s="3" t="s">
        <v>29</v>
      </c>
      <c r="G2412" s="9" t="s">
        <v>4918</v>
      </c>
      <c r="H2412" s="9" t="s">
        <v>4919</v>
      </c>
      <c r="I2412" s="3"/>
      <c r="J2412" s="3"/>
      <c r="K2412" s="9"/>
    </row>
    <row r="2413" ht="15.75" customHeight="1">
      <c r="A2413" s="10" t="s">
        <v>12</v>
      </c>
      <c r="B2413" s="10" t="s">
        <v>359</v>
      </c>
      <c r="C2413" s="10" t="s">
        <v>10718</v>
      </c>
      <c r="D2413" s="11" t="str">
        <f t="shared" si="1"/>
        <v>Abrir anúncio ↗</v>
      </c>
      <c r="E2413" s="12" t="s">
        <v>10719</v>
      </c>
      <c r="F2413" s="10" t="s">
        <v>29</v>
      </c>
      <c r="G2413" s="12" t="s">
        <v>4918</v>
      </c>
      <c r="H2413" s="12" t="s">
        <v>4919</v>
      </c>
      <c r="I2413" s="10"/>
      <c r="J2413" s="10"/>
      <c r="K2413" s="12"/>
    </row>
    <row r="2414" ht="15.75" customHeight="1">
      <c r="A2414" s="3" t="s">
        <v>12</v>
      </c>
      <c r="B2414" s="3" t="s">
        <v>359</v>
      </c>
      <c r="C2414" s="3" t="s">
        <v>8255</v>
      </c>
      <c r="D2414" s="8" t="str">
        <f t="shared" si="1"/>
        <v>Abrir anúncio ↗</v>
      </c>
      <c r="E2414" s="9" t="s">
        <v>8252</v>
      </c>
      <c r="F2414" s="3" t="s">
        <v>29</v>
      </c>
      <c r="G2414" s="9" t="s">
        <v>4918</v>
      </c>
      <c r="H2414" s="9" t="s">
        <v>4919</v>
      </c>
      <c r="I2414" s="3"/>
      <c r="J2414" s="3"/>
      <c r="K2414" s="9"/>
    </row>
    <row r="2415" ht="15.75" customHeight="1">
      <c r="A2415" s="10" t="s">
        <v>12</v>
      </c>
      <c r="B2415" s="10" t="s">
        <v>359</v>
      </c>
      <c r="C2415" s="10" t="s">
        <v>10720</v>
      </c>
      <c r="D2415" s="11" t="str">
        <f t="shared" si="1"/>
        <v>Abrir anúncio ↗</v>
      </c>
      <c r="E2415" s="12" t="s">
        <v>10721</v>
      </c>
      <c r="F2415" s="10" t="s">
        <v>29</v>
      </c>
      <c r="G2415" s="12" t="s">
        <v>4918</v>
      </c>
      <c r="H2415" s="12" t="s">
        <v>4919</v>
      </c>
      <c r="I2415" s="10"/>
      <c r="J2415" s="10"/>
      <c r="K2415" s="12"/>
    </row>
    <row r="2416" ht="15.75" customHeight="1">
      <c r="A2416" s="3" t="s">
        <v>12</v>
      </c>
      <c r="B2416" s="3" t="s">
        <v>359</v>
      </c>
      <c r="C2416" s="3" t="s">
        <v>10722</v>
      </c>
      <c r="D2416" s="8" t="str">
        <f t="shared" si="1"/>
        <v>Abrir anúncio ↗</v>
      </c>
      <c r="E2416" s="9" t="s">
        <v>10723</v>
      </c>
      <c r="F2416" s="3" t="s">
        <v>29</v>
      </c>
      <c r="G2416" s="9" t="s">
        <v>4918</v>
      </c>
      <c r="H2416" s="9" t="s">
        <v>4919</v>
      </c>
      <c r="I2416" s="3"/>
      <c r="J2416" s="3"/>
      <c r="K2416" s="9"/>
    </row>
    <row r="2417" ht="15.75" customHeight="1">
      <c r="A2417" s="10" t="s">
        <v>12</v>
      </c>
      <c r="B2417" s="10" t="s">
        <v>359</v>
      </c>
      <c r="C2417" s="10" t="s">
        <v>10724</v>
      </c>
      <c r="D2417" s="11" t="str">
        <f t="shared" si="1"/>
        <v>Abrir anúncio ↗</v>
      </c>
      <c r="E2417" s="12" t="s">
        <v>10725</v>
      </c>
      <c r="F2417" s="10" t="s">
        <v>29</v>
      </c>
      <c r="G2417" s="12" t="s">
        <v>4918</v>
      </c>
      <c r="H2417" s="12" t="s">
        <v>4919</v>
      </c>
      <c r="I2417" s="10"/>
      <c r="J2417" s="10"/>
      <c r="K2417" s="12"/>
    </row>
    <row r="2418" ht="15.75" customHeight="1">
      <c r="A2418" s="3" t="s">
        <v>12</v>
      </c>
      <c r="B2418" s="3" t="s">
        <v>359</v>
      </c>
      <c r="C2418" s="3" t="s">
        <v>10726</v>
      </c>
      <c r="D2418" s="8" t="str">
        <f t="shared" si="1"/>
        <v>Abrir anúncio ↗</v>
      </c>
      <c r="E2418" s="9" t="s">
        <v>10727</v>
      </c>
      <c r="F2418" s="3" t="s">
        <v>29</v>
      </c>
      <c r="G2418" s="9" t="s">
        <v>4918</v>
      </c>
      <c r="H2418" s="9" t="s">
        <v>4919</v>
      </c>
      <c r="I2418" s="3"/>
      <c r="J2418" s="3"/>
      <c r="K2418" s="9"/>
    </row>
    <row r="2419" ht="15.75" customHeight="1">
      <c r="A2419" s="10" t="s">
        <v>12</v>
      </c>
      <c r="B2419" s="10" t="s">
        <v>359</v>
      </c>
      <c r="C2419" s="10" t="s">
        <v>10728</v>
      </c>
      <c r="D2419" s="11" t="str">
        <f t="shared" si="1"/>
        <v>Abrir anúncio ↗</v>
      </c>
      <c r="E2419" s="12" t="s">
        <v>10729</v>
      </c>
      <c r="F2419" s="10" t="s">
        <v>29</v>
      </c>
      <c r="G2419" s="12" t="s">
        <v>4918</v>
      </c>
      <c r="H2419" s="12" t="s">
        <v>4919</v>
      </c>
      <c r="I2419" s="10"/>
      <c r="J2419" s="10"/>
      <c r="K2419" s="12"/>
    </row>
    <row r="2420" ht="15.75" customHeight="1">
      <c r="A2420" s="3" t="s">
        <v>12</v>
      </c>
      <c r="B2420" s="3" t="s">
        <v>359</v>
      </c>
      <c r="C2420" s="3" t="s">
        <v>8245</v>
      </c>
      <c r="D2420" s="8" t="str">
        <f t="shared" si="1"/>
        <v>Abrir anúncio ↗</v>
      </c>
      <c r="E2420" s="9" t="s">
        <v>7356</v>
      </c>
      <c r="F2420" s="3" t="s">
        <v>29</v>
      </c>
      <c r="G2420" s="9" t="s">
        <v>4918</v>
      </c>
      <c r="H2420" s="9" t="s">
        <v>4919</v>
      </c>
      <c r="I2420" s="3"/>
      <c r="J2420" s="3"/>
      <c r="K2420" s="9"/>
    </row>
    <row r="2421" ht="15.75" customHeight="1">
      <c r="A2421" s="10" t="s">
        <v>12</v>
      </c>
      <c r="B2421" s="10" t="s">
        <v>359</v>
      </c>
      <c r="C2421" s="10" t="s">
        <v>10730</v>
      </c>
      <c r="D2421" s="11" t="str">
        <f t="shared" si="1"/>
        <v>Abrir anúncio ↗</v>
      </c>
      <c r="E2421" s="12" t="s">
        <v>10731</v>
      </c>
      <c r="F2421" s="10" t="s">
        <v>29</v>
      </c>
      <c r="G2421" s="12" t="s">
        <v>4918</v>
      </c>
      <c r="H2421" s="12" t="s">
        <v>4919</v>
      </c>
      <c r="I2421" s="10"/>
      <c r="J2421" s="10"/>
      <c r="K2421" s="12"/>
    </row>
    <row r="2422" ht="15.75" customHeight="1">
      <c r="A2422" s="3" t="s">
        <v>12</v>
      </c>
      <c r="B2422" s="3" t="s">
        <v>359</v>
      </c>
      <c r="C2422" s="3" t="s">
        <v>10732</v>
      </c>
      <c r="D2422" s="8" t="str">
        <f t="shared" si="1"/>
        <v>Abrir anúncio ↗</v>
      </c>
      <c r="E2422" s="9" t="s">
        <v>10733</v>
      </c>
      <c r="F2422" s="3" t="s">
        <v>29</v>
      </c>
      <c r="G2422" s="9" t="s">
        <v>4918</v>
      </c>
      <c r="H2422" s="9" t="s">
        <v>4919</v>
      </c>
      <c r="I2422" s="3"/>
      <c r="J2422" s="3"/>
      <c r="K2422" s="9"/>
    </row>
    <row r="2423" ht="15.75" customHeight="1">
      <c r="A2423" s="10" t="s">
        <v>12</v>
      </c>
      <c r="B2423" s="10" t="s">
        <v>359</v>
      </c>
      <c r="C2423" s="10" t="s">
        <v>6739</v>
      </c>
      <c r="D2423" s="11" t="str">
        <f t="shared" si="1"/>
        <v>Abrir anúncio ↗</v>
      </c>
      <c r="E2423" s="12" t="s">
        <v>6737</v>
      </c>
      <c r="F2423" s="10" t="s">
        <v>29</v>
      </c>
      <c r="G2423" s="12" t="s">
        <v>9285</v>
      </c>
      <c r="H2423" s="12" t="s">
        <v>10631</v>
      </c>
      <c r="I2423" s="10"/>
      <c r="J2423" s="10"/>
      <c r="K2423" s="12"/>
    </row>
    <row r="2424" ht="15.75" customHeight="1">
      <c r="A2424" s="3" t="s">
        <v>12</v>
      </c>
      <c r="B2424" s="3" t="s">
        <v>359</v>
      </c>
      <c r="C2424" s="3" t="s">
        <v>10734</v>
      </c>
      <c r="D2424" s="8" t="str">
        <f t="shared" si="1"/>
        <v>Abrir anúncio ↗</v>
      </c>
      <c r="E2424" s="9" t="s">
        <v>10735</v>
      </c>
      <c r="F2424" s="3" t="s">
        <v>29</v>
      </c>
      <c r="G2424" s="9" t="s">
        <v>4918</v>
      </c>
      <c r="H2424" s="9" t="s">
        <v>4919</v>
      </c>
      <c r="I2424" s="3"/>
      <c r="J2424" s="3"/>
      <c r="K2424" s="9"/>
    </row>
    <row r="2425" ht="15.75" customHeight="1">
      <c r="A2425" s="10" t="s">
        <v>12</v>
      </c>
      <c r="B2425" s="10" t="s">
        <v>359</v>
      </c>
      <c r="C2425" s="10" t="s">
        <v>10736</v>
      </c>
      <c r="D2425" s="11" t="str">
        <f t="shared" si="1"/>
        <v>Abrir anúncio ↗</v>
      </c>
      <c r="E2425" s="12" t="s">
        <v>10737</v>
      </c>
      <c r="F2425" s="10" t="s">
        <v>29</v>
      </c>
      <c r="G2425" s="12" t="s">
        <v>4918</v>
      </c>
      <c r="H2425" s="12" t="s">
        <v>4919</v>
      </c>
      <c r="I2425" s="10"/>
      <c r="J2425" s="10"/>
      <c r="K2425" s="12"/>
    </row>
    <row r="2426" ht="15.75" customHeight="1">
      <c r="A2426" s="3" t="s">
        <v>12</v>
      </c>
      <c r="B2426" s="3" t="s">
        <v>359</v>
      </c>
      <c r="C2426" s="3" t="s">
        <v>10738</v>
      </c>
      <c r="D2426" s="8" t="str">
        <f t="shared" si="1"/>
        <v>Abrir anúncio ↗</v>
      </c>
      <c r="E2426" s="9" t="s">
        <v>10739</v>
      </c>
      <c r="F2426" s="3" t="s">
        <v>29</v>
      </c>
      <c r="G2426" s="9" t="s">
        <v>4918</v>
      </c>
      <c r="H2426" s="9" t="s">
        <v>4919</v>
      </c>
      <c r="I2426" s="3"/>
      <c r="J2426" s="3"/>
      <c r="K2426" s="9"/>
    </row>
    <row r="2427" ht="15.75" customHeight="1">
      <c r="A2427" s="10" t="s">
        <v>12</v>
      </c>
      <c r="B2427" s="10" t="s">
        <v>359</v>
      </c>
      <c r="C2427" s="10" t="s">
        <v>10740</v>
      </c>
      <c r="D2427" s="11" t="str">
        <f t="shared" si="1"/>
        <v>Abrir anúncio ↗</v>
      </c>
      <c r="E2427" s="12" t="s">
        <v>10741</v>
      </c>
      <c r="F2427" s="10" t="s">
        <v>29</v>
      </c>
      <c r="G2427" s="12" t="s">
        <v>4918</v>
      </c>
      <c r="H2427" s="12" t="s">
        <v>4919</v>
      </c>
      <c r="I2427" s="10"/>
      <c r="J2427" s="10"/>
      <c r="K2427" s="12"/>
    </row>
    <row r="2428" ht="15.75" customHeight="1">
      <c r="A2428" s="3" t="s">
        <v>12</v>
      </c>
      <c r="B2428" s="3" t="s">
        <v>359</v>
      </c>
      <c r="C2428" s="3" t="s">
        <v>10742</v>
      </c>
      <c r="D2428" s="8" t="str">
        <f t="shared" si="1"/>
        <v>Abrir anúncio ↗</v>
      </c>
      <c r="E2428" s="9" t="s">
        <v>10743</v>
      </c>
      <c r="F2428" s="3" t="s">
        <v>29</v>
      </c>
      <c r="G2428" s="9" t="s">
        <v>4918</v>
      </c>
      <c r="H2428" s="9" t="s">
        <v>4919</v>
      </c>
      <c r="I2428" s="3"/>
      <c r="J2428" s="3"/>
      <c r="K2428" s="9"/>
    </row>
    <row r="2429" ht="15.75" customHeight="1">
      <c r="A2429" s="10" t="s">
        <v>12</v>
      </c>
      <c r="B2429" s="10" t="s">
        <v>359</v>
      </c>
      <c r="C2429" s="10" t="s">
        <v>10744</v>
      </c>
      <c r="D2429" s="11" t="str">
        <f t="shared" si="1"/>
        <v>Abrir anúncio ↗</v>
      </c>
      <c r="E2429" s="12" t="s">
        <v>10745</v>
      </c>
      <c r="F2429" s="10" t="s">
        <v>29</v>
      </c>
      <c r="G2429" s="12" t="s">
        <v>4918</v>
      </c>
      <c r="H2429" s="12" t="s">
        <v>4919</v>
      </c>
      <c r="I2429" s="10"/>
      <c r="J2429" s="10"/>
      <c r="K2429" s="12"/>
    </row>
    <row r="2430" ht="15.75" customHeight="1">
      <c r="A2430" s="3" t="s">
        <v>12</v>
      </c>
      <c r="B2430" s="3" t="s">
        <v>359</v>
      </c>
      <c r="C2430" s="3" t="s">
        <v>10746</v>
      </c>
      <c r="D2430" s="8" t="str">
        <f t="shared" si="1"/>
        <v>Abrir anúncio ↗</v>
      </c>
      <c r="E2430" s="9" t="s">
        <v>10747</v>
      </c>
      <c r="F2430" s="3" t="s">
        <v>29</v>
      </c>
      <c r="G2430" s="9" t="s">
        <v>4918</v>
      </c>
      <c r="H2430" s="9" t="s">
        <v>4919</v>
      </c>
      <c r="I2430" s="3"/>
      <c r="J2430" s="3"/>
      <c r="K2430" s="9"/>
    </row>
    <row r="2431" ht="15.75" customHeight="1">
      <c r="A2431" s="10" t="s">
        <v>12</v>
      </c>
      <c r="B2431" s="10" t="s">
        <v>359</v>
      </c>
      <c r="C2431" s="10" t="s">
        <v>8279</v>
      </c>
      <c r="D2431" s="11" t="str">
        <f t="shared" si="1"/>
        <v>Abrir anúncio ↗</v>
      </c>
      <c r="E2431" s="12" t="s">
        <v>8275</v>
      </c>
      <c r="F2431" s="10" t="s">
        <v>29</v>
      </c>
      <c r="G2431" s="12" t="s">
        <v>4918</v>
      </c>
      <c r="H2431" s="12" t="s">
        <v>4919</v>
      </c>
      <c r="I2431" s="10"/>
      <c r="J2431" s="10"/>
      <c r="K2431" s="12"/>
    </row>
    <row r="2432" ht="15.75" customHeight="1">
      <c r="A2432" s="3" t="s">
        <v>12</v>
      </c>
      <c r="B2432" s="3" t="s">
        <v>359</v>
      </c>
      <c r="C2432" s="3" t="s">
        <v>10748</v>
      </c>
      <c r="D2432" s="8" t="str">
        <f t="shared" si="1"/>
        <v>Abrir anúncio ↗</v>
      </c>
      <c r="E2432" s="9" t="s">
        <v>10749</v>
      </c>
      <c r="F2432" s="3" t="s">
        <v>29</v>
      </c>
      <c r="G2432" s="9" t="s">
        <v>4918</v>
      </c>
      <c r="H2432" s="9" t="s">
        <v>4919</v>
      </c>
      <c r="I2432" s="3"/>
      <c r="J2432" s="3"/>
      <c r="K2432" s="9"/>
    </row>
    <row r="2433" ht="15.75" customHeight="1">
      <c r="A2433" s="10" t="s">
        <v>12</v>
      </c>
      <c r="B2433" s="10" t="s">
        <v>359</v>
      </c>
      <c r="C2433" s="10" t="s">
        <v>10750</v>
      </c>
      <c r="D2433" s="11" t="str">
        <f t="shared" si="1"/>
        <v>Abrir anúncio ↗</v>
      </c>
      <c r="E2433" s="12" t="s">
        <v>10751</v>
      </c>
      <c r="F2433" s="10" t="s">
        <v>29</v>
      </c>
      <c r="G2433" s="12" t="s">
        <v>4918</v>
      </c>
      <c r="H2433" s="12" t="s">
        <v>4919</v>
      </c>
      <c r="I2433" s="10"/>
      <c r="J2433" s="10"/>
      <c r="K2433" s="12"/>
    </row>
    <row r="2434" ht="15.75" customHeight="1">
      <c r="A2434" s="3" t="s">
        <v>12</v>
      </c>
      <c r="B2434" s="3" t="s">
        <v>359</v>
      </c>
      <c r="C2434" s="3" t="s">
        <v>8631</v>
      </c>
      <c r="D2434" s="8" t="str">
        <f t="shared" si="1"/>
        <v>Abrir anúncio ↗</v>
      </c>
      <c r="E2434" s="9" t="s">
        <v>8630</v>
      </c>
      <c r="F2434" s="3" t="s">
        <v>29</v>
      </c>
      <c r="G2434" s="9" t="s">
        <v>4918</v>
      </c>
      <c r="H2434" s="9" t="s">
        <v>4919</v>
      </c>
      <c r="I2434" s="3"/>
      <c r="J2434" s="3"/>
      <c r="K2434" s="9"/>
    </row>
    <row r="2435" ht="15.75" customHeight="1">
      <c r="A2435" s="10" t="s">
        <v>12</v>
      </c>
      <c r="B2435" s="10" t="s">
        <v>359</v>
      </c>
      <c r="C2435" s="10" t="s">
        <v>10752</v>
      </c>
      <c r="D2435" s="11" t="str">
        <f t="shared" si="1"/>
        <v>Abrir anúncio ↗</v>
      </c>
      <c r="E2435" s="12" t="s">
        <v>10753</v>
      </c>
      <c r="F2435" s="10" t="s">
        <v>29</v>
      </c>
      <c r="G2435" s="12" t="s">
        <v>4918</v>
      </c>
      <c r="H2435" s="12" t="s">
        <v>4919</v>
      </c>
      <c r="I2435" s="10"/>
      <c r="J2435" s="10"/>
      <c r="K2435" s="12"/>
    </row>
    <row r="2436" ht="15.75" customHeight="1">
      <c r="A2436" s="3" t="s">
        <v>12</v>
      </c>
      <c r="B2436" s="3" t="s">
        <v>359</v>
      </c>
      <c r="C2436" s="3" t="s">
        <v>10754</v>
      </c>
      <c r="D2436" s="8" t="str">
        <f t="shared" si="1"/>
        <v>Abrir anúncio ↗</v>
      </c>
      <c r="E2436" s="9" t="s">
        <v>10755</v>
      </c>
      <c r="F2436" s="3" t="s">
        <v>29</v>
      </c>
      <c r="G2436" s="9" t="s">
        <v>4918</v>
      </c>
      <c r="H2436" s="9" t="s">
        <v>4919</v>
      </c>
      <c r="I2436" s="3"/>
      <c r="J2436" s="3"/>
      <c r="K2436" s="9"/>
    </row>
    <row r="2437" ht="15.75" customHeight="1">
      <c r="A2437" s="10" t="s">
        <v>12</v>
      </c>
      <c r="B2437" s="10" t="s">
        <v>359</v>
      </c>
      <c r="C2437" s="10" t="s">
        <v>10756</v>
      </c>
      <c r="D2437" s="11" t="str">
        <f t="shared" si="1"/>
        <v>Abrir anúncio ↗</v>
      </c>
      <c r="E2437" s="12" t="s">
        <v>10757</v>
      </c>
      <c r="F2437" s="10" t="s">
        <v>29</v>
      </c>
      <c r="G2437" s="12" t="s">
        <v>4918</v>
      </c>
      <c r="H2437" s="12" t="s">
        <v>4919</v>
      </c>
      <c r="I2437" s="10"/>
      <c r="J2437" s="10"/>
      <c r="K2437" s="12"/>
    </row>
    <row r="2438" ht="15.75" customHeight="1">
      <c r="A2438" s="3" t="s">
        <v>12</v>
      </c>
      <c r="B2438" s="3" t="s">
        <v>359</v>
      </c>
      <c r="C2438" s="3" t="s">
        <v>10758</v>
      </c>
      <c r="D2438" s="8" t="str">
        <f t="shared" si="1"/>
        <v>Abrir anúncio ↗</v>
      </c>
      <c r="E2438" s="9" t="s">
        <v>10759</v>
      </c>
      <c r="F2438" s="3" t="s">
        <v>29</v>
      </c>
      <c r="G2438" s="9" t="s">
        <v>4918</v>
      </c>
      <c r="H2438" s="9" t="s">
        <v>4919</v>
      </c>
      <c r="I2438" s="3"/>
      <c r="J2438" s="3"/>
      <c r="K2438" s="9"/>
    </row>
    <row r="2439" ht="15.75" customHeight="1">
      <c r="A2439" s="10" t="s">
        <v>12</v>
      </c>
      <c r="B2439" s="10" t="s">
        <v>359</v>
      </c>
      <c r="C2439" s="10" t="s">
        <v>8637</v>
      </c>
      <c r="D2439" s="11" t="str">
        <f t="shared" si="1"/>
        <v>Abrir anúncio ↗</v>
      </c>
      <c r="E2439" s="12" t="s">
        <v>8636</v>
      </c>
      <c r="F2439" s="10" t="s">
        <v>29</v>
      </c>
      <c r="G2439" s="12" t="s">
        <v>4918</v>
      </c>
      <c r="H2439" s="12" t="s">
        <v>4919</v>
      </c>
      <c r="I2439" s="10"/>
      <c r="J2439" s="10"/>
      <c r="K2439" s="12"/>
    </row>
    <row r="2440" ht="15.75" customHeight="1">
      <c r="A2440" s="3" t="s">
        <v>12</v>
      </c>
      <c r="B2440" s="3" t="s">
        <v>359</v>
      </c>
      <c r="C2440" s="3" t="s">
        <v>10760</v>
      </c>
      <c r="D2440" s="8" t="str">
        <f t="shared" si="1"/>
        <v>Abrir anúncio ↗</v>
      </c>
      <c r="E2440" s="9" t="s">
        <v>10761</v>
      </c>
      <c r="F2440" s="3" t="s">
        <v>29</v>
      </c>
      <c r="G2440" s="9" t="s">
        <v>4918</v>
      </c>
      <c r="H2440" s="9" t="s">
        <v>4919</v>
      </c>
      <c r="I2440" s="3"/>
      <c r="J2440" s="3"/>
      <c r="K2440" s="9"/>
    </row>
    <row r="2441" ht="15.75" customHeight="1">
      <c r="A2441" s="10" t="s">
        <v>12</v>
      </c>
      <c r="B2441" s="10" t="s">
        <v>359</v>
      </c>
      <c r="C2441" s="10" t="s">
        <v>10762</v>
      </c>
      <c r="D2441" s="11" t="str">
        <f t="shared" si="1"/>
        <v>Abrir anúncio ↗</v>
      </c>
      <c r="E2441" s="12" t="s">
        <v>10763</v>
      </c>
      <c r="F2441" s="10" t="s">
        <v>29</v>
      </c>
      <c r="G2441" s="12" t="s">
        <v>4918</v>
      </c>
      <c r="H2441" s="12" t="s">
        <v>4919</v>
      </c>
      <c r="I2441" s="10"/>
      <c r="J2441" s="10"/>
      <c r="K2441" s="12"/>
    </row>
    <row r="2442" ht="15.75" customHeight="1">
      <c r="A2442" s="3" t="s">
        <v>12</v>
      </c>
      <c r="B2442" s="3" t="s">
        <v>359</v>
      </c>
      <c r="C2442" s="3" t="s">
        <v>10764</v>
      </c>
      <c r="D2442" s="8" t="str">
        <f t="shared" si="1"/>
        <v>Abrir anúncio ↗</v>
      </c>
      <c r="E2442" s="9" t="s">
        <v>10765</v>
      </c>
      <c r="F2442" s="3" t="s">
        <v>29</v>
      </c>
      <c r="G2442" s="9" t="s">
        <v>4918</v>
      </c>
      <c r="H2442" s="9" t="s">
        <v>4919</v>
      </c>
      <c r="I2442" s="3"/>
      <c r="J2442" s="3"/>
      <c r="K2442" s="9"/>
    </row>
    <row r="2443" ht="15.75" customHeight="1">
      <c r="A2443" s="10" t="s">
        <v>12</v>
      </c>
      <c r="B2443" s="10" t="s">
        <v>359</v>
      </c>
      <c r="C2443" s="10" t="s">
        <v>10766</v>
      </c>
      <c r="D2443" s="11" t="str">
        <f t="shared" si="1"/>
        <v>Abrir anúncio ↗</v>
      </c>
      <c r="E2443" s="12" t="s">
        <v>10767</v>
      </c>
      <c r="F2443" s="10" t="s">
        <v>29</v>
      </c>
      <c r="G2443" s="12" t="s">
        <v>4918</v>
      </c>
      <c r="H2443" s="12" t="s">
        <v>4919</v>
      </c>
      <c r="I2443" s="10"/>
      <c r="J2443" s="10"/>
      <c r="K2443" s="12"/>
    </row>
    <row r="2444" ht="15.75" customHeight="1">
      <c r="A2444" s="3" t="s">
        <v>12</v>
      </c>
      <c r="B2444" s="3" t="s">
        <v>359</v>
      </c>
      <c r="C2444" s="3" t="s">
        <v>6835</v>
      </c>
      <c r="D2444" s="8" t="str">
        <f t="shared" si="1"/>
        <v>Abrir anúncio ↗</v>
      </c>
      <c r="E2444" s="9" t="s">
        <v>6829</v>
      </c>
      <c r="F2444" s="3" t="s">
        <v>29</v>
      </c>
      <c r="G2444" s="9" t="s">
        <v>4918</v>
      </c>
      <c r="H2444" s="9" t="s">
        <v>4919</v>
      </c>
      <c r="I2444" s="3"/>
      <c r="J2444" s="3"/>
      <c r="K2444" s="9"/>
    </row>
    <row r="2445" ht="15.75" customHeight="1">
      <c r="A2445" s="10" t="s">
        <v>12</v>
      </c>
      <c r="B2445" s="10" t="s">
        <v>359</v>
      </c>
      <c r="C2445" s="10" t="s">
        <v>10768</v>
      </c>
      <c r="D2445" s="11" t="str">
        <f t="shared" si="1"/>
        <v>Abrir anúncio ↗</v>
      </c>
      <c r="E2445" s="12" t="s">
        <v>10769</v>
      </c>
      <c r="F2445" s="10" t="s">
        <v>29</v>
      </c>
      <c r="G2445" s="12" t="s">
        <v>4918</v>
      </c>
      <c r="H2445" s="12" t="s">
        <v>4919</v>
      </c>
      <c r="I2445" s="10"/>
      <c r="J2445" s="10"/>
      <c r="K2445" s="12"/>
    </row>
    <row r="2446" ht="15.75" customHeight="1">
      <c r="A2446" s="3" t="s">
        <v>12</v>
      </c>
      <c r="B2446" s="3" t="s">
        <v>359</v>
      </c>
      <c r="C2446" s="3" t="s">
        <v>10770</v>
      </c>
      <c r="D2446" s="8" t="str">
        <f t="shared" si="1"/>
        <v>Abrir anúncio ↗</v>
      </c>
      <c r="E2446" s="9" t="s">
        <v>10771</v>
      </c>
      <c r="F2446" s="3" t="s">
        <v>29</v>
      </c>
      <c r="G2446" s="9" t="s">
        <v>4918</v>
      </c>
      <c r="H2446" s="9" t="s">
        <v>4919</v>
      </c>
      <c r="I2446" s="3"/>
      <c r="J2446" s="3"/>
      <c r="K2446" s="9"/>
    </row>
    <row r="2447" ht="15.75" customHeight="1">
      <c r="A2447" s="10" t="s">
        <v>12</v>
      </c>
      <c r="B2447" s="10" t="s">
        <v>359</v>
      </c>
      <c r="C2447" s="10" t="s">
        <v>7011</v>
      </c>
      <c r="D2447" s="11" t="str">
        <f t="shared" si="1"/>
        <v>Abrir anúncio ↗</v>
      </c>
      <c r="E2447" s="12" t="s">
        <v>7006</v>
      </c>
      <c r="F2447" s="10" t="s">
        <v>29</v>
      </c>
      <c r="G2447" s="12" t="s">
        <v>4918</v>
      </c>
      <c r="H2447" s="12" t="s">
        <v>4919</v>
      </c>
      <c r="I2447" s="10"/>
      <c r="J2447" s="10"/>
      <c r="K2447" s="12"/>
    </row>
    <row r="2448" ht="15.75" customHeight="1">
      <c r="A2448" s="3" t="s">
        <v>12</v>
      </c>
      <c r="B2448" s="3" t="s">
        <v>359</v>
      </c>
      <c r="C2448" s="3" t="s">
        <v>6453</v>
      </c>
      <c r="D2448" s="8" t="str">
        <f t="shared" si="1"/>
        <v>Abrir anúncio ↗</v>
      </c>
      <c r="E2448" s="9" t="s">
        <v>6450</v>
      </c>
      <c r="F2448" s="3" t="s">
        <v>29</v>
      </c>
      <c r="G2448" s="9" t="s">
        <v>4918</v>
      </c>
      <c r="H2448" s="9" t="s">
        <v>4919</v>
      </c>
      <c r="I2448" s="3"/>
      <c r="J2448" s="3"/>
      <c r="K2448" s="9"/>
    </row>
    <row r="2449" ht="15.75" customHeight="1">
      <c r="A2449" s="10" t="s">
        <v>12</v>
      </c>
      <c r="B2449" s="10" t="s">
        <v>359</v>
      </c>
      <c r="C2449" s="10" t="s">
        <v>10772</v>
      </c>
      <c r="D2449" s="11" t="str">
        <f t="shared" si="1"/>
        <v>Abrir anúncio ↗</v>
      </c>
      <c r="E2449" s="12" t="s">
        <v>10773</v>
      </c>
      <c r="F2449" s="10" t="s">
        <v>29</v>
      </c>
      <c r="G2449" s="12" t="s">
        <v>4918</v>
      </c>
      <c r="H2449" s="12" t="s">
        <v>4919</v>
      </c>
      <c r="I2449" s="10"/>
      <c r="J2449" s="10"/>
      <c r="K2449" s="12"/>
    </row>
    <row r="2450" ht="15.75" customHeight="1">
      <c r="A2450" s="3" t="s">
        <v>12</v>
      </c>
      <c r="B2450" s="3" t="s">
        <v>359</v>
      </c>
      <c r="C2450" s="3" t="s">
        <v>10774</v>
      </c>
      <c r="D2450" s="8" t="str">
        <f t="shared" si="1"/>
        <v>Abrir anúncio ↗</v>
      </c>
      <c r="E2450" s="9" t="s">
        <v>10775</v>
      </c>
      <c r="F2450" s="3" t="s">
        <v>29</v>
      </c>
      <c r="G2450" s="9" t="s">
        <v>4918</v>
      </c>
      <c r="H2450" s="9" t="s">
        <v>4919</v>
      </c>
      <c r="I2450" s="3"/>
      <c r="J2450" s="3"/>
      <c r="K2450" s="9"/>
    </row>
    <row r="2451" ht="15.75" customHeight="1">
      <c r="A2451" s="10" t="s">
        <v>12</v>
      </c>
      <c r="B2451" s="10" t="s">
        <v>359</v>
      </c>
      <c r="C2451" s="10" t="s">
        <v>10776</v>
      </c>
      <c r="D2451" s="11" t="str">
        <f t="shared" si="1"/>
        <v>Abrir anúncio ↗</v>
      </c>
      <c r="E2451" s="12" t="s">
        <v>10777</v>
      </c>
      <c r="F2451" s="10" t="s">
        <v>29</v>
      </c>
      <c r="G2451" s="12" t="s">
        <v>4918</v>
      </c>
      <c r="H2451" s="12" t="s">
        <v>4919</v>
      </c>
      <c r="I2451" s="10"/>
      <c r="J2451" s="10"/>
      <c r="K2451" s="12"/>
    </row>
    <row r="2452" ht="15.75" customHeight="1">
      <c r="A2452" s="3" t="s">
        <v>12</v>
      </c>
      <c r="B2452" s="3" t="s">
        <v>359</v>
      </c>
      <c r="C2452" s="3" t="s">
        <v>10778</v>
      </c>
      <c r="D2452" s="8" t="str">
        <f t="shared" si="1"/>
        <v>Abrir anúncio ↗</v>
      </c>
      <c r="E2452" s="9" t="s">
        <v>10779</v>
      </c>
      <c r="F2452" s="3" t="s">
        <v>29</v>
      </c>
      <c r="G2452" s="9" t="s">
        <v>4918</v>
      </c>
      <c r="H2452" s="9" t="s">
        <v>4919</v>
      </c>
      <c r="I2452" s="3"/>
      <c r="J2452" s="3"/>
      <c r="K2452" s="9"/>
    </row>
    <row r="2453" ht="15.75" customHeight="1">
      <c r="A2453" s="10" t="s">
        <v>12</v>
      </c>
      <c r="B2453" s="10" t="s">
        <v>359</v>
      </c>
      <c r="C2453" s="10" t="s">
        <v>10780</v>
      </c>
      <c r="D2453" s="11" t="str">
        <f t="shared" si="1"/>
        <v>Abrir anúncio ↗</v>
      </c>
      <c r="E2453" s="12" t="s">
        <v>10781</v>
      </c>
      <c r="F2453" s="10" t="s">
        <v>29</v>
      </c>
      <c r="G2453" s="12" t="s">
        <v>4918</v>
      </c>
      <c r="H2453" s="12" t="s">
        <v>4919</v>
      </c>
      <c r="I2453" s="10"/>
      <c r="J2453" s="10"/>
      <c r="K2453" s="12"/>
    </row>
    <row r="2454" ht="15.75" customHeight="1">
      <c r="A2454" s="3" t="s">
        <v>12</v>
      </c>
      <c r="B2454" s="3" t="s">
        <v>359</v>
      </c>
      <c r="C2454" s="3" t="s">
        <v>6635</v>
      </c>
      <c r="D2454" s="8" t="str">
        <f t="shared" si="1"/>
        <v>Abrir anúncio ↗</v>
      </c>
      <c r="E2454" s="9" t="s">
        <v>6629</v>
      </c>
      <c r="F2454" s="3" t="s">
        <v>29</v>
      </c>
      <c r="G2454" s="9" t="s">
        <v>4918</v>
      </c>
      <c r="H2454" s="9" t="s">
        <v>4919</v>
      </c>
      <c r="I2454" s="3"/>
      <c r="J2454" s="3"/>
      <c r="K2454" s="9"/>
    </row>
    <row r="2455" ht="15.75" customHeight="1">
      <c r="A2455" s="10" t="s">
        <v>12</v>
      </c>
      <c r="B2455" s="10" t="s">
        <v>359</v>
      </c>
      <c r="C2455" s="10" t="s">
        <v>10782</v>
      </c>
      <c r="D2455" s="11" t="str">
        <f t="shared" si="1"/>
        <v>Abrir anúncio ↗</v>
      </c>
      <c r="E2455" s="12" t="s">
        <v>10783</v>
      </c>
      <c r="F2455" s="10" t="s">
        <v>29</v>
      </c>
      <c r="G2455" s="12" t="s">
        <v>4918</v>
      </c>
      <c r="H2455" s="12" t="s">
        <v>4919</v>
      </c>
      <c r="I2455" s="10"/>
      <c r="J2455" s="10"/>
      <c r="K2455" s="12"/>
    </row>
    <row r="2456" ht="15.75" customHeight="1">
      <c r="A2456" s="3" t="s">
        <v>12</v>
      </c>
      <c r="B2456" s="3" t="s">
        <v>359</v>
      </c>
      <c r="C2456" s="3" t="s">
        <v>10784</v>
      </c>
      <c r="D2456" s="8" t="str">
        <f t="shared" si="1"/>
        <v>Abrir anúncio ↗</v>
      </c>
      <c r="E2456" s="9" t="s">
        <v>10785</v>
      </c>
      <c r="F2456" s="3" t="s">
        <v>29</v>
      </c>
      <c r="G2456" s="9" t="s">
        <v>4918</v>
      </c>
      <c r="H2456" s="9" t="s">
        <v>4919</v>
      </c>
      <c r="I2456" s="3"/>
      <c r="J2456" s="3"/>
      <c r="K2456" s="9"/>
    </row>
    <row r="2457" ht="15.75" customHeight="1">
      <c r="A2457" s="10" t="s">
        <v>12</v>
      </c>
      <c r="B2457" s="10" t="s">
        <v>359</v>
      </c>
      <c r="C2457" s="10" t="s">
        <v>8379</v>
      </c>
      <c r="D2457" s="11" t="str">
        <f t="shared" si="1"/>
        <v>Abrir anúncio ↗</v>
      </c>
      <c r="E2457" s="12" t="s">
        <v>8375</v>
      </c>
      <c r="F2457" s="10" t="s">
        <v>29</v>
      </c>
      <c r="G2457" s="12" t="s">
        <v>4918</v>
      </c>
      <c r="H2457" s="12" t="s">
        <v>4919</v>
      </c>
      <c r="I2457" s="10"/>
      <c r="J2457" s="10"/>
      <c r="K2457" s="12"/>
    </row>
    <row r="2458" ht="15.75" customHeight="1">
      <c r="A2458" s="3" t="s">
        <v>12</v>
      </c>
      <c r="B2458" s="3" t="s">
        <v>359</v>
      </c>
      <c r="C2458" s="3" t="s">
        <v>10786</v>
      </c>
      <c r="D2458" s="8" t="str">
        <f t="shared" si="1"/>
        <v>Abrir anúncio ↗</v>
      </c>
      <c r="E2458" s="9" t="s">
        <v>10787</v>
      </c>
      <c r="F2458" s="3" t="s">
        <v>29</v>
      </c>
      <c r="G2458" s="9" t="s">
        <v>4918</v>
      </c>
      <c r="H2458" s="9" t="s">
        <v>4919</v>
      </c>
      <c r="I2458" s="3"/>
      <c r="J2458" s="3"/>
      <c r="K2458" s="9"/>
    </row>
    <row r="2459" ht="15.75" customHeight="1">
      <c r="A2459" s="10" t="s">
        <v>12</v>
      </c>
      <c r="B2459" s="10" t="s">
        <v>359</v>
      </c>
      <c r="C2459" s="10" t="s">
        <v>8664</v>
      </c>
      <c r="D2459" s="11" t="str">
        <f t="shared" si="1"/>
        <v>Abrir anúncio ↗</v>
      </c>
      <c r="E2459" s="12" t="s">
        <v>8663</v>
      </c>
      <c r="F2459" s="10" t="s">
        <v>29</v>
      </c>
      <c r="G2459" s="12" t="s">
        <v>4918</v>
      </c>
      <c r="H2459" s="12" t="s">
        <v>4919</v>
      </c>
      <c r="I2459" s="10"/>
      <c r="J2459" s="10"/>
      <c r="K2459" s="12"/>
    </row>
    <row r="2460" ht="15.75" customHeight="1">
      <c r="A2460" s="3" t="s">
        <v>12</v>
      </c>
      <c r="B2460" s="3" t="s">
        <v>359</v>
      </c>
      <c r="C2460" s="3" t="s">
        <v>10788</v>
      </c>
      <c r="D2460" s="8" t="str">
        <f t="shared" si="1"/>
        <v>Abrir anúncio ↗</v>
      </c>
      <c r="E2460" s="9" t="s">
        <v>10789</v>
      </c>
      <c r="F2460" s="3" t="s">
        <v>29</v>
      </c>
      <c r="G2460" s="9" t="s">
        <v>4918</v>
      </c>
      <c r="H2460" s="9" t="s">
        <v>4919</v>
      </c>
      <c r="I2460" s="3"/>
      <c r="J2460" s="3"/>
      <c r="K2460" s="9"/>
    </row>
    <row r="2461" ht="15.75" customHeight="1">
      <c r="A2461" s="10" t="s">
        <v>12</v>
      </c>
      <c r="B2461" s="10" t="s">
        <v>359</v>
      </c>
      <c r="C2461" s="10" t="s">
        <v>8292</v>
      </c>
      <c r="D2461" s="11" t="str">
        <f t="shared" si="1"/>
        <v>Abrir anúncio ↗</v>
      </c>
      <c r="E2461" s="12" t="s">
        <v>8288</v>
      </c>
      <c r="F2461" s="10" t="s">
        <v>29</v>
      </c>
      <c r="G2461" s="12" t="s">
        <v>4918</v>
      </c>
      <c r="H2461" s="12" t="s">
        <v>4919</v>
      </c>
      <c r="I2461" s="10"/>
      <c r="J2461" s="10"/>
      <c r="K2461" s="12"/>
    </row>
    <row r="2462" ht="15.75" customHeight="1">
      <c r="A2462" s="3" t="s">
        <v>12</v>
      </c>
      <c r="B2462" s="3" t="s">
        <v>359</v>
      </c>
      <c r="C2462" s="3" t="s">
        <v>10790</v>
      </c>
      <c r="D2462" s="8" t="str">
        <f t="shared" si="1"/>
        <v>Abrir anúncio ↗</v>
      </c>
      <c r="E2462" s="9" t="s">
        <v>10791</v>
      </c>
      <c r="F2462" s="3" t="s">
        <v>29</v>
      </c>
      <c r="G2462" s="9" t="s">
        <v>4918</v>
      </c>
      <c r="H2462" s="9" t="s">
        <v>4919</v>
      </c>
      <c r="I2462" s="3"/>
      <c r="J2462" s="3"/>
      <c r="K2462" s="9"/>
    </row>
    <row r="2463" ht="15.75" customHeight="1">
      <c r="A2463" s="10" t="s">
        <v>12</v>
      </c>
      <c r="B2463" s="10" t="s">
        <v>359</v>
      </c>
      <c r="C2463" s="10" t="s">
        <v>8298</v>
      </c>
      <c r="D2463" s="11" t="str">
        <f t="shared" si="1"/>
        <v>Abrir anúncio ↗</v>
      </c>
      <c r="E2463" s="12" t="s">
        <v>8295</v>
      </c>
      <c r="F2463" s="10" t="s">
        <v>29</v>
      </c>
      <c r="G2463" s="12" t="s">
        <v>4918</v>
      </c>
      <c r="H2463" s="12" t="s">
        <v>4919</v>
      </c>
      <c r="I2463" s="10"/>
      <c r="J2463" s="10"/>
      <c r="K2463" s="12"/>
    </row>
    <row r="2464" ht="15.75" customHeight="1">
      <c r="A2464" s="3" t="s">
        <v>12</v>
      </c>
      <c r="B2464" s="3" t="s">
        <v>359</v>
      </c>
      <c r="C2464" s="3" t="s">
        <v>10792</v>
      </c>
      <c r="D2464" s="8" t="str">
        <f t="shared" si="1"/>
        <v>Abrir anúncio ↗</v>
      </c>
      <c r="E2464" s="9" t="s">
        <v>10793</v>
      </c>
      <c r="F2464" s="3" t="s">
        <v>29</v>
      </c>
      <c r="G2464" s="9" t="s">
        <v>4918</v>
      </c>
      <c r="H2464" s="9" t="s">
        <v>4919</v>
      </c>
      <c r="I2464" s="3"/>
      <c r="J2464" s="3"/>
      <c r="K2464" s="9"/>
    </row>
    <row r="2465" ht="15.75" customHeight="1">
      <c r="A2465" s="10" t="s">
        <v>12</v>
      </c>
      <c r="B2465" s="10" t="s">
        <v>359</v>
      </c>
      <c r="C2465" s="10" t="s">
        <v>8253</v>
      </c>
      <c r="D2465" s="11" t="str">
        <f t="shared" si="1"/>
        <v>Abrir anúncio ↗</v>
      </c>
      <c r="E2465" s="12" t="s">
        <v>8252</v>
      </c>
      <c r="F2465" s="10" t="s">
        <v>29</v>
      </c>
      <c r="G2465" s="12" t="s">
        <v>4918</v>
      </c>
      <c r="H2465" s="12" t="s">
        <v>4919</v>
      </c>
      <c r="I2465" s="10"/>
      <c r="J2465" s="10"/>
      <c r="K2465" s="12"/>
    </row>
    <row r="2466" ht="15.75" customHeight="1">
      <c r="A2466" s="3" t="s">
        <v>12</v>
      </c>
      <c r="B2466" s="3" t="s">
        <v>359</v>
      </c>
      <c r="C2466" s="3" t="s">
        <v>6459</v>
      </c>
      <c r="D2466" s="8" t="str">
        <f t="shared" si="1"/>
        <v>Abrir anúncio ↗</v>
      </c>
      <c r="E2466" s="9" t="s">
        <v>6450</v>
      </c>
      <c r="F2466" s="3" t="s">
        <v>29</v>
      </c>
      <c r="G2466" s="9" t="s">
        <v>4918</v>
      </c>
      <c r="H2466" s="9" t="s">
        <v>4919</v>
      </c>
      <c r="I2466" s="3"/>
      <c r="J2466" s="3"/>
      <c r="K2466" s="9"/>
    </row>
    <row r="2467" ht="15.75" customHeight="1">
      <c r="A2467" s="10" t="s">
        <v>12</v>
      </c>
      <c r="B2467" s="10" t="s">
        <v>359</v>
      </c>
      <c r="C2467" s="10" t="s">
        <v>7537</v>
      </c>
      <c r="D2467" s="11" t="str">
        <f t="shared" si="1"/>
        <v>Abrir anúncio ↗</v>
      </c>
      <c r="E2467" s="12" t="s">
        <v>7532</v>
      </c>
      <c r="F2467" s="10" t="s">
        <v>29</v>
      </c>
      <c r="G2467" s="12" t="s">
        <v>9253</v>
      </c>
      <c r="H2467" s="12" t="s">
        <v>9254</v>
      </c>
      <c r="I2467" s="10"/>
      <c r="J2467" s="10"/>
      <c r="K2467" s="12"/>
    </row>
    <row r="2468" ht="15.75" customHeight="1">
      <c r="A2468" s="3" t="s">
        <v>12</v>
      </c>
      <c r="B2468" s="3" t="s">
        <v>359</v>
      </c>
      <c r="C2468" s="3" t="s">
        <v>8226</v>
      </c>
      <c r="D2468" s="8" t="str">
        <f t="shared" si="1"/>
        <v>Abrir anúncio ↗</v>
      </c>
      <c r="E2468" s="9" t="s">
        <v>8222</v>
      </c>
      <c r="F2468" s="3" t="s">
        <v>29</v>
      </c>
      <c r="G2468" s="9" t="s">
        <v>9253</v>
      </c>
      <c r="H2468" s="9" t="s">
        <v>9254</v>
      </c>
      <c r="I2468" s="3"/>
      <c r="J2468" s="3"/>
      <c r="K2468" s="9"/>
    </row>
    <row r="2469" ht="15.75" customHeight="1">
      <c r="A2469" s="10" t="s">
        <v>12</v>
      </c>
      <c r="B2469" s="10" t="s">
        <v>359</v>
      </c>
      <c r="C2469" s="10" t="s">
        <v>6806</v>
      </c>
      <c r="D2469" s="11" t="str">
        <f t="shared" si="1"/>
        <v>Abrir anúncio ↗</v>
      </c>
      <c r="E2469" s="12" t="s">
        <v>6805</v>
      </c>
      <c r="F2469" s="10" t="s">
        <v>29</v>
      </c>
      <c r="G2469" s="12" t="s">
        <v>4918</v>
      </c>
      <c r="H2469" s="12" t="s">
        <v>4919</v>
      </c>
      <c r="I2469" s="10"/>
      <c r="J2469" s="10"/>
      <c r="K2469" s="12"/>
    </row>
    <row r="2470" ht="15.75" customHeight="1">
      <c r="A2470" s="3" t="s">
        <v>12</v>
      </c>
      <c r="B2470" s="3" t="s">
        <v>359</v>
      </c>
      <c r="C2470" s="3" t="s">
        <v>8593</v>
      </c>
      <c r="D2470" s="8" t="str">
        <f t="shared" si="1"/>
        <v>Abrir anúncio ↗</v>
      </c>
      <c r="E2470" s="9" t="s">
        <v>8589</v>
      </c>
      <c r="F2470" s="3" t="s">
        <v>29</v>
      </c>
      <c r="G2470" s="9" t="s">
        <v>9253</v>
      </c>
      <c r="H2470" s="9" t="s">
        <v>9254</v>
      </c>
      <c r="I2470" s="3"/>
      <c r="J2470" s="3"/>
      <c r="K2470" s="9"/>
    </row>
    <row r="2471" ht="15.75" customHeight="1">
      <c r="A2471" s="10" t="s">
        <v>12</v>
      </c>
      <c r="B2471" s="10" t="s">
        <v>359</v>
      </c>
      <c r="C2471" s="10" t="s">
        <v>7914</v>
      </c>
      <c r="D2471" s="11" t="str">
        <f t="shared" si="1"/>
        <v>Abrir anúncio ↗</v>
      </c>
      <c r="E2471" s="12" t="s">
        <v>7910</v>
      </c>
      <c r="F2471" s="10" t="s">
        <v>29</v>
      </c>
      <c r="G2471" s="12" t="s">
        <v>4918</v>
      </c>
      <c r="H2471" s="12" t="s">
        <v>4919</v>
      </c>
      <c r="I2471" s="10"/>
      <c r="J2471" s="10"/>
      <c r="K2471" s="12"/>
    </row>
    <row r="2472" ht="15.75" customHeight="1">
      <c r="A2472" s="3" t="s">
        <v>12</v>
      </c>
      <c r="B2472" s="3" t="s">
        <v>359</v>
      </c>
      <c r="C2472" s="3" t="s">
        <v>7812</v>
      </c>
      <c r="D2472" s="8" t="str">
        <f t="shared" si="1"/>
        <v>Abrir anúncio ↗</v>
      </c>
      <c r="E2472" s="9" t="s">
        <v>7811</v>
      </c>
      <c r="F2472" s="3" t="s">
        <v>29</v>
      </c>
      <c r="G2472" s="9" t="s">
        <v>9253</v>
      </c>
      <c r="H2472" s="9" t="s">
        <v>9254</v>
      </c>
      <c r="I2472" s="3"/>
      <c r="J2472" s="3"/>
      <c r="K2472" s="9"/>
    </row>
    <row r="2473" ht="15.75" customHeight="1">
      <c r="A2473" s="10" t="s">
        <v>12</v>
      </c>
      <c r="B2473" s="10" t="s">
        <v>359</v>
      </c>
      <c r="C2473" s="10" t="s">
        <v>8577</v>
      </c>
      <c r="D2473" s="11" t="str">
        <f t="shared" si="1"/>
        <v>Abrir anúncio ↗</v>
      </c>
      <c r="E2473" s="12" t="s">
        <v>8575</v>
      </c>
      <c r="F2473" s="10" t="s">
        <v>29</v>
      </c>
      <c r="G2473" s="12" t="s">
        <v>9253</v>
      </c>
      <c r="H2473" s="12" t="s">
        <v>9254</v>
      </c>
      <c r="I2473" s="10"/>
      <c r="J2473" s="10"/>
      <c r="K2473" s="12"/>
    </row>
    <row r="2474" ht="15.75" customHeight="1">
      <c r="A2474" s="3" t="s">
        <v>12</v>
      </c>
      <c r="B2474" s="3" t="s">
        <v>359</v>
      </c>
      <c r="C2474" s="3" t="s">
        <v>6515</v>
      </c>
      <c r="D2474" s="8" t="str">
        <f t="shared" si="1"/>
        <v>Abrir anúncio ↗</v>
      </c>
      <c r="E2474" s="9" t="s">
        <v>6514</v>
      </c>
      <c r="F2474" s="3" t="s">
        <v>29</v>
      </c>
      <c r="G2474" s="9" t="s">
        <v>4918</v>
      </c>
      <c r="H2474" s="9" t="s">
        <v>4919</v>
      </c>
      <c r="I2474" s="3"/>
      <c r="J2474" s="3"/>
      <c r="K2474" s="9"/>
    </row>
    <row r="2475" ht="15.75" customHeight="1">
      <c r="A2475" s="10" t="s">
        <v>12</v>
      </c>
      <c r="B2475" s="10" t="s">
        <v>359</v>
      </c>
      <c r="C2475" s="10" t="s">
        <v>7780</v>
      </c>
      <c r="D2475" s="11" t="str">
        <f t="shared" si="1"/>
        <v>Abrir anúncio ↗</v>
      </c>
      <c r="E2475" s="12" t="s">
        <v>7777</v>
      </c>
      <c r="F2475" s="10" t="s">
        <v>29</v>
      </c>
      <c r="G2475" s="12" t="s">
        <v>9253</v>
      </c>
      <c r="H2475" s="12" t="s">
        <v>9254</v>
      </c>
      <c r="I2475" s="10"/>
      <c r="J2475" s="10"/>
      <c r="K2475" s="12"/>
    </row>
    <row r="2476" ht="15.75" customHeight="1">
      <c r="A2476" s="3" t="s">
        <v>12</v>
      </c>
      <c r="B2476" s="3" t="s">
        <v>359</v>
      </c>
      <c r="C2476" s="3" t="s">
        <v>7590</v>
      </c>
      <c r="D2476" s="8" t="str">
        <f t="shared" si="1"/>
        <v>Abrir anúncio ↗</v>
      </c>
      <c r="E2476" s="9" t="s">
        <v>7588</v>
      </c>
      <c r="F2476" s="3" t="s">
        <v>29</v>
      </c>
      <c r="G2476" s="9" t="s">
        <v>4918</v>
      </c>
      <c r="H2476" s="9" t="s">
        <v>4919</v>
      </c>
      <c r="I2476" s="3"/>
      <c r="J2476" s="3"/>
      <c r="K2476" s="9"/>
    </row>
    <row r="2477" ht="15.75" customHeight="1">
      <c r="A2477" s="10" t="s">
        <v>12</v>
      </c>
      <c r="B2477" s="10" t="s">
        <v>359</v>
      </c>
      <c r="C2477" s="10" t="s">
        <v>10794</v>
      </c>
      <c r="D2477" s="11" t="str">
        <f t="shared" si="1"/>
        <v>Abrir anúncio ↗</v>
      </c>
      <c r="E2477" s="12" t="s">
        <v>10795</v>
      </c>
      <c r="F2477" s="10" t="s">
        <v>29</v>
      </c>
      <c r="G2477" s="12" t="s">
        <v>4918</v>
      </c>
      <c r="H2477" s="12" t="s">
        <v>4919</v>
      </c>
      <c r="I2477" s="10"/>
      <c r="J2477" s="10"/>
      <c r="K2477" s="12"/>
    </row>
    <row r="2478" ht="15.75" customHeight="1">
      <c r="A2478" s="3" t="s">
        <v>12</v>
      </c>
      <c r="B2478" s="3" t="s">
        <v>359</v>
      </c>
      <c r="C2478" s="3" t="s">
        <v>10796</v>
      </c>
      <c r="D2478" s="8" t="str">
        <f t="shared" si="1"/>
        <v>Abrir anúncio ↗</v>
      </c>
      <c r="E2478" s="9" t="s">
        <v>10797</v>
      </c>
      <c r="F2478" s="3" t="s">
        <v>29</v>
      </c>
      <c r="G2478" s="9" t="s">
        <v>4918</v>
      </c>
      <c r="H2478" s="9" t="s">
        <v>4919</v>
      </c>
      <c r="I2478" s="3"/>
      <c r="J2478" s="3"/>
      <c r="K2478" s="9"/>
    </row>
    <row r="2479" ht="15.75" customHeight="1">
      <c r="A2479" s="10" t="s">
        <v>12</v>
      </c>
      <c r="B2479" s="10" t="s">
        <v>359</v>
      </c>
      <c r="C2479" s="10" t="s">
        <v>10798</v>
      </c>
      <c r="D2479" s="11" t="str">
        <f t="shared" si="1"/>
        <v>Abrir anúncio ↗</v>
      </c>
      <c r="E2479" s="12" t="s">
        <v>10799</v>
      </c>
      <c r="F2479" s="10" t="s">
        <v>29</v>
      </c>
      <c r="G2479" s="12" t="s">
        <v>4918</v>
      </c>
      <c r="H2479" s="12" t="s">
        <v>4919</v>
      </c>
      <c r="I2479" s="10"/>
      <c r="J2479" s="10"/>
      <c r="K2479" s="12"/>
    </row>
    <row r="2480" ht="15.75" customHeight="1">
      <c r="A2480" s="3" t="s">
        <v>12</v>
      </c>
      <c r="B2480" s="3" t="s">
        <v>359</v>
      </c>
      <c r="C2480" s="3" t="s">
        <v>10800</v>
      </c>
      <c r="D2480" s="8" t="str">
        <f t="shared" si="1"/>
        <v>Abrir anúncio ↗</v>
      </c>
      <c r="E2480" s="9" t="s">
        <v>10801</v>
      </c>
      <c r="F2480" s="3" t="s">
        <v>29</v>
      </c>
      <c r="G2480" s="9" t="s">
        <v>4918</v>
      </c>
      <c r="H2480" s="9" t="s">
        <v>4919</v>
      </c>
      <c r="I2480" s="3"/>
      <c r="J2480" s="3"/>
      <c r="K2480" s="9"/>
    </row>
    <row r="2481" ht="15.75" customHeight="1">
      <c r="A2481" s="10" t="s">
        <v>12</v>
      </c>
      <c r="B2481" s="10" t="s">
        <v>359</v>
      </c>
      <c r="C2481" s="10" t="s">
        <v>7237</v>
      </c>
      <c r="D2481" s="11" t="str">
        <f t="shared" si="1"/>
        <v>Abrir anúncio ↗</v>
      </c>
      <c r="E2481" s="12" t="s">
        <v>7233</v>
      </c>
      <c r="F2481" s="10" t="s">
        <v>29</v>
      </c>
      <c r="G2481" s="12" t="s">
        <v>4918</v>
      </c>
      <c r="H2481" s="12" t="s">
        <v>4919</v>
      </c>
      <c r="I2481" s="10"/>
      <c r="J2481" s="10"/>
      <c r="K2481" s="12"/>
    </row>
    <row r="2482" ht="15.75" customHeight="1">
      <c r="A2482" s="3" t="s">
        <v>12</v>
      </c>
      <c r="B2482" s="3" t="s">
        <v>359</v>
      </c>
      <c r="C2482" s="3" t="s">
        <v>10802</v>
      </c>
      <c r="D2482" s="8" t="str">
        <f t="shared" si="1"/>
        <v>Abrir anúncio ↗</v>
      </c>
      <c r="E2482" s="9" t="s">
        <v>10803</v>
      </c>
      <c r="F2482" s="3" t="s">
        <v>29</v>
      </c>
      <c r="G2482" s="9" t="s">
        <v>4918</v>
      </c>
      <c r="H2482" s="9" t="s">
        <v>4919</v>
      </c>
      <c r="I2482" s="3"/>
      <c r="J2482" s="3"/>
      <c r="K2482" s="9"/>
    </row>
    <row r="2483" ht="15.75" customHeight="1">
      <c r="A2483" s="10" t="s">
        <v>12</v>
      </c>
      <c r="B2483" s="10" t="s">
        <v>359</v>
      </c>
      <c r="C2483" s="10" t="s">
        <v>7236</v>
      </c>
      <c r="D2483" s="11" t="str">
        <f t="shared" si="1"/>
        <v>Abrir anúncio ↗</v>
      </c>
      <c r="E2483" s="12" t="s">
        <v>7233</v>
      </c>
      <c r="F2483" s="10" t="s">
        <v>29</v>
      </c>
      <c r="G2483" s="12" t="s">
        <v>4918</v>
      </c>
      <c r="H2483" s="12" t="s">
        <v>4919</v>
      </c>
      <c r="I2483" s="10"/>
      <c r="J2483" s="10"/>
      <c r="K2483" s="12"/>
    </row>
    <row r="2484" ht="15.75" customHeight="1">
      <c r="A2484" s="3" t="s">
        <v>12</v>
      </c>
      <c r="B2484" s="3" t="s">
        <v>359</v>
      </c>
      <c r="C2484" s="3" t="s">
        <v>6589</v>
      </c>
      <c r="D2484" s="8" t="str">
        <f t="shared" si="1"/>
        <v>Abrir anúncio ↗</v>
      </c>
      <c r="E2484" s="9" t="s">
        <v>6588</v>
      </c>
      <c r="F2484" s="3" t="s">
        <v>29</v>
      </c>
      <c r="G2484" s="9" t="s">
        <v>4918</v>
      </c>
      <c r="H2484" s="9" t="s">
        <v>4919</v>
      </c>
      <c r="I2484" s="3"/>
      <c r="J2484" s="3"/>
      <c r="K2484" s="9"/>
    </row>
    <row r="2485" ht="15.75" customHeight="1">
      <c r="A2485" s="10" t="s">
        <v>12</v>
      </c>
      <c r="B2485" s="10" t="s">
        <v>359</v>
      </c>
      <c r="C2485" s="10" t="s">
        <v>10804</v>
      </c>
      <c r="D2485" s="11" t="str">
        <f t="shared" si="1"/>
        <v>Abrir anúncio ↗</v>
      </c>
      <c r="E2485" s="12" t="s">
        <v>10805</v>
      </c>
      <c r="F2485" s="10" t="s">
        <v>29</v>
      </c>
      <c r="G2485" s="12" t="s">
        <v>4918</v>
      </c>
      <c r="H2485" s="12" t="s">
        <v>4919</v>
      </c>
      <c r="I2485" s="10"/>
      <c r="J2485" s="10"/>
      <c r="K2485" s="12"/>
    </row>
    <row r="2486" ht="15.75" customHeight="1">
      <c r="A2486" s="3" t="s">
        <v>12</v>
      </c>
      <c r="B2486" s="3" t="s">
        <v>359</v>
      </c>
      <c r="C2486" s="3" t="s">
        <v>8561</v>
      </c>
      <c r="D2486" s="8" t="str">
        <f t="shared" si="1"/>
        <v>Abrir anúncio ↗</v>
      </c>
      <c r="E2486" s="9" t="s">
        <v>8559</v>
      </c>
      <c r="F2486" s="3" t="s">
        <v>29</v>
      </c>
      <c r="G2486" s="9" t="s">
        <v>9253</v>
      </c>
      <c r="H2486" s="9" t="s">
        <v>9254</v>
      </c>
      <c r="I2486" s="3"/>
      <c r="J2486" s="3"/>
      <c r="K2486" s="9"/>
    </row>
    <row r="2487" ht="15.75" customHeight="1">
      <c r="A2487" s="10" t="s">
        <v>12</v>
      </c>
      <c r="B2487" s="10" t="s">
        <v>359</v>
      </c>
      <c r="C2487" s="10" t="s">
        <v>7323</v>
      </c>
      <c r="D2487" s="11" t="str">
        <f t="shared" si="1"/>
        <v>Abrir anúncio ↗</v>
      </c>
      <c r="E2487" s="12" t="s">
        <v>7321</v>
      </c>
      <c r="F2487" s="10" t="s">
        <v>29</v>
      </c>
      <c r="G2487" s="12" t="s">
        <v>4918</v>
      </c>
      <c r="H2487" s="12" t="s">
        <v>4919</v>
      </c>
      <c r="I2487" s="10"/>
      <c r="J2487" s="10"/>
      <c r="K2487" s="12"/>
    </row>
    <row r="2488" ht="15.75" customHeight="1">
      <c r="A2488" s="3" t="s">
        <v>12</v>
      </c>
      <c r="B2488" s="3" t="s">
        <v>359</v>
      </c>
      <c r="C2488" s="3" t="s">
        <v>6360</v>
      </c>
      <c r="D2488" s="8" t="str">
        <f t="shared" si="1"/>
        <v>Abrir anúncio ↗</v>
      </c>
      <c r="E2488" s="9" t="s">
        <v>3337</v>
      </c>
      <c r="F2488" s="3" t="s">
        <v>29</v>
      </c>
      <c r="G2488" s="9" t="s">
        <v>4918</v>
      </c>
      <c r="H2488" s="9" t="s">
        <v>4919</v>
      </c>
      <c r="I2488" s="3"/>
      <c r="J2488" s="3"/>
      <c r="K2488" s="9"/>
    </row>
    <row r="2489" ht="15.75" customHeight="1">
      <c r="A2489" s="10" t="s">
        <v>12</v>
      </c>
      <c r="B2489" s="10" t="s">
        <v>359</v>
      </c>
      <c r="C2489" s="10" t="s">
        <v>10806</v>
      </c>
      <c r="D2489" s="11" t="str">
        <f t="shared" si="1"/>
        <v>Abrir anúncio ↗</v>
      </c>
      <c r="E2489" s="12" t="s">
        <v>10807</v>
      </c>
      <c r="F2489" s="10" t="s">
        <v>29</v>
      </c>
      <c r="G2489" s="12" t="s">
        <v>4918</v>
      </c>
      <c r="H2489" s="12" t="s">
        <v>4919</v>
      </c>
      <c r="I2489" s="10"/>
      <c r="J2489" s="10"/>
      <c r="K2489" s="12"/>
    </row>
    <row r="2490" ht="15.75" customHeight="1">
      <c r="A2490" s="3" t="s">
        <v>12</v>
      </c>
      <c r="B2490" s="3" t="s">
        <v>359</v>
      </c>
      <c r="C2490" s="3" t="s">
        <v>7008</v>
      </c>
      <c r="D2490" s="8" t="str">
        <f t="shared" si="1"/>
        <v>Abrir anúncio ↗</v>
      </c>
      <c r="E2490" s="9" t="s">
        <v>7006</v>
      </c>
      <c r="F2490" s="3" t="s">
        <v>29</v>
      </c>
      <c r="G2490" s="9" t="s">
        <v>4918</v>
      </c>
      <c r="H2490" s="9" t="s">
        <v>4919</v>
      </c>
      <c r="I2490" s="3"/>
      <c r="J2490" s="3"/>
      <c r="K2490" s="9"/>
    </row>
    <row r="2491" ht="15.75" customHeight="1">
      <c r="A2491" s="10" t="s">
        <v>12</v>
      </c>
      <c r="B2491" s="10" t="s">
        <v>359</v>
      </c>
      <c r="C2491" s="10" t="s">
        <v>8582</v>
      </c>
      <c r="D2491" s="11" t="str">
        <f t="shared" si="1"/>
        <v>Abrir anúncio ↗</v>
      </c>
      <c r="E2491" s="12" t="s">
        <v>8579</v>
      </c>
      <c r="F2491" s="10" t="s">
        <v>29</v>
      </c>
      <c r="G2491" s="12" t="s">
        <v>9253</v>
      </c>
      <c r="H2491" s="12" t="s">
        <v>10808</v>
      </c>
      <c r="I2491" s="10"/>
      <c r="J2491" s="10"/>
      <c r="K2491" s="12"/>
    </row>
    <row r="2492" ht="15.75" customHeight="1">
      <c r="A2492" s="3" t="s">
        <v>12</v>
      </c>
      <c r="B2492" s="3" t="s">
        <v>359</v>
      </c>
      <c r="C2492" s="3" t="s">
        <v>7680</v>
      </c>
      <c r="D2492" s="8" t="str">
        <f t="shared" si="1"/>
        <v>Abrir anúncio ↗</v>
      </c>
      <c r="E2492" s="9" t="s">
        <v>7679</v>
      </c>
      <c r="F2492" s="3" t="s">
        <v>29</v>
      </c>
      <c r="G2492" s="9" t="s">
        <v>4918</v>
      </c>
      <c r="H2492" s="9" t="s">
        <v>4919</v>
      </c>
      <c r="I2492" s="3"/>
      <c r="J2492" s="3"/>
      <c r="K2492" s="9"/>
    </row>
    <row r="2493" ht="15.75" customHeight="1">
      <c r="A2493" s="10" t="s">
        <v>12</v>
      </c>
      <c r="B2493" s="10" t="s">
        <v>359</v>
      </c>
      <c r="C2493" s="10" t="s">
        <v>7596</v>
      </c>
      <c r="D2493" s="11" t="str">
        <f t="shared" si="1"/>
        <v>Abrir anúncio ↗</v>
      </c>
      <c r="E2493" s="12" t="s">
        <v>7595</v>
      </c>
      <c r="F2493" s="10" t="s">
        <v>29</v>
      </c>
      <c r="G2493" s="12" t="s">
        <v>4918</v>
      </c>
      <c r="H2493" s="12" t="s">
        <v>4919</v>
      </c>
      <c r="I2493" s="10"/>
      <c r="J2493" s="10"/>
      <c r="K2493" s="12"/>
    </row>
    <row r="2494" ht="15.75" customHeight="1">
      <c r="A2494" s="3" t="s">
        <v>12</v>
      </c>
      <c r="B2494" s="3" t="s">
        <v>359</v>
      </c>
      <c r="C2494" s="3" t="s">
        <v>10809</v>
      </c>
      <c r="D2494" s="8" t="str">
        <f t="shared" si="1"/>
        <v>Abrir anúncio ↗</v>
      </c>
      <c r="E2494" s="9" t="s">
        <v>10810</v>
      </c>
      <c r="F2494" s="3" t="s">
        <v>86</v>
      </c>
      <c r="G2494" s="9" t="s">
        <v>9514</v>
      </c>
      <c r="H2494" s="9" t="s">
        <v>9515</v>
      </c>
      <c r="I2494" s="3"/>
      <c r="J2494" s="3"/>
      <c r="K2494" s="9"/>
    </row>
    <row r="2495" ht="15.75" customHeight="1">
      <c r="A2495" s="10" t="s">
        <v>12</v>
      </c>
      <c r="B2495" s="10" t="s">
        <v>359</v>
      </c>
      <c r="C2495" s="10" t="s">
        <v>8568</v>
      </c>
      <c r="D2495" s="11" t="str">
        <f t="shared" si="1"/>
        <v>Abrir anúncio ↗</v>
      </c>
      <c r="E2495" s="12" t="s">
        <v>8565</v>
      </c>
      <c r="F2495" s="10" t="s">
        <v>29</v>
      </c>
      <c r="G2495" s="12" t="s">
        <v>9253</v>
      </c>
      <c r="H2495" s="12" t="s">
        <v>9254</v>
      </c>
      <c r="I2495" s="10"/>
      <c r="J2495" s="10"/>
      <c r="K2495" s="12"/>
    </row>
    <row r="2496" ht="15.75" customHeight="1">
      <c r="A2496" s="3" t="s">
        <v>12</v>
      </c>
      <c r="B2496" s="3" t="s">
        <v>359</v>
      </c>
      <c r="C2496" s="3" t="s">
        <v>8276</v>
      </c>
      <c r="D2496" s="8" t="str">
        <f t="shared" si="1"/>
        <v>Abrir anúncio ↗</v>
      </c>
      <c r="E2496" s="9" t="s">
        <v>8275</v>
      </c>
      <c r="F2496" s="3" t="s">
        <v>29</v>
      </c>
      <c r="G2496" s="9" t="s">
        <v>4918</v>
      </c>
      <c r="H2496" s="9" t="s">
        <v>4919</v>
      </c>
      <c r="I2496" s="3"/>
      <c r="J2496" s="3"/>
      <c r="K2496" s="9"/>
    </row>
    <row r="2497" ht="15.75" customHeight="1">
      <c r="A2497" s="10" t="s">
        <v>12</v>
      </c>
      <c r="B2497" s="10" t="s">
        <v>359</v>
      </c>
      <c r="C2497" s="10" t="s">
        <v>7823</v>
      </c>
      <c r="D2497" s="11" t="str">
        <f t="shared" si="1"/>
        <v>Abrir anúncio ↗</v>
      </c>
      <c r="E2497" s="12" t="s">
        <v>7821</v>
      </c>
      <c r="F2497" s="10" t="s">
        <v>29</v>
      </c>
      <c r="G2497" s="12" t="s">
        <v>9253</v>
      </c>
      <c r="H2497" s="12" t="s">
        <v>9254</v>
      </c>
      <c r="I2497" s="10"/>
      <c r="J2497" s="10"/>
      <c r="K2497" s="12"/>
    </row>
    <row r="2498" ht="15.75" customHeight="1">
      <c r="A2498" s="3" t="s">
        <v>12</v>
      </c>
      <c r="B2498" s="3" t="s">
        <v>359</v>
      </c>
      <c r="C2498" s="3" t="s">
        <v>7830</v>
      </c>
      <c r="D2498" s="8" t="str">
        <f t="shared" si="1"/>
        <v>Abrir anúncio ↗</v>
      </c>
      <c r="E2498" s="9" t="s">
        <v>7829</v>
      </c>
      <c r="F2498" s="3" t="s">
        <v>29</v>
      </c>
      <c r="G2498" s="9" t="s">
        <v>9253</v>
      </c>
      <c r="H2498" s="9" t="s">
        <v>9254</v>
      </c>
      <c r="I2498" s="3"/>
      <c r="J2498" s="3"/>
      <c r="K2498" s="9"/>
    </row>
    <row r="2499" ht="15.75" customHeight="1">
      <c r="A2499" s="10" t="s">
        <v>12</v>
      </c>
      <c r="B2499" s="10" t="s">
        <v>359</v>
      </c>
      <c r="C2499" s="10" t="s">
        <v>10811</v>
      </c>
      <c r="D2499" s="11" t="str">
        <f t="shared" si="1"/>
        <v>Abrir anúncio ↗</v>
      </c>
      <c r="E2499" s="12" t="s">
        <v>10812</v>
      </c>
      <c r="F2499" s="10" t="s">
        <v>86</v>
      </c>
      <c r="G2499" s="12" t="s">
        <v>9253</v>
      </c>
      <c r="H2499" s="12" t="s">
        <v>9254</v>
      </c>
      <c r="I2499" s="10"/>
      <c r="J2499" s="10"/>
      <c r="K2499" s="12"/>
    </row>
    <row r="2500" ht="15.75" customHeight="1">
      <c r="A2500" s="3" t="s">
        <v>12</v>
      </c>
      <c r="B2500" s="3" t="s">
        <v>359</v>
      </c>
      <c r="C2500" s="3" t="s">
        <v>6630</v>
      </c>
      <c r="D2500" s="8" t="str">
        <f t="shared" si="1"/>
        <v>Abrir anúncio ↗</v>
      </c>
      <c r="E2500" s="9" t="s">
        <v>6629</v>
      </c>
      <c r="F2500" s="3" t="s">
        <v>29</v>
      </c>
      <c r="G2500" s="9" t="s">
        <v>4918</v>
      </c>
      <c r="H2500" s="9" t="s">
        <v>4919</v>
      </c>
      <c r="I2500" s="3"/>
      <c r="J2500" s="3"/>
      <c r="K2500" s="9"/>
    </row>
    <row r="2501" ht="15.75" customHeight="1">
      <c r="A2501" s="10" t="s">
        <v>12</v>
      </c>
      <c r="B2501" s="10" t="s">
        <v>359</v>
      </c>
      <c r="C2501" s="10" t="s">
        <v>8011</v>
      </c>
      <c r="D2501" s="11" t="str">
        <f t="shared" si="1"/>
        <v>Abrir anúncio ↗</v>
      </c>
      <c r="E2501" s="12" t="s">
        <v>3998</v>
      </c>
      <c r="F2501" s="10" t="s">
        <v>29</v>
      </c>
      <c r="G2501" s="12" t="s">
        <v>4918</v>
      </c>
      <c r="H2501" s="12" t="s">
        <v>4919</v>
      </c>
      <c r="I2501" s="10"/>
      <c r="J2501" s="10"/>
      <c r="K2501" s="12"/>
    </row>
    <row r="2502" ht="15.75" customHeight="1">
      <c r="A2502" s="3" t="s">
        <v>12</v>
      </c>
      <c r="B2502" s="3" t="s">
        <v>359</v>
      </c>
      <c r="C2502" s="3" t="s">
        <v>10813</v>
      </c>
      <c r="D2502" s="8" t="str">
        <f t="shared" si="1"/>
        <v>Abrir anúncio ↗</v>
      </c>
      <c r="E2502" s="9" t="s">
        <v>10814</v>
      </c>
      <c r="F2502" s="3" t="s">
        <v>29</v>
      </c>
      <c r="G2502" s="9" t="s">
        <v>9253</v>
      </c>
      <c r="H2502" s="9" t="s">
        <v>9254</v>
      </c>
      <c r="I2502" s="3"/>
      <c r="J2502" s="3"/>
      <c r="K2502" s="9"/>
    </row>
    <row r="2503" ht="15.75" customHeight="1">
      <c r="A2503" s="10" t="s">
        <v>12</v>
      </c>
      <c r="B2503" s="10" t="s">
        <v>359</v>
      </c>
      <c r="C2503" s="10" t="s">
        <v>10815</v>
      </c>
      <c r="D2503" s="11" t="str">
        <f t="shared" si="1"/>
        <v>Abrir anúncio ↗</v>
      </c>
      <c r="E2503" s="12" t="s">
        <v>10816</v>
      </c>
      <c r="F2503" s="10" t="s">
        <v>29</v>
      </c>
      <c r="G2503" s="12" t="s">
        <v>4918</v>
      </c>
      <c r="H2503" s="12" t="s">
        <v>4919</v>
      </c>
      <c r="I2503" s="10"/>
      <c r="J2503" s="10"/>
      <c r="K2503" s="12"/>
    </row>
    <row r="2504" ht="15.75" customHeight="1">
      <c r="A2504" s="3" t="s">
        <v>12</v>
      </c>
      <c r="B2504" s="3" t="s">
        <v>359</v>
      </c>
      <c r="C2504" s="3" t="s">
        <v>9102</v>
      </c>
      <c r="D2504" s="8" t="str">
        <f t="shared" si="1"/>
        <v>Abrir anúncio ↗</v>
      </c>
      <c r="E2504" s="9" t="s">
        <v>9100</v>
      </c>
      <c r="F2504" s="3" t="s">
        <v>86</v>
      </c>
      <c r="G2504" s="9" t="s">
        <v>9253</v>
      </c>
      <c r="H2504" s="9" t="s">
        <v>9254</v>
      </c>
      <c r="I2504" s="3"/>
      <c r="J2504" s="3"/>
      <c r="K2504" s="9"/>
    </row>
    <row r="2505" ht="15.75" customHeight="1">
      <c r="A2505" s="10" t="s">
        <v>12</v>
      </c>
      <c r="B2505" s="10" t="s">
        <v>359</v>
      </c>
      <c r="C2505" s="10" t="s">
        <v>6831</v>
      </c>
      <c r="D2505" s="11" t="str">
        <f t="shared" si="1"/>
        <v>Abrir anúncio ↗</v>
      </c>
      <c r="E2505" s="12" t="s">
        <v>6829</v>
      </c>
      <c r="F2505" s="10" t="s">
        <v>29</v>
      </c>
      <c r="G2505" s="12" t="s">
        <v>4918</v>
      </c>
      <c r="H2505" s="12" t="s">
        <v>4919</v>
      </c>
      <c r="I2505" s="10"/>
      <c r="J2505" s="10"/>
      <c r="K2505" s="12"/>
    </row>
    <row r="2506" ht="15.75" customHeight="1">
      <c r="A2506" s="3" t="s">
        <v>12</v>
      </c>
      <c r="B2506" s="3" t="s">
        <v>359</v>
      </c>
      <c r="C2506" s="3" t="s">
        <v>7424</v>
      </c>
      <c r="D2506" s="8" t="str">
        <f t="shared" si="1"/>
        <v>Abrir anúncio ↗</v>
      </c>
      <c r="E2506" s="9" t="s">
        <v>7423</v>
      </c>
      <c r="F2506" s="3" t="s">
        <v>29</v>
      </c>
      <c r="G2506" s="9" t="s">
        <v>4918</v>
      </c>
      <c r="H2506" s="9" t="s">
        <v>4919</v>
      </c>
      <c r="I2506" s="3"/>
      <c r="J2506" s="3"/>
      <c r="K2506" s="9"/>
    </row>
    <row r="2507" ht="15.75" customHeight="1">
      <c r="A2507" s="10" t="s">
        <v>12</v>
      </c>
      <c r="B2507" s="10" t="s">
        <v>359</v>
      </c>
      <c r="C2507" s="10" t="s">
        <v>8017</v>
      </c>
      <c r="D2507" s="11" t="str">
        <f t="shared" si="1"/>
        <v>Abrir anúncio ↗</v>
      </c>
      <c r="E2507" s="12" t="s">
        <v>8016</v>
      </c>
      <c r="F2507" s="10" t="s">
        <v>29</v>
      </c>
      <c r="G2507" s="12" t="s">
        <v>9253</v>
      </c>
      <c r="H2507" s="12" t="s">
        <v>9254</v>
      </c>
      <c r="I2507" s="10"/>
      <c r="J2507" s="10"/>
      <c r="K2507" s="12"/>
    </row>
    <row r="2508" ht="15.75" customHeight="1">
      <c r="A2508" s="3" t="s">
        <v>12</v>
      </c>
      <c r="B2508" s="3" t="s">
        <v>359</v>
      </c>
      <c r="C2508" s="3" t="s">
        <v>8290</v>
      </c>
      <c r="D2508" s="8" t="str">
        <f t="shared" si="1"/>
        <v>Abrir anúncio ↗</v>
      </c>
      <c r="E2508" s="9" t="s">
        <v>8288</v>
      </c>
      <c r="F2508" s="3" t="s">
        <v>29</v>
      </c>
      <c r="G2508" s="9" t="s">
        <v>4918</v>
      </c>
      <c r="H2508" s="9" t="s">
        <v>4919</v>
      </c>
      <c r="I2508" s="3"/>
      <c r="J2508" s="3"/>
      <c r="K2508" s="9"/>
    </row>
    <row r="2509" ht="15.75" customHeight="1">
      <c r="A2509" s="10" t="s">
        <v>12</v>
      </c>
      <c r="B2509" s="10" t="s">
        <v>359</v>
      </c>
      <c r="C2509" s="10" t="s">
        <v>8296</v>
      </c>
      <c r="D2509" s="11" t="str">
        <f t="shared" si="1"/>
        <v>Abrir anúncio ↗</v>
      </c>
      <c r="E2509" s="12" t="s">
        <v>8295</v>
      </c>
      <c r="F2509" s="10" t="s">
        <v>29</v>
      </c>
      <c r="G2509" s="12" t="s">
        <v>4918</v>
      </c>
      <c r="H2509" s="12" t="s">
        <v>4919</v>
      </c>
      <c r="I2509" s="10"/>
      <c r="J2509" s="10"/>
      <c r="K2509" s="12"/>
    </row>
    <row r="2510" ht="15.75" customHeight="1">
      <c r="A2510" s="3" t="s">
        <v>12</v>
      </c>
      <c r="B2510" s="3" t="s">
        <v>359</v>
      </c>
      <c r="C2510" s="3" t="s">
        <v>7381</v>
      </c>
      <c r="D2510" s="8" t="str">
        <f t="shared" si="1"/>
        <v>Abrir anúncio ↗</v>
      </c>
      <c r="E2510" s="9" t="s">
        <v>7376</v>
      </c>
      <c r="F2510" s="3" t="s">
        <v>29</v>
      </c>
      <c r="G2510" s="9" t="s">
        <v>4918</v>
      </c>
      <c r="H2510" s="9" t="s">
        <v>4919</v>
      </c>
      <c r="I2510" s="3"/>
      <c r="J2510" s="3"/>
      <c r="K2510" s="9"/>
    </row>
    <row r="2511" ht="15.75" customHeight="1">
      <c r="A2511" s="10" t="s">
        <v>12</v>
      </c>
      <c r="B2511" s="10" t="s">
        <v>359</v>
      </c>
      <c r="C2511" s="10" t="s">
        <v>8556</v>
      </c>
      <c r="D2511" s="11" t="str">
        <f t="shared" si="1"/>
        <v>Abrir anúncio ↗</v>
      </c>
      <c r="E2511" s="12" t="s">
        <v>8553</v>
      </c>
      <c r="F2511" s="10" t="s">
        <v>29</v>
      </c>
      <c r="G2511" s="12" t="s">
        <v>9253</v>
      </c>
      <c r="H2511" s="12" t="s">
        <v>9254</v>
      </c>
      <c r="I2511" s="10"/>
      <c r="J2511" s="10"/>
      <c r="K2511" s="12"/>
    </row>
    <row r="2512" ht="15.75" customHeight="1">
      <c r="A2512" s="3" t="s">
        <v>12</v>
      </c>
      <c r="B2512" s="3" t="s">
        <v>359</v>
      </c>
      <c r="C2512" s="3" t="s">
        <v>7948</v>
      </c>
      <c r="D2512" s="8" t="str">
        <f t="shared" si="1"/>
        <v>Abrir anúncio ↗</v>
      </c>
      <c r="E2512" s="9" t="s">
        <v>7943</v>
      </c>
      <c r="F2512" s="3" t="s">
        <v>29</v>
      </c>
      <c r="G2512" s="9" t="s">
        <v>9253</v>
      </c>
      <c r="H2512" s="9" t="s">
        <v>10808</v>
      </c>
      <c r="I2512" s="3"/>
      <c r="J2512" s="3"/>
      <c r="K2512" s="9"/>
    </row>
    <row r="2513" ht="15.75" customHeight="1">
      <c r="A2513" s="10" t="s">
        <v>12</v>
      </c>
      <c r="B2513" s="10" t="s">
        <v>359</v>
      </c>
      <c r="C2513" s="10" t="s">
        <v>10817</v>
      </c>
      <c r="D2513" s="11" t="str">
        <f t="shared" si="1"/>
        <v>Abrir anúncio ↗</v>
      </c>
      <c r="E2513" s="12" t="s">
        <v>10818</v>
      </c>
      <c r="F2513" s="10" t="s">
        <v>29</v>
      </c>
      <c r="G2513" s="12" t="s">
        <v>4918</v>
      </c>
      <c r="H2513" s="12" t="s">
        <v>4919</v>
      </c>
      <c r="I2513" s="10"/>
      <c r="J2513" s="10"/>
      <c r="K2513" s="12"/>
    </row>
    <row r="2514" ht="15.75" customHeight="1">
      <c r="A2514" s="3" t="s">
        <v>12</v>
      </c>
      <c r="B2514" s="3" t="s">
        <v>359</v>
      </c>
      <c r="C2514" s="3" t="s">
        <v>7431</v>
      </c>
      <c r="D2514" s="8" t="str">
        <f t="shared" si="1"/>
        <v>Abrir anúncio ↗</v>
      </c>
      <c r="E2514" s="9" t="s">
        <v>7430</v>
      </c>
      <c r="F2514" s="3" t="s">
        <v>29</v>
      </c>
      <c r="G2514" s="9" t="s">
        <v>4918</v>
      </c>
      <c r="H2514" s="9" t="s">
        <v>4919</v>
      </c>
      <c r="I2514" s="3"/>
      <c r="J2514" s="3"/>
      <c r="K2514" s="9"/>
    </row>
    <row r="2515" ht="15.75" customHeight="1">
      <c r="A2515" s="10" t="s">
        <v>12</v>
      </c>
      <c r="B2515" s="10" t="s">
        <v>359</v>
      </c>
      <c r="C2515" s="10" t="s">
        <v>7833</v>
      </c>
      <c r="D2515" s="11" t="str">
        <f t="shared" si="1"/>
        <v>Abrir anúncio ↗</v>
      </c>
      <c r="E2515" s="12" t="s">
        <v>7832</v>
      </c>
      <c r="F2515" s="10" t="s">
        <v>29</v>
      </c>
      <c r="G2515" s="12" t="s">
        <v>4918</v>
      </c>
      <c r="H2515" s="12" t="s">
        <v>4919</v>
      </c>
      <c r="I2515" s="10"/>
      <c r="J2515" s="10"/>
      <c r="K2515" s="12"/>
    </row>
    <row r="2516" ht="15.75" customHeight="1">
      <c r="A2516" s="3" t="s">
        <v>12</v>
      </c>
      <c r="B2516" s="3" t="s">
        <v>359</v>
      </c>
      <c r="C2516" s="3" t="s">
        <v>8305</v>
      </c>
      <c r="D2516" s="8" t="str">
        <f t="shared" si="1"/>
        <v>Abrir anúncio ↗</v>
      </c>
      <c r="E2516" s="9" t="s">
        <v>8304</v>
      </c>
      <c r="F2516" s="3" t="s">
        <v>29</v>
      </c>
      <c r="G2516" s="9" t="s">
        <v>9253</v>
      </c>
      <c r="H2516" s="9" t="s">
        <v>9254</v>
      </c>
      <c r="I2516" s="3"/>
      <c r="J2516" s="3"/>
      <c r="K2516" s="9"/>
    </row>
    <row r="2517" ht="15.75" customHeight="1">
      <c r="A2517" s="10" t="s">
        <v>12</v>
      </c>
      <c r="B2517" s="10" t="s">
        <v>359</v>
      </c>
      <c r="C2517" s="10" t="s">
        <v>8310</v>
      </c>
      <c r="D2517" s="11" t="str">
        <f t="shared" si="1"/>
        <v>Abrir anúncio ↗</v>
      </c>
      <c r="E2517" s="12" t="s">
        <v>8309</v>
      </c>
      <c r="F2517" s="10" t="s">
        <v>29</v>
      </c>
      <c r="G2517" s="12" t="s">
        <v>9253</v>
      </c>
      <c r="H2517" s="12" t="s">
        <v>9254</v>
      </c>
      <c r="I2517" s="10"/>
      <c r="J2517" s="10"/>
      <c r="K2517" s="12"/>
    </row>
    <row r="2518" ht="15.75" customHeight="1">
      <c r="A2518" s="3" t="s">
        <v>12</v>
      </c>
      <c r="B2518" s="3" t="s">
        <v>359</v>
      </c>
      <c r="C2518" s="3" t="s">
        <v>7214</v>
      </c>
      <c r="D2518" s="8" t="str">
        <f t="shared" si="1"/>
        <v>Abrir anúncio ↗</v>
      </c>
      <c r="E2518" s="9" t="s">
        <v>7209</v>
      </c>
      <c r="F2518" s="3" t="s">
        <v>29</v>
      </c>
      <c r="G2518" s="9" t="s">
        <v>4918</v>
      </c>
      <c r="H2518" s="9" t="s">
        <v>4919</v>
      </c>
      <c r="I2518" s="3"/>
      <c r="J2518" s="3"/>
      <c r="K2518" s="9"/>
    </row>
    <row r="2519" ht="15.75" customHeight="1">
      <c r="A2519" s="10" t="s">
        <v>12</v>
      </c>
      <c r="B2519" s="10" t="s">
        <v>359</v>
      </c>
      <c r="C2519" s="10" t="s">
        <v>8315</v>
      </c>
      <c r="D2519" s="11" t="str">
        <f t="shared" si="1"/>
        <v>Abrir anúncio ↗</v>
      </c>
      <c r="E2519" s="12" t="s">
        <v>8314</v>
      </c>
      <c r="F2519" s="10" t="s">
        <v>29</v>
      </c>
      <c r="G2519" s="12" t="s">
        <v>4918</v>
      </c>
      <c r="H2519" s="12" t="s">
        <v>4919</v>
      </c>
      <c r="I2519" s="10"/>
      <c r="J2519" s="10"/>
      <c r="K2519" s="12"/>
    </row>
    <row r="2520" ht="15.75" customHeight="1">
      <c r="A2520" s="3" t="s">
        <v>12</v>
      </c>
      <c r="B2520" s="3" t="s">
        <v>359</v>
      </c>
      <c r="C2520" s="3" t="s">
        <v>7187</v>
      </c>
      <c r="D2520" s="8" t="str">
        <f t="shared" si="1"/>
        <v>Abrir anúncio ↗</v>
      </c>
      <c r="E2520" s="9" t="s">
        <v>7185</v>
      </c>
      <c r="F2520" s="3" t="s">
        <v>29</v>
      </c>
      <c r="G2520" s="9" t="s">
        <v>4918</v>
      </c>
      <c r="H2520" s="9" t="s">
        <v>4919</v>
      </c>
      <c r="I2520" s="3"/>
      <c r="J2520" s="3"/>
      <c r="K2520" s="9"/>
    </row>
    <row r="2521" ht="15.75" customHeight="1">
      <c r="A2521" s="10" t="s">
        <v>12</v>
      </c>
      <c r="B2521" s="10" t="s">
        <v>359</v>
      </c>
      <c r="C2521" s="10" t="s">
        <v>7690</v>
      </c>
      <c r="D2521" s="11" t="str">
        <f t="shared" si="1"/>
        <v>Abrir anúncio ↗</v>
      </c>
      <c r="E2521" s="12" t="s">
        <v>118</v>
      </c>
      <c r="F2521" s="10" t="s">
        <v>29</v>
      </c>
      <c r="G2521" s="12" t="s">
        <v>10819</v>
      </c>
      <c r="H2521" s="12" t="s">
        <v>10820</v>
      </c>
      <c r="I2521" s="10"/>
      <c r="J2521" s="10"/>
      <c r="K2521" s="12"/>
    </row>
    <row r="2522" ht="15.75" customHeight="1">
      <c r="A2522" s="3" t="s">
        <v>12</v>
      </c>
      <c r="B2522" s="3" t="s">
        <v>359</v>
      </c>
      <c r="C2522" s="3" t="s">
        <v>7195</v>
      </c>
      <c r="D2522" s="8" t="str">
        <f t="shared" si="1"/>
        <v>Abrir anúncio ↗</v>
      </c>
      <c r="E2522" s="9" t="s">
        <v>7194</v>
      </c>
      <c r="F2522" s="3" t="s">
        <v>29</v>
      </c>
      <c r="G2522" s="9" t="s">
        <v>4918</v>
      </c>
      <c r="H2522" s="9" t="s">
        <v>4919</v>
      </c>
      <c r="I2522" s="3"/>
      <c r="J2522" s="3"/>
      <c r="K2522" s="9"/>
    </row>
    <row r="2523" ht="15.75" customHeight="1">
      <c r="A2523" s="10" t="s">
        <v>12</v>
      </c>
      <c r="B2523" s="10" t="s">
        <v>359</v>
      </c>
      <c r="C2523" s="10" t="s">
        <v>7634</v>
      </c>
      <c r="D2523" s="11" t="str">
        <f t="shared" si="1"/>
        <v>Abrir anúncio ↗</v>
      </c>
      <c r="E2523" s="12" t="s">
        <v>7629</v>
      </c>
      <c r="F2523" s="10" t="s">
        <v>29</v>
      </c>
      <c r="G2523" s="12" t="s">
        <v>10821</v>
      </c>
      <c r="H2523" s="12" t="s">
        <v>10822</v>
      </c>
      <c r="I2523" s="10"/>
      <c r="J2523" s="10"/>
      <c r="K2523" s="12"/>
    </row>
    <row r="2524" ht="15.75" customHeight="1">
      <c r="A2524" s="3" t="s">
        <v>12</v>
      </c>
      <c r="B2524" s="3" t="s">
        <v>359</v>
      </c>
      <c r="C2524" s="3" t="s">
        <v>6372</v>
      </c>
      <c r="D2524" s="8" t="str">
        <f t="shared" si="1"/>
        <v>Abrir anúncio ↗</v>
      </c>
      <c r="E2524" s="9" t="s">
        <v>3244</v>
      </c>
      <c r="F2524" s="3" t="s">
        <v>29</v>
      </c>
      <c r="G2524" s="9" t="s">
        <v>4918</v>
      </c>
      <c r="H2524" s="9" t="s">
        <v>4919</v>
      </c>
      <c r="I2524" s="3"/>
      <c r="J2524" s="3"/>
      <c r="K2524" s="9"/>
    </row>
    <row r="2525" ht="15.75" customHeight="1">
      <c r="A2525" s="10" t="s">
        <v>12</v>
      </c>
      <c r="B2525" s="10" t="s">
        <v>359</v>
      </c>
      <c r="C2525" s="10" t="s">
        <v>10823</v>
      </c>
      <c r="D2525" s="11" t="str">
        <f t="shared" si="1"/>
        <v>Abrir anúncio ↗</v>
      </c>
      <c r="E2525" s="12" t="s">
        <v>10824</v>
      </c>
      <c r="F2525" s="10" t="s">
        <v>29</v>
      </c>
      <c r="G2525" s="12" t="s">
        <v>4918</v>
      </c>
      <c r="H2525" s="12" t="s">
        <v>4919</v>
      </c>
      <c r="I2525" s="10"/>
      <c r="J2525" s="10"/>
      <c r="K2525" s="12"/>
    </row>
    <row r="2526" ht="15.75" customHeight="1">
      <c r="A2526" s="3" t="s">
        <v>12</v>
      </c>
      <c r="B2526" s="3" t="s">
        <v>359</v>
      </c>
      <c r="C2526" s="3" t="s">
        <v>7284</v>
      </c>
      <c r="D2526" s="8" t="str">
        <f t="shared" si="1"/>
        <v>Abrir anúncio ↗</v>
      </c>
      <c r="E2526" s="9" t="s">
        <v>7283</v>
      </c>
      <c r="F2526" s="3" t="s">
        <v>29</v>
      </c>
      <c r="G2526" s="9" t="s">
        <v>4918</v>
      </c>
      <c r="H2526" s="9" t="s">
        <v>4919</v>
      </c>
      <c r="I2526" s="3"/>
      <c r="J2526" s="3"/>
      <c r="K2526" s="9"/>
    </row>
    <row r="2527" ht="15.75" customHeight="1">
      <c r="A2527" s="10" t="s">
        <v>12</v>
      </c>
      <c r="B2527" s="10" t="s">
        <v>359</v>
      </c>
      <c r="C2527" s="10" t="s">
        <v>7836</v>
      </c>
      <c r="D2527" s="11" t="str">
        <f t="shared" si="1"/>
        <v>Abrir anúncio ↗</v>
      </c>
      <c r="E2527" s="12" t="s">
        <v>7835</v>
      </c>
      <c r="F2527" s="10" t="s">
        <v>29</v>
      </c>
      <c r="G2527" s="12" t="s">
        <v>9253</v>
      </c>
      <c r="H2527" s="12" t="s">
        <v>9254</v>
      </c>
      <c r="I2527" s="10"/>
      <c r="J2527" s="10"/>
      <c r="K2527" s="12"/>
    </row>
    <row r="2528" ht="15.75" customHeight="1">
      <c r="A2528" s="3" t="s">
        <v>12</v>
      </c>
      <c r="B2528" s="3" t="s">
        <v>359</v>
      </c>
      <c r="C2528" s="3" t="s">
        <v>7554</v>
      </c>
      <c r="D2528" s="8" t="str">
        <f t="shared" si="1"/>
        <v>Abrir anúncio ↗</v>
      </c>
      <c r="E2528" s="9" t="s">
        <v>7551</v>
      </c>
      <c r="F2528" s="3" t="s">
        <v>29</v>
      </c>
      <c r="G2528" s="9" t="s">
        <v>4918</v>
      </c>
      <c r="H2528" s="9" t="s">
        <v>4919</v>
      </c>
      <c r="I2528" s="3"/>
      <c r="J2528" s="3"/>
      <c r="K2528" s="9"/>
    </row>
    <row r="2529" ht="15.75" customHeight="1">
      <c r="A2529" s="10" t="s">
        <v>12</v>
      </c>
      <c r="B2529" s="10" t="s">
        <v>359</v>
      </c>
      <c r="C2529" s="10" t="s">
        <v>6262</v>
      </c>
      <c r="D2529" s="11" t="str">
        <f t="shared" si="1"/>
        <v>Abrir anúncio ↗</v>
      </c>
      <c r="E2529" s="12" t="s">
        <v>6255</v>
      </c>
      <c r="F2529" s="10" t="s">
        <v>29</v>
      </c>
      <c r="G2529" s="12" t="s">
        <v>9253</v>
      </c>
      <c r="H2529" s="12" t="s">
        <v>9254</v>
      </c>
      <c r="I2529" s="10"/>
      <c r="J2529" s="10"/>
      <c r="K2529" s="12"/>
    </row>
    <row r="2530" ht="15.75" customHeight="1">
      <c r="A2530" s="3" t="s">
        <v>12</v>
      </c>
      <c r="B2530" s="3" t="s">
        <v>359</v>
      </c>
      <c r="C2530" s="3" t="s">
        <v>6573</v>
      </c>
      <c r="D2530" s="8" t="str">
        <f t="shared" si="1"/>
        <v>Abrir anúncio ↗</v>
      </c>
      <c r="E2530" s="9" t="s">
        <v>6572</v>
      </c>
      <c r="F2530" s="3" t="s">
        <v>29</v>
      </c>
      <c r="G2530" s="9" t="s">
        <v>4918</v>
      </c>
      <c r="H2530" s="9" t="s">
        <v>4919</v>
      </c>
      <c r="I2530" s="3"/>
      <c r="J2530" s="3"/>
      <c r="K2530" s="9"/>
    </row>
    <row r="2531" ht="15.75" customHeight="1">
      <c r="A2531" s="10" t="s">
        <v>12</v>
      </c>
      <c r="B2531" s="10" t="s">
        <v>359</v>
      </c>
      <c r="C2531" s="10" t="s">
        <v>10825</v>
      </c>
      <c r="D2531" s="11" t="str">
        <f t="shared" si="1"/>
        <v>Abrir anúncio ↗</v>
      </c>
      <c r="E2531" s="12" t="s">
        <v>10826</v>
      </c>
      <c r="F2531" s="10" t="s">
        <v>29</v>
      </c>
      <c r="G2531" s="12" t="s">
        <v>4918</v>
      </c>
      <c r="H2531" s="12" t="s">
        <v>4919</v>
      </c>
      <c r="I2531" s="10"/>
      <c r="J2531" s="10"/>
      <c r="K2531" s="12"/>
    </row>
    <row r="2532" ht="15.75" customHeight="1">
      <c r="A2532" s="3" t="s">
        <v>12</v>
      </c>
      <c r="B2532" s="3" t="s">
        <v>359</v>
      </c>
      <c r="C2532" s="3" t="s">
        <v>10827</v>
      </c>
      <c r="D2532" s="8" t="str">
        <f t="shared" si="1"/>
        <v>Abrir anúncio ↗</v>
      </c>
      <c r="E2532" s="9" t="s">
        <v>10828</v>
      </c>
      <c r="F2532" s="3" t="s">
        <v>29</v>
      </c>
      <c r="G2532" s="9" t="s">
        <v>4918</v>
      </c>
      <c r="H2532" s="9" t="s">
        <v>4919</v>
      </c>
      <c r="I2532" s="3"/>
      <c r="J2532" s="3"/>
      <c r="K2532" s="9"/>
    </row>
    <row r="2533" ht="15.75" customHeight="1">
      <c r="A2533" s="10" t="s">
        <v>12</v>
      </c>
      <c r="B2533" s="10" t="s">
        <v>359</v>
      </c>
      <c r="C2533" s="10" t="s">
        <v>10829</v>
      </c>
      <c r="D2533" s="11" t="str">
        <f t="shared" si="1"/>
        <v>Abrir anúncio ↗</v>
      </c>
      <c r="E2533" s="12" t="s">
        <v>10830</v>
      </c>
      <c r="F2533" s="10" t="s">
        <v>29</v>
      </c>
      <c r="G2533" s="12" t="s">
        <v>4918</v>
      </c>
      <c r="H2533" s="12" t="s">
        <v>4919</v>
      </c>
      <c r="I2533" s="10"/>
      <c r="J2533" s="10"/>
      <c r="K2533" s="12"/>
    </row>
    <row r="2534" ht="15.75" customHeight="1">
      <c r="A2534" s="3" t="s">
        <v>12</v>
      </c>
      <c r="B2534" s="3" t="s">
        <v>359</v>
      </c>
      <c r="C2534" s="3" t="s">
        <v>10831</v>
      </c>
      <c r="D2534" s="8" t="str">
        <f t="shared" si="1"/>
        <v>Abrir anúncio ↗</v>
      </c>
      <c r="E2534" s="9" t="s">
        <v>10832</v>
      </c>
      <c r="F2534" s="3" t="s">
        <v>29</v>
      </c>
      <c r="G2534" s="9" t="s">
        <v>4918</v>
      </c>
      <c r="H2534" s="9" t="s">
        <v>4919</v>
      </c>
      <c r="I2534" s="3"/>
      <c r="J2534" s="3"/>
      <c r="K2534" s="9"/>
    </row>
    <row r="2535" ht="15.75" customHeight="1">
      <c r="A2535" s="10" t="s">
        <v>12</v>
      </c>
      <c r="B2535" s="10" t="s">
        <v>359</v>
      </c>
      <c r="C2535" s="10" t="s">
        <v>10833</v>
      </c>
      <c r="D2535" s="11" t="str">
        <f t="shared" si="1"/>
        <v>Abrir anúncio ↗</v>
      </c>
      <c r="E2535" s="12" t="s">
        <v>10834</v>
      </c>
      <c r="F2535" s="10" t="s">
        <v>29</v>
      </c>
      <c r="G2535" s="12" t="s">
        <v>4918</v>
      </c>
      <c r="H2535" s="12" t="s">
        <v>4919</v>
      </c>
      <c r="I2535" s="10"/>
      <c r="J2535" s="10"/>
      <c r="K2535" s="12"/>
    </row>
    <row r="2536" ht="15.75" customHeight="1">
      <c r="A2536" s="3" t="s">
        <v>12</v>
      </c>
      <c r="B2536" s="3" t="s">
        <v>359</v>
      </c>
      <c r="C2536" s="3" t="s">
        <v>10835</v>
      </c>
      <c r="D2536" s="8" t="str">
        <f t="shared" si="1"/>
        <v>Abrir anúncio ↗</v>
      </c>
      <c r="E2536" s="9" t="s">
        <v>10836</v>
      </c>
      <c r="F2536" s="3" t="s">
        <v>29</v>
      </c>
      <c r="G2536" s="9" t="s">
        <v>4918</v>
      </c>
      <c r="H2536" s="9" t="s">
        <v>4919</v>
      </c>
      <c r="I2536" s="3"/>
      <c r="J2536" s="3"/>
      <c r="K2536" s="9"/>
    </row>
    <row r="2537" ht="15.75" customHeight="1">
      <c r="A2537" s="10" t="s">
        <v>12</v>
      </c>
      <c r="B2537" s="10" t="s">
        <v>359</v>
      </c>
      <c r="C2537" s="10" t="s">
        <v>10837</v>
      </c>
      <c r="D2537" s="11" t="str">
        <f t="shared" si="1"/>
        <v>Abrir anúncio ↗</v>
      </c>
      <c r="E2537" s="12" t="s">
        <v>10838</v>
      </c>
      <c r="F2537" s="10" t="s">
        <v>29</v>
      </c>
      <c r="G2537" s="12" t="s">
        <v>4918</v>
      </c>
      <c r="H2537" s="12" t="s">
        <v>4919</v>
      </c>
      <c r="I2537" s="10"/>
      <c r="J2537" s="10"/>
      <c r="K2537" s="12"/>
    </row>
    <row r="2538" ht="15.75" customHeight="1">
      <c r="A2538" s="3" t="s">
        <v>12</v>
      </c>
      <c r="B2538" s="3" t="s">
        <v>359</v>
      </c>
      <c r="C2538" s="3" t="s">
        <v>6898</v>
      </c>
      <c r="D2538" s="8" t="str">
        <f t="shared" si="1"/>
        <v>Abrir anúncio ↗</v>
      </c>
      <c r="E2538" s="9" t="s">
        <v>6897</v>
      </c>
      <c r="F2538" s="3" t="s">
        <v>29</v>
      </c>
      <c r="G2538" s="9" t="s">
        <v>4918</v>
      </c>
      <c r="H2538" s="9" t="s">
        <v>4919</v>
      </c>
      <c r="I2538" s="3"/>
      <c r="J2538" s="3"/>
      <c r="K2538" s="9"/>
    </row>
    <row r="2539" ht="15.75" customHeight="1">
      <c r="A2539" s="10" t="s">
        <v>12</v>
      </c>
      <c r="B2539" s="10" t="s">
        <v>359</v>
      </c>
      <c r="C2539" s="10" t="s">
        <v>10839</v>
      </c>
      <c r="D2539" s="11" t="str">
        <f t="shared" si="1"/>
        <v>Abrir anúncio ↗</v>
      </c>
      <c r="E2539" s="12" t="s">
        <v>10840</v>
      </c>
      <c r="F2539" s="10" t="s">
        <v>29</v>
      </c>
      <c r="G2539" s="12" t="s">
        <v>4918</v>
      </c>
      <c r="H2539" s="12" t="s">
        <v>4919</v>
      </c>
      <c r="I2539" s="10"/>
      <c r="J2539" s="10"/>
      <c r="K2539" s="12"/>
    </row>
    <row r="2540" ht="15.75" customHeight="1">
      <c r="A2540" s="3" t="s">
        <v>12</v>
      </c>
      <c r="B2540" s="3" t="s">
        <v>359</v>
      </c>
      <c r="C2540" s="3" t="s">
        <v>10841</v>
      </c>
      <c r="D2540" s="8" t="str">
        <f t="shared" si="1"/>
        <v>Abrir anúncio ↗</v>
      </c>
      <c r="E2540" s="9" t="s">
        <v>10842</v>
      </c>
      <c r="F2540" s="3" t="s">
        <v>29</v>
      </c>
      <c r="G2540" s="9" t="s">
        <v>4918</v>
      </c>
      <c r="H2540" s="9" t="s">
        <v>4919</v>
      </c>
      <c r="I2540" s="3"/>
      <c r="J2540" s="3"/>
      <c r="K2540" s="9"/>
    </row>
    <row r="2541" ht="15.75" customHeight="1">
      <c r="A2541" s="10" t="s">
        <v>12</v>
      </c>
      <c r="B2541" s="10" t="s">
        <v>359</v>
      </c>
      <c r="C2541" s="10" t="s">
        <v>10843</v>
      </c>
      <c r="D2541" s="11" t="str">
        <f t="shared" si="1"/>
        <v>Abrir anúncio ↗</v>
      </c>
      <c r="E2541" s="12" t="s">
        <v>10844</v>
      </c>
      <c r="F2541" s="10" t="s">
        <v>29</v>
      </c>
      <c r="G2541" s="12" t="s">
        <v>4918</v>
      </c>
      <c r="H2541" s="12" t="s">
        <v>4919</v>
      </c>
      <c r="I2541" s="10"/>
      <c r="J2541" s="10"/>
      <c r="K2541" s="12"/>
    </row>
    <row r="2542" ht="15.75" customHeight="1">
      <c r="A2542" s="3" t="s">
        <v>12</v>
      </c>
      <c r="B2542" s="3" t="s">
        <v>359</v>
      </c>
      <c r="C2542" s="3" t="s">
        <v>10845</v>
      </c>
      <c r="D2542" s="8" t="str">
        <f t="shared" si="1"/>
        <v>Abrir anúncio ↗</v>
      </c>
      <c r="E2542" s="9" t="s">
        <v>10846</v>
      </c>
      <c r="F2542" s="3" t="s">
        <v>29</v>
      </c>
      <c r="G2542" s="9" t="s">
        <v>4918</v>
      </c>
      <c r="H2542" s="9" t="s">
        <v>4919</v>
      </c>
      <c r="I2542" s="3"/>
      <c r="J2542" s="3"/>
      <c r="K2542" s="9"/>
    </row>
    <row r="2543" ht="15.75" customHeight="1">
      <c r="A2543" s="10" t="s">
        <v>12</v>
      </c>
      <c r="B2543" s="10" t="s">
        <v>359</v>
      </c>
      <c r="C2543" s="10" t="s">
        <v>10847</v>
      </c>
      <c r="D2543" s="11" t="str">
        <f t="shared" si="1"/>
        <v>Abrir anúncio ↗</v>
      </c>
      <c r="E2543" s="12" t="s">
        <v>10848</v>
      </c>
      <c r="F2543" s="10" t="s">
        <v>29</v>
      </c>
      <c r="G2543" s="12" t="s">
        <v>4918</v>
      </c>
      <c r="H2543" s="12" t="s">
        <v>4919</v>
      </c>
      <c r="I2543" s="10"/>
      <c r="J2543" s="10"/>
      <c r="K2543" s="12"/>
    </row>
    <row r="2544" ht="15.75" customHeight="1">
      <c r="A2544" s="3" t="s">
        <v>12</v>
      </c>
      <c r="B2544" s="3" t="s">
        <v>359</v>
      </c>
      <c r="C2544" s="3" t="s">
        <v>10849</v>
      </c>
      <c r="D2544" s="8" t="str">
        <f t="shared" si="1"/>
        <v>Abrir anúncio ↗</v>
      </c>
      <c r="E2544" s="9" t="s">
        <v>10850</v>
      </c>
      <c r="F2544" s="3" t="s">
        <v>29</v>
      </c>
      <c r="G2544" s="9" t="s">
        <v>4918</v>
      </c>
      <c r="H2544" s="9" t="s">
        <v>4919</v>
      </c>
      <c r="I2544" s="3"/>
      <c r="J2544" s="3"/>
      <c r="K2544" s="9"/>
    </row>
    <row r="2545" ht="15.75" customHeight="1">
      <c r="A2545" s="10" t="s">
        <v>12</v>
      </c>
      <c r="B2545" s="10" t="s">
        <v>359</v>
      </c>
      <c r="C2545" s="10" t="s">
        <v>10851</v>
      </c>
      <c r="D2545" s="11" t="str">
        <f t="shared" si="1"/>
        <v>Abrir anúncio ↗</v>
      </c>
      <c r="E2545" s="12" t="s">
        <v>10852</v>
      </c>
      <c r="F2545" s="10" t="s">
        <v>29</v>
      </c>
      <c r="G2545" s="12" t="s">
        <v>4918</v>
      </c>
      <c r="H2545" s="12" t="s">
        <v>4919</v>
      </c>
      <c r="I2545" s="10"/>
      <c r="J2545" s="10"/>
      <c r="K2545" s="12"/>
    </row>
    <row r="2546" ht="15.75" customHeight="1">
      <c r="A2546" s="3" t="s">
        <v>12</v>
      </c>
      <c r="B2546" s="3" t="s">
        <v>359</v>
      </c>
      <c r="C2546" s="3" t="s">
        <v>10853</v>
      </c>
      <c r="D2546" s="8" t="str">
        <f t="shared" si="1"/>
        <v>Abrir anúncio ↗</v>
      </c>
      <c r="E2546" s="9" t="s">
        <v>10854</v>
      </c>
      <c r="F2546" s="3" t="s">
        <v>29</v>
      </c>
      <c r="G2546" s="9" t="s">
        <v>4918</v>
      </c>
      <c r="H2546" s="9" t="s">
        <v>4919</v>
      </c>
      <c r="I2546" s="3"/>
      <c r="J2546" s="3"/>
      <c r="K2546" s="9"/>
    </row>
    <row r="2547" ht="15.75" customHeight="1">
      <c r="A2547" s="10" t="s">
        <v>12</v>
      </c>
      <c r="B2547" s="10" t="s">
        <v>359</v>
      </c>
      <c r="C2547" s="10" t="s">
        <v>10855</v>
      </c>
      <c r="D2547" s="11" t="str">
        <f t="shared" si="1"/>
        <v>Abrir anúncio ↗</v>
      </c>
      <c r="E2547" s="12" t="s">
        <v>10856</v>
      </c>
      <c r="F2547" s="10" t="s">
        <v>29</v>
      </c>
      <c r="G2547" s="12" t="s">
        <v>4918</v>
      </c>
      <c r="H2547" s="12" t="s">
        <v>4919</v>
      </c>
      <c r="I2547" s="10"/>
      <c r="J2547" s="10"/>
      <c r="K2547" s="12"/>
    </row>
    <row r="2548" ht="15.75" customHeight="1">
      <c r="A2548" s="3" t="s">
        <v>12</v>
      </c>
      <c r="B2548" s="3" t="s">
        <v>359</v>
      </c>
      <c r="C2548" s="3" t="s">
        <v>10857</v>
      </c>
      <c r="D2548" s="8" t="str">
        <f t="shared" si="1"/>
        <v>Abrir anúncio ↗</v>
      </c>
      <c r="E2548" s="9" t="s">
        <v>10858</v>
      </c>
      <c r="F2548" s="3" t="s">
        <v>29</v>
      </c>
      <c r="G2548" s="9" t="s">
        <v>4918</v>
      </c>
      <c r="H2548" s="9" t="s">
        <v>4919</v>
      </c>
      <c r="I2548" s="3"/>
      <c r="J2548" s="3"/>
      <c r="K2548" s="9"/>
    </row>
    <row r="2549" ht="15.75" customHeight="1">
      <c r="A2549" s="10" t="s">
        <v>12</v>
      </c>
      <c r="B2549" s="10" t="s">
        <v>359</v>
      </c>
      <c r="C2549" s="10" t="s">
        <v>10859</v>
      </c>
      <c r="D2549" s="11" t="str">
        <f t="shared" si="1"/>
        <v>Abrir anúncio ↗</v>
      </c>
      <c r="E2549" s="12" t="s">
        <v>10860</v>
      </c>
      <c r="F2549" s="10" t="s">
        <v>29</v>
      </c>
      <c r="G2549" s="12" t="s">
        <v>4918</v>
      </c>
      <c r="H2549" s="12" t="s">
        <v>4919</v>
      </c>
      <c r="I2549" s="10"/>
      <c r="J2549" s="10"/>
      <c r="K2549" s="12"/>
    </row>
    <row r="2550" ht="15.75" customHeight="1">
      <c r="A2550" s="3" t="s">
        <v>12</v>
      </c>
      <c r="B2550" s="3" t="s">
        <v>359</v>
      </c>
      <c r="C2550" s="3" t="s">
        <v>10861</v>
      </c>
      <c r="D2550" s="8" t="str">
        <f t="shared" si="1"/>
        <v>Abrir anúncio ↗</v>
      </c>
      <c r="E2550" s="9" t="s">
        <v>10862</v>
      </c>
      <c r="F2550" s="3" t="s">
        <v>29</v>
      </c>
      <c r="G2550" s="9" t="s">
        <v>4918</v>
      </c>
      <c r="H2550" s="9" t="s">
        <v>4919</v>
      </c>
      <c r="I2550" s="3"/>
      <c r="J2550" s="3"/>
      <c r="K2550" s="9"/>
    </row>
    <row r="2551" ht="15.75" customHeight="1">
      <c r="A2551" s="10" t="s">
        <v>12</v>
      </c>
      <c r="B2551" s="10" t="s">
        <v>359</v>
      </c>
      <c r="C2551" s="10" t="s">
        <v>10863</v>
      </c>
      <c r="D2551" s="11" t="str">
        <f t="shared" si="1"/>
        <v>Abrir anúncio ↗</v>
      </c>
      <c r="E2551" s="12" t="s">
        <v>10864</v>
      </c>
      <c r="F2551" s="10" t="s">
        <v>29</v>
      </c>
      <c r="G2551" s="12" t="s">
        <v>4918</v>
      </c>
      <c r="H2551" s="12" t="s">
        <v>4919</v>
      </c>
      <c r="I2551" s="10"/>
      <c r="J2551" s="10"/>
      <c r="K2551" s="12"/>
    </row>
    <row r="2552" ht="15.75" customHeight="1">
      <c r="A2552" s="3" t="s">
        <v>12</v>
      </c>
      <c r="B2552" s="3" t="s">
        <v>359</v>
      </c>
      <c r="C2552" s="3" t="s">
        <v>10865</v>
      </c>
      <c r="D2552" s="8" t="str">
        <f t="shared" si="1"/>
        <v>Abrir anúncio ↗</v>
      </c>
      <c r="E2552" s="9" t="s">
        <v>10866</v>
      </c>
      <c r="F2552" s="3" t="s">
        <v>29</v>
      </c>
      <c r="G2552" s="9" t="s">
        <v>4918</v>
      </c>
      <c r="H2552" s="9" t="s">
        <v>4919</v>
      </c>
      <c r="I2552" s="3"/>
      <c r="J2552" s="3"/>
      <c r="K2552" s="9"/>
    </row>
    <row r="2553" ht="15.75" customHeight="1">
      <c r="A2553" s="10" t="s">
        <v>12</v>
      </c>
      <c r="B2553" s="10" t="s">
        <v>359</v>
      </c>
      <c r="C2553" s="10" t="s">
        <v>10867</v>
      </c>
      <c r="D2553" s="11" t="str">
        <f t="shared" si="1"/>
        <v>Abrir anúncio ↗</v>
      </c>
      <c r="E2553" s="12" t="s">
        <v>10868</v>
      </c>
      <c r="F2553" s="10" t="s">
        <v>29</v>
      </c>
      <c r="G2553" s="12" t="s">
        <v>4918</v>
      </c>
      <c r="H2553" s="12" t="s">
        <v>4919</v>
      </c>
      <c r="I2553" s="10"/>
      <c r="J2553" s="10"/>
      <c r="K2553" s="12"/>
    </row>
    <row r="2554" ht="15.75" customHeight="1">
      <c r="A2554" s="3" t="s">
        <v>12</v>
      </c>
      <c r="B2554" s="3" t="s">
        <v>359</v>
      </c>
      <c r="C2554" s="3" t="s">
        <v>10869</v>
      </c>
      <c r="D2554" s="8" t="str">
        <f t="shared" si="1"/>
        <v>Abrir anúncio ↗</v>
      </c>
      <c r="E2554" s="9" t="s">
        <v>10870</v>
      </c>
      <c r="F2554" s="3" t="s">
        <v>29</v>
      </c>
      <c r="G2554" s="9" t="s">
        <v>4918</v>
      </c>
      <c r="H2554" s="9" t="s">
        <v>4919</v>
      </c>
      <c r="I2554" s="3"/>
      <c r="J2554" s="3"/>
      <c r="K2554" s="9"/>
    </row>
    <row r="2555" ht="15.75" customHeight="1">
      <c r="A2555" s="10" t="s">
        <v>12</v>
      </c>
      <c r="B2555" s="10" t="s">
        <v>359</v>
      </c>
      <c r="C2555" s="10" t="s">
        <v>10871</v>
      </c>
      <c r="D2555" s="11" t="str">
        <f t="shared" si="1"/>
        <v>Abrir anúncio ↗</v>
      </c>
      <c r="E2555" s="12" t="s">
        <v>10872</v>
      </c>
      <c r="F2555" s="10" t="s">
        <v>29</v>
      </c>
      <c r="G2555" s="12" t="s">
        <v>4918</v>
      </c>
      <c r="H2555" s="12" t="s">
        <v>4919</v>
      </c>
      <c r="I2555" s="10"/>
      <c r="J2555" s="10"/>
      <c r="K2555" s="12"/>
    </row>
    <row r="2556" ht="15.75" customHeight="1">
      <c r="A2556" s="3" t="s">
        <v>12</v>
      </c>
      <c r="B2556" s="3" t="s">
        <v>359</v>
      </c>
      <c r="C2556" s="3" t="s">
        <v>10873</v>
      </c>
      <c r="D2556" s="8" t="str">
        <f t="shared" si="1"/>
        <v>Abrir anúncio ↗</v>
      </c>
      <c r="E2556" s="9" t="s">
        <v>10874</v>
      </c>
      <c r="F2556" s="3" t="s">
        <v>29</v>
      </c>
      <c r="G2556" s="9" t="s">
        <v>4918</v>
      </c>
      <c r="H2556" s="9" t="s">
        <v>4919</v>
      </c>
      <c r="I2556" s="3"/>
      <c r="J2556" s="3"/>
      <c r="K2556" s="9"/>
    </row>
    <row r="2557" ht="15.75" customHeight="1">
      <c r="A2557" s="10" t="s">
        <v>12</v>
      </c>
      <c r="B2557" s="10" t="s">
        <v>359</v>
      </c>
      <c r="C2557" s="10" t="s">
        <v>10875</v>
      </c>
      <c r="D2557" s="11" t="str">
        <f t="shared" si="1"/>
        <v>Abrir anúncio ↗</v>
      </c>
      <c r="E2557" s="12" t="s">
        <v>10876</v>
      </c>
      <c r="F2557" s="10" t="s">
        <v>29</v>
      </c>
      <c r="G2557" s="12" t="s">
        <v>4918</v>
      </c>
      <c r="H2557" s="12" t="s">
        <v>4919</v>
      </c>
      <c r="I2557" s="10"/>
      <c r="J2557" s="10"/>
      <c r="K2557" s="12"/>
    </row>
    <row r="2558" ht="15.75" customHeight="1">
      <c r="A2558" s="3" t="s">
        <v>12</v>
      </c>
      <c r="B2558" s="3" t="s">
        <v>359</v>
      </c>
      <c r="C2558" s="3" t="s">
        <v>10877</v>
      </c>
      <c r="D2558" s="8" t="str">
        <f t="shared" si="1"/>
        <v>Abrir anúncio ↗</v>
      </c>
      <c r="E2558" s="9" t="s">
        <v>10878</v>
      </c>
      <c r="F2558" s="3" t="s">
        <v>29</v>
      </c>
      <c r="G2558" s="9" t="s">
        <v>4918</v>
      </c>
      <c r="H2558" s="9" t="s">
        <v>4919</v>
      </c>
      <c r="I2558" s="3"/>
      <c r="J2558" s="3"/>
      <c r="K2558" s="9"/>
    </row>
    <row r="2559" ht="15.75" customHeight="1">
      <c r="A2559" s="10" t="s">
        <v>12</v>
      </c>
      <c r="B2559" s="10" t="s">
        <v>359</v>
      </c>
      <c r="C2559" s="10" t="s">
        <v>10879</v>
      </c>
      <c r="D2559" s="11" t="str">
        <f t="shared" si="1"/>
        <v>Abrir anúncio ↗</v>
      </c>
      <c r="E2559" s="12" t="s">
        <v>10880</v>
      </c>
      <c r="F2559" s="10" t="s">
        <v>29</v>
      </c>
      <c r="G2559" s="12" t="s">
        <v>4918</v>
      </c>
      <c r="H2559" s="12" t="s">
        <v>4919</v>
      </c>
      <c r="I2559" s="10"/>
      <c r="J2559" s="10"/>
      <c r="K2559" s="12"/>
    </row>
    <row r="2560" ht="15.75" customHeight="1">
      <c r="A2560" s="3" t="s">
        <v>12</v>
      </c>
      <c r="B2560" s="3" t="s">
        <v>359</v>
      </c>
      <c r="C2560" s="3" t="s">
        <v>10881</v>
      </c>
      <c r="D2560" s="8" t="str">
        <f t="shared" si="1"/>
        <v>Abrir anúncio ↗</v>
      </c>
      <c r="E2560" s="9" t="s">
        <v>10882</v>
      </c>
      <c r="F2560" s="3" t="s">
        <v>29</v>
      </c>
      <c r="G2560" s="9" t="s">
        <v>4918</v>
      </c>
      <c r="H2560" s="9" t="s">
        <v>4919</v>
      </c>
      <c r="I2560" s="3"/>
      <c r="J2560" s="3"/>
      <c r="K2560" s="9"/>
    </row>
    <row r="2561" ht="15.75" customHeight="1">
      <c r="A2561" s="10" t="s">
        <v>12</v>
      </c>
      <c r="B2561" s="10" t="s">
        <v>359</v>
      </c>
      <c r="C2561" s="10" t="s">
        <v>10883</v>
      </c>
      <c r="D2561" s="11" t="str">
        <f t="shared" si="1"/>
        <v>Abrir anúncio ↗</v>
      </c>
      <c r="E2561" s="12" t="s">
        <v>10884</v>
      </c>
      <c r="F2561" s="10" t="s">
        <v>29</v>
      </c>
      <c r="G2561" s="12" t="s">
        <v>4918</v>
      </c>
      <c r="H2561" s="12" t="s">
        <v>4919</v>
      </c>
      <c r="I2561" s="10"/>
      <c r="J2561" s="10"/>
      <c r="K2561" s="12"/>
    </row>
    <row r="2562" ht="15.75" customHeight="1">
      <c r="A2562" s="3" t="s">
        <v>12</v>
      </c>
      <c r="B2562" s="3" t="s">
        <v>359</v>
      </c>
      <c r="C2562" s="3" t="s">
        <v>10885</v>
      </c>
      <c r="D2562" s="8" t="str">
        <f t="shared" si="1"/>
        <v>Abrir anúncio ↗</v>
      </c>
      <c r="E2562" s="9" t="s">
        <v>10886</v>
      </c>
      <c r="F2562" s="3" t="s">
        <v>29</v>
      </c>
      <c r="G2562" s="9" t="s">
        <v>4918</v>
      </c>
      <c r="H2562" s="9" t="s">
        <v>4919</v>
      </c>
      <c r="I2562" s="3"/>
      <c r="J2562" s="3"/>
      <c r="K2562" s="9"/>
    </row>
    <row r="2563" ht="15.75" customHeight="1">
      <c r="A2563" s="10" t="s">
        <v>12</v>
      </c>
      <c r="B2563" s="10" t="s">
        <v>359</v>
      </c>
      <c r="C2563" s="10" t="s">
        <v>10887</v>
      </c>
      <c r="D2563" s="11" t="str">
        <f t="shared" si="1"/>
        <v>Abrir anúncio ↗</v>
      </c>
      <c r="E2563" s="12" t="s">
        <v>10888</v>
      </c>
      <c r="F2563" s="10" t="s">
        <v>29</v>
      </c>
      <c r="G2563" s="12" t="s">
        <v>4918</v>
      </c>
      <c r="H2563" s="12" t="s">
        <v>4919</v>
      </c>
      <c r="I2563" s="10"/>
      <c r="J2563" s="10"/>
      <c r="K2563" s="12"/>
    </row>
    <row r="2564" ht="15.75" customHeight="1">
      <c r="A2564" s="3" t="s">
        <v>12</v>
      </c>
      <c r="B2564" s="3" t="s">
        <v>359</v>
      </c>
      <c r="C2564" s="3" t="s">
        <v>10889</v>
      </c>
      <c r="D2564" s="8" t="str">
        <f t="shared" si="1"/>
        <v>Abrir anúncio ↗</v>
      </c>
      <c r="E2564" s="9" t="s">
        <v>10890</v>
      </c>
      <c r="F2564" s="3" t="s">
        <v>29</v>
      </c>
      <c r="G2564" s="9" t="s">
        <v>4918</v>
      </c>
      <c r="H2564" s="9" t="s">
        <v>4919</v>
      </c>
      <c r="I2564" s="3"/>
      <c r="J2564" s="3"/>
      <c r="K2564" s="9"/>
    </row>
    <row r="2565" ht="15.75" customHeight="1">
      <c r="A2565" s="10" t="s">
        <v>12</v>
      </c>
      <c r="B2565" s="10" t="s">
        <v>359</v>
      </c>
      <c r="C2565" s="10" t="s">
        <v>10891</v>
      </c>
      <c r="D2565" s="11" t="str">
        <f t="shared" si="1"/>
        <v>Abrir anúncio ↗</v>
      </c>
      <c r="E2565" s="12" t="s">
        <v>10892</v>
      </c>
      <c r="F2565" s="10" t="s">
        <v>29</v>
      </c>
      <c r="G2565" s="12" t="s">
        <v>4918</v>
      </c>
      <c r="H2565" s="12" t="s">
        <v>4919</v>
      </c>
      <c r="I2565" s="10"/>
      <c r="J2565" s="10"/>
      <c r="K2565" s="12"/>
    </row>
    <row r="2566" ht="15.75" customHeight="1">
      <c r="A2566" s="3" t="s">
        <v>12</v>
      </c>
      <c r="B2566" s="3" t="s">
        <v>359</v>
      </c>
      <c r="C2566" s="3" t="s">
        <v>10893</v>
      </c>
      <c r="D2566" s="8" t="str">
        <f t="shared" si="1"/>
        <v>Abrir anúncio ↗</v>
      </c>
      <c r="E2566" s="9" t="s">
        <v>10894</v>
      </c>
      <c r="F2566" s="3" t="s">
        <v>29</v>
      </c>
      <c r="G2566" s="9" t="s">
        <v>4918</v>
      </c>
      <c r="H2566" s="9" t="s">
        <v>4919</v>
      </c>
      <c r="I2566" s="3"/>
      <c r="J2566" s="3"/>
      <c r="K2566" s="9"/>
    </row>
    <row r="2567" ht="15.75" customHeight="1">
      <c r="A2567" s="10" t="s">
        <v>12</v>
      </c>
      <c r="B2567" s="10" t="s">
        <v>359</v>
      </c>
      <c r="C2567" s="10" t="s">
        <v>10895</v>
      </c>
      <c r="D2567" s="11" t="str">
        <f t="shared" si="1"/>
        <v>Abrir anúncio ↗</v>
      </c>
      <c r="E2567" s="12" t="s">
        <v>10896</v>
      </c>
      <c r="F2567" s="10" t="s">
        <v>29</v>
      </c>
      <c r="G2567" s="12" t="s">
        <v>4918</v>
      </c>
      <c r="H2567" s="12" t="s">
        <v>4919</v>
      </c>
      <c r="I2567" s="10"/>
      <c r="J2567" s="10"/>
      <c r="K2567" s="12"/>
    </row>
    <row r="2568" ht="15.75" customHeight="1">
      <c r="A2568" s="3" t="s">
        <v>12</v>
      </c>
      <c r="B2568" s="3" t="s">
        <v>359</v>
      </c>
      <c r="C2568" s="3" t="s">
        <v>10897</v>
      </c>
      <c r="D2568" s="8" t="str">
        <f t="shared" si="1"/>
        <v>Abrir anúncio ↗</v>
      </c>
      <c r="E2568" s="9" t="s">
        <v>10898</v>
      </c>
      <c r="F2568" s="3" t="s">
        <v>29</v>
      </c>
      <c r="G2568" s="9" t="s">
        <v>4918</v>
      </c>
      <c r="H2568" s="9" t="s">
        <v>4919</v>
      </c>
      <c r="I2568" s="3"/>
      <c r="J2568" s="3"/>
      <c r="K2568" s="9"/>
    </row>
    <row r="2569" ht="15.75" customHeight="1">
      <c r="A2569" s="10" t="s">
        <v>12</v>
      </c>
      <c r="B2569" s="10" t="s">
        <v>359</v>
      </c>
      <c r="C2569" s="10" t="s">
        <v>10899</v>
      </c>
      <c r="D2569" s="11" t="str">
        <f t="shared" si="1"/>
        <v>Abrir anúncio ↗</v>
      </c>
      <c r="E2569" s="12" t="s">
        <v>10900</v>
      </c>
      <c r="F2569" s="10" t="s">
        <v>29</v>
      </c>
      <c r="G2569" s="12" t="s">
        <v>4918</v>
      </c>
      <c r="H2569" s="12" t="s">
        <v>4919</v>
      </c>
      <c r="I2569" s="10"/>
      <c r="J2569" s="10"/>
      <c r="K2569" s="12"/>
    </row>
    <row r="2570" ht="15.75" customHeight="1">
      <c r="A2570" s="3" t="s">
        <v>12</v>
      </c>
      <c r="B2570" s="3" t="s">
        <v>359</v>
      </c>
      <c r="C2570" s="3" t="s">
        <v>10901</v>
      </c>
      <c r="D2570" s="8" t="str">
        <f t="shared" si="1"/>
        <v>Abrir anúncio ↗</v>
      </c>
      <c r="E2570" s="9" t="s">
        <v>10902</v>
      </c>
      <c r="F2570" s="3" t="s">
        <v>29</v>
      </c>
      <c r="G2570" s="9" t="s">
        <v>4918</v>
      </c>
      <c r="H2570" s="9" t="s">
        <v>4919</v>
      </c>
      <c r="I2570" s="3"/>
      <c r="J2570" s="3"/>
      <c r="K2570" s="9"/>
    </row>
    <row r="2571" ht="15.75" customHeight="1">
      <c r="A2571" s="10" t="s">
        <v>12</v>
      </c>
      <c r="B2571" s="10" t="s">
        <v>359</v>
      </c>
      <c r="C2571" s="10" t="s">
        <v>10903</v>
      </c>
      <c r="D2571" s="11" t="str">
        <f t="shared" si="1"/>
        <v>Abrir anúncio ↗</v>
      </c>
      <c r="E2571" s="12" t="s">
        <v>10904</v>
      </c>
      <c r="F2571" s="10" t="s">
        <v>29</v>
      </c>
      <c r="G2571" s="12" t="s">
        <v>4918</v>
      </c>
      <c r="H2571" s="12" t="s">
        <v>4919</v>
      </c>
      <c r="I2571" s="10"/>
      <c r="J2571" s="10"/>
      <c r="K2571" s="12"/>
    </row>
    <row r="2572" ht="15.75" customHeight="1">
      <c r="A2572" s="3" t="s">
        <v>12</v>
      </c>
      <c r="B2572" s="3" t="s">
        <v>359</v>
      </c>
      <c r="C2572" s="3" t="s">
        <v>10905</v>
      </c>
      <c r="D2572" s="8" t="str">
        <f t="shared" si="1"/>
        <v>Abrir anúncio ↗</v>
      </c>
      <c r="E2572" s="9" t="s">
        <v>10906</v>
      </c>
      <c r="F2572" s="3" t="s">
        <v>86</v>
      </c>
      <c r="G2572" s="9" t="s">
        <v>9253</v>
      </c>
      <c r="H2572" s="9" t="s">
        <v>9254</v>
      </c>
      <c r="I2572" s="3"/>
      <c r="J2572" s="3"/>
      <c r="K2572" s="9"/>
    </row>
    <row r="2573" ht="15.75" customHeight="1">
      <c r="A2573" s="10" t="s">
        <v>12</v>
      </c>
      <c r="B2573" s="10" t="s">
        <v>359</v>
      </c>
      <c r="C2573" s="10" t="s">
        <v>10907</v>
      </c>
      <c r="D2573" s="11" t="str">
        <f t="shared" si="1"/>
        <v>Abrir anúncio ↗</v>
      </c>
      <c r="E2573" s="12" t="s">
        <v>10908</v>
      </c>
      <c r="F2573" s="10" t="s">
        <v>86</v>
      </c>
      <c r="G2573" s="12" t="s">
        <v>5013</v>
      </c>
      <c r="H2573" s="12" t="s">
        <v>5015</v>
      </c>
      <c r="I2573" s="10"/>
      <c r="J2573" s="10"/>
      <c r="K2573" s="12"/>
    </row>
    <row r="2574" ht="15.75" customHeight="1">
      <c r="A2574" s="3" t="s">
        <v>12</v>
      </c>
      <c r="B2574" s="3" t="s">
        <v>359</v>
      </c>
      <c r="C2574" s="3" t="s">
        <v>10909</v>
      </c>
      <c r="D2574" s="8" t="str">
        <f t="shared" si="1"/>
        <v>Abrir anúncio ↗</v>
      </c>
      <c r="E2574" s="9" t="s">
        <v>10910</v>
      </c>
      <c r="F2574" s="3" t="s">
        <v>29</v>
      </c>
      <c r="G2574" s="9" t="s">
        <v>9514</v>
      </c>
      <c r="H2574" s="9" t="s">
        <v>9515</v>
      </c>
      <c r="I2574" s="3"/>
      <c r="J2574" s="3"/>
      <c r="K2574" s="9"/>
    </row>
    <row r="2575" ht="15.75" customHeight="1">
      <c r="A2575" s="10" t="s">
        <v>12</v>
      </c>
      <c r="B2575" s="10" t="s">
        <v>359</v>
      </c>
      <c r="C2575" s="10" t="s">
        <v>10911</v>
      </c>
      <c r="D2575" s="11" t="str">
        <f t="shared" si="1"/>
        <v>Abrir anúncio ↗</v>
      </c>
      <c r="E2575" s="12" t="s">
        <v>10912</v>
      </c>
      <c r="F2575" s="10" t="s">
        <v>29</v>
      </c>
      <c r="G2575" s="12" t="s">
        <v>9253</v>
      </c>
      <c r="H2575" s="12" t="s">
        <v>10913</v>
      </c>
      <c r="I2575" s="10"/>
      <c r="J2575" s="10"/>
      <c r="K2575" s="12"/>
    </row>
    <row r="2576" ht="15.75" customHeight="1">
      <c r="A2576" s="3" t="s">
        <v>12</v>
      </c>
      <c r="B2576" s="3" t="s">
        <v>359</v>
      </c>
      <c r="C2576" s="3" t="s">
        <v>10914</v>
      </c>
      <c r="D2576" s="8" t="str">
        <f t="shared" si="1"/>
        <v>Abrir anúncio ↗</v>
      </c>
      <c r="E2576" s="9" t="s">
        <v>10915</v>
      </c>
      <c r="F2576" s="3" t="s">
        <v>86</v>
      </c>
      <c r="G2576" s="9" t="s">
        <v>9514</v>
      </c>
      <c r="H2576" s="9" t="s">
        <v>9515</v>
      </c>
      <c r="I2576" s="3"/>
      <c r="J2576" s="3"/>
      <c r="K2576" s="9"/>
    </row>
    <row r="2577" ht="15.75" customHeight="1">
      <c r="A2577" s="10" t="s">
        <v>12</v>
      </c>
      <c r="B2577" s="10" t="s">
        <v>359</v>
      </c>
      <c r="C2577" s="10" t="s">
        <v>10916</v>
      </c>
      <c r="D2577" s="11" t="str">
        <f t="shared" si="1"/>
        <v>Abrir anúncio ↗</v>
      </c>
      <c r="E2577" s="12" t="s">
        <v>10917</v>
      </c>
      <c r="F2577" s="10" t="s">
        <v>29</v>
      </c>
      <c r="G2577" s="12" t="s">
        <v>9253</v>
      </c>
      <c r="H2577" s="12" t="s">
        <v>9254</v>
      </c>
      <c r="I2577" s="10"/>
      <c r="J2577" s="10"/>
      <c r="K2577" s="12"/>
    </row>
    <row r="2578" ht="15.75" customHeight="1">
      <c r="A2578" s="3" t="s">
        <v>12</v>
      </c>
      <c r="B2578" s="3" t="s">
        <v>359</v>
      </c>
      <c r="C2578" s="3" t="s">
        <v>10918</v>
      </c>
      <c r="D2578" s="8" t="str">
        <f t="shared" si="1"/>
        <v>Abrir anúncio ↗</v>
      </c>
      <c r="E2578" s="9" t="s">
        <v>10919</v>
      </c>
      <c r="F2578" s="3" t="s">
        <v>86</v>
      </c>
      <c r="G2578" s="9" t="s">
        <v>9514</v>
      </c>
      <c r="H2578" s="9" t="s">
        <v>9515</v>
      </c>
      <c r="I2578" s="3"/>
      <c r="J2578" s="3"/>
      <c r="K2578" s="9"/>
    </row>
    <row r="2579" ht="15.75" customHeight="1">
      <c r="A2579" s="10" t="s">
        <v>12</v>
      </c>
      <c r="B2579" s="10" t="s">
        <v>359</v>
      </c>
      <c r="C2579" s="10" t="s">
        <v>10920</v>
      </c>
      <c r="D2579" s="11" t="str">
        <f t="shared" si="1"/>
        <v>Abrir anúncio ↗</v>
      </c>
      <c r="E2579" s="12" t="s">
        <v>10921</v>
      </c>
      <c r="F2579" s="10" t="s">
        <v>86</v>
      </c>
      <c r="G2579" s="12" t="s">
        <v>5013</v>
      </c>
      <c r="H2579" s="12" t="s">
        <v>5015</v>
      </c>
      <c r="I2579" s="10"/>
      <c r="J2579" s="10"/>
      <c r="K2579" s="12"/>
    </row>
    <row r="2580" ht="15.75" customHeight="1">
      <c r="A2580" s="3" t="s">
        <v>12</v>
      </c>
      <c r="B2580" s="3" t="s">
        <v>359</v>
      </c>
      <c r="C2580" s="3" t="s">
        <v>10922</v>
      </c>
      <c r="D2580" s="8" t="str">
        <f t="shared" si="1"/>
        <v>Abrir anúncio ↗</v>
      </c>
      <c r="E2580" s="9" t="s">
        <v>10923</v>
      </c>
      <c r="F2580" s="3" t="s">
        <v>86</v>
      </c>
      <c r="G2580" s="9" t="s">
        <v>9514</v>
      </c>
      <c r="H2580" s="9" t="s">
        <v>9515</v>
      </c>
      <c r="I2580" s="3"/>
      <c r="J2580" s="3"/>
      <c r="K2580" s="9"/>
    </row>
    <row r="2581" ht="15.75" customHeight="1">
      <c r="A2581" s="10" t="s">
        <v>12</v>
      </c>
      <c r="B2581" s="10" t="s">
        <v>359</v>
      </c>
      <c r="C2581" s="10" t="s">
        <v>10924</v>
      </c>
      <c r="D2581" s="11" t="str">
        <f t="shared" si="1"/>
        <v>Abrir anúncio ↗</v>
      </c>
      <c r="E2581" s="12" t="s">
        <v>10925</v>
      </c>
      <c r="F2581" s="10" t="s">
        <v>86</v>
      </c>
      <c r="G2581" s="12" t="s">
        <v>9253</v>
      </c>
      <c r="H2581" s="12" t="s">
        <v>9254</v>
      </c>
      <c r="I2581" s="10"/>
      <c r="J2581" s="10"/>
      <c r="K2581" s="12"/>
    </row>
    <row r="2582" ht="15.75" customHeight="1">
      <c r="A2582" s="3" t="s">
        <v>12</v>
      </c>
      <c r="B2582" s="3" t="s">
        <v>359</v>
      </c>
      <c r="C2582" s="3" t="s">
        <v>10926</v>
      </c>
      <c r="D2582" s="8" t="str">
        <f t="shared" si="1"/>
        <v>Abrir anúncio ↗</v>
      </c>
      <c r="E2582" s="9" t="s">
        <v>10927</v>
      </c>
      <c r="F2582" s="3" t="s">
        <v>86</v>
      </c>
      <c r="G2582" s="9" t="s">
        <v>9514</v>
      </c>
      <c r="H2582" s="9" t="s">
        <v>9515</v>
      </c>
      <c r="I2582" s="3"/>
      <c r="J2582" s="3"/>
      <c r="K2582" s="9"/>
    </row>
    <row r="2583" ht="15.75" customHeight="1">
      <c r="A2583" s="10" t="s">
        <v>12</v>
      </c>
      <c r="B2583" s="10" t="s">
        <v>359</v>
      </c>
      <c r="C2583" s="10" t="s">
        <v>10928</v>
      </c>
      <c r="D2583" s="11" t="str">
        <f t="shared" si="1"/>
        <v>Abrir anúncio ↗</v>
      </c>
      <c r="E2583" s="12" t="s">
        <v>10929</v>
      </c>
      <c r="F2583" s="10" t="s">
        <v>86</v>
      </c>
      <c r="G2583" s="12" t="s">
        <v>9514</v>
      </c>
      <c r="H2583" s="12" t="s">
        <v>9515</v>
      </c>
      <c r="I2583" s="10"/>
      <c r="J2583" s="10"/>
      <c r="K2583" s="12"/>
    </row>
    <row r="2584" ht="15.75" customHeight="1">
      <c r="A2584" s="3" t="s">
        <v>12</v>
      </c>
      <c r="B2584" s="3" t="s">
        <v>359</v>
      </c>
      <c r="C2584" s="3" t="s">
        <v>10930</v>
      </c>
      <c r="D2584" s="8" t="str">
        <f t="shared" si="1"/>
        <v>Abrir anúncio ↗</v>
      </c>
      <c r="E2584" s="9" t="s">
        <v>10931</v>
      </c>
      <c r="F2584" s="3" t="s">
        <v>86</v>
      </c>
      <c r="G2584" s="9" t="s">
        <v>9514</v>
      </c>
      <c r="H2584" s="9" t="s">
        <v>9515</v>
      </c>
      <c r="I2584" s="3"/>
      <c r="J2584" s="3"/>
      <c r="K2584" s="9"/>
    </row>
    <row r="2585" ht="15.75" customHeight="1">
      <c r="A2585" s="10" t="s">
        <v>12</v>
      </c>
      <c r="B2585" s="10" t="s">
        <v>359</v>
      </c>
      <c r="C2585" s="10" t="s">
        <v>10932</v>
      </c>
      <c r="D2585" s="11" t="str">
        <f t="shared" si="1"/>
        <v>Abrir anúncio ↗</v>
      </c>
      <c r="E2585" s="12" t="s">
        <v>10933</v>
      </c>
      <c r="F2585" s="10" t="s">
        <v>29</v>
      </c>
      <c r="G2585" s="12" t="s">
        <v>9514</v>
      </c>
      <c r="H2585" s="12" t="s">
        <v>9515</v>
      </c>
      <c r="I2585" s="10"/>
      <c r="J2585" s="10"/>
      <c r="K2585" s="12"/>
    </row>
    <row r="2586" ht="15.75" customHeight="1">
      <c r="A2586" s="3" t="s">
        <v>12</v>
      </c>
      <c r="B2586" s="3" t="s">
        <v>359</v>
      </c>
      <c r="C2586" s="3" t="s">
        <v>10934</v>
      </c>
      <c r="D2586" s="8" t="str">
        <f t="shared" si="1"/>
        <v>Abrir anúncio ↗</v>
      </c>
      <c r="E2586" s="9" t="s">
        <v>10935</v>
      </c>
      <c r="F2586" s="3" t="s">
        <v>29</v>
      </c>
      <c r="G2586" s="9" t="s">
        <v>9514</v>
      </c>
      <c r="H2586" s="9" t="s">
        <v>9515</v>
      </c>
      <c r="I2586" s="3"/>
      <c r="J2586" s="3"/>
      <c r="K2586" s="9"/>
    </row>
    <row r="2587" ht="15.75" customHeight="1">
      <c r="A2587" s="10" t="s">
        <v>12</v>
      </c>
      <c r="B2587" s="10" t="s">
        <v>359</v>
      </c>
      <c r="C2587" s="10" t="s">
        <v>10936</v>
      </c>
      <c r="D2587" s="11" t="str">
        <f t="shared" si="1"/>
        <v>Abrir anúncio ↗</v>
      </c>
      <c r="E2587" s="12" t="s">
        <v>10937</v>
      </c>
      <c r="F2587" s="10" t="s">
        <v>86</v>
      </c>
      <c r="G2587" s="12" t="s">
        <v>9514</v>
      </c>
      <c r="H2587" s="12" t="s">
        <v>9515</v>
      </c>
      <c r="I2587" s="10"/>
      <c r="J2587" s="10"/>
      <c r="K2587" s="12"/>
    </row>
    <row r="2588" ht="15.75" customHeight="1">
      <c r="A2588" s="3" t="s">
        <v>12</v>
      </c>
      <c r="B2588" s="3" t="s">
        <v>359</v>
      </c>
      <c r="C2588" s="3" t="s">
        <v>10938</v>
      </c>
      <c r="D2588" s="8" t="str">
        <f t="shared" si="1"/>
        <v>Abrir anúncio ↗</v>
      </c>
      <c r="E2588" s="9" t="s">
        <v>10939</v>
      </c>
      <c r="F2588" s="3" t="s">
        <v>86</v>
      </c>
      <c r="G2588" s="9" t="s">
        <v>9514</v>
      </c>
      <c r="H2588" s="9" t="s">
        <v>9515</v>
      </c>
      <c r="I2588" s="3"/>
      <c r="J2588" s="3"/>
      <c r="K2588" s="9"/>
    </row>
    <row r="2589" ht="15.75" customHeight="1">
      <c r="A2589" s="10" t="s">
        <v>12</v>
      </c>
      <c r="B2589" s="10" t="s">
        <v>359</v>
      </c>
      <c r="C2589" s="10" t="s">
        <v>10940</v>
      </c>
      <c r="D2589" s="11" t="str">
        <f t="shared" si="1"/>
        <v>Abrir anúncio ↗</v>
      </c>
      <c r="E2589" s="12" t="s">
        <v>10941</v>
      </c>
      <c r="F2589" s="10" t="s">
        <v>29</v>
      </c>
      <c r="G2589" s="12" t="s">
        <v>5013</v>
      </c>
      <c r="H2589" s="12" t="s">
        <v>5015</v>
      </c>
      <c r="I2589" s="10"/>
      <c r="J2589" s="10"/>
      <c r="K2589" s="12"/>
    </row>
    <row r="2590" ht="15.75" customHeight="1">
      <c r="A2590" s="3" t="s">
        <v>12</v>
      </c>
      <c r="B2590" s="3" t="s">
        <v>359</v>
      </c>
      <c r="C2590" s="3" t="s">
        <v>10942</v>
      </c>
      <c r="D2590" s="8" t="str">
        <f t="shared" si="1"/>
        <v>Abrir anúncio ↗</v>
      </c>
      <c r="E2590" s="9" t="s">
        <v>10943</v>
      </c>
      <c r="F2590" s="3" t="s">
        <v>29</v>
      </c>
      <c r="G2590" s="9" t="s">
        <v>4918</v>
      </c>
      <c r="H2590" s="9" t="s">
        <v>4919</v>
      </c>
      <c r="I2590" s="3"/>
      <c r="J2590" s="3"/>
      <c r="K2590" s="9"/>
    </row>
    <row r="2591" ht="15.75" customHeight="1">
      <c r="A2591" s="10" t="s">
        <v>12</v>
      </c>
      <c r="B2591" s="10" t="s">
        <v>359</v>
      </c>
      <c r="C2591" s="10" t="s">
        <v>10944</v>
      </c>
      <c r="D2591" s="11" t="str">
        <f t="shared" si="1"/>
        <v>Abrir anúncio ↗</v>
      </c>
      <c r="E2591" s="12" t="s">
        <v>10945</v>
      </c>
      <c r="F2591" s="10" t="s">
        <v>29</v>
      </c>
      <c r="G2591" s="12" t="s">
        <v>4918</v>
      </c>
      <c r="H2591" s="12" t="s">
        <v>4919</v>
      </c>
      <c r="I2591" s="10"/>
      <c r="J2591" s="10"/>
      <c r="K2591" s="12"/>
    </row>
    <row r="2592" ht="15.75" customHeight="1">
      <c r="A2592" s="3" t="s">
        <v>12</v>
      </c>
      <c r="B2592" s="3" t="s">
        <v>359</v>
      </c>
      <c r="C2592" s="3" t="s">
        <v>10946</v>
      </c>
      <c r="D2592" s="8" t="str">
        <f t="shared" si="1"/>
        <v>Abrir anúncio ↗</v>
      </c>
      <c r="E2592" s="9" t="s">
        <v>10947</v>
      </c>
      <c r="F2592" s="3" t="s">
        <v>29</v>
      </c>
      <c r="G2592" s="9" t="s">
        <v>4918</v>
      </c>
      <c r="H2592" s="9" t="s">
        <v>4919</v>
      </c>
      <c r="I2592" s="3"/>
      <c r="J2592" s="3"/>
      <c r="K2592" s="9"/>
    </row>
    <row r="2593" ht="15.75" customHeight="1">
      <c r="A2593" s="10" t="s">
        <v>12</v>
      </c>
      <c r="B2593" s="10" t="s">
        <v>359</v>
      </c>
      <c r="C2593" s="10" t="s">
        <v>10948</v>
      </c>
      <c r="D2593" s="11" t="str">
        <f t="shared" si="1"/>
        <v>Abrir anúncio ↗</v>
      </c>
      <c r="E2593" s="12" t="s">
        <v>10949</v>
      </c>
      <c r="F2593" s="10" t="s">
        <v>29</v>
      </c>
      <c r="G2593" s="12" t="s">
        <v>4918</v>
      </c>
      <c r="H2593" s="12" t="s">
        <v>4919</v>
      </c>
      <c r="I2593" s="10"/>
      <c r="J2593" s="10"/>
      <c r="K2593" s="12"/>
    </row>
    <row r="2594" ht="15.75" customHeight="1">
      <c r="A2594" s="3" t="s">
        <v>12</v>
      </c>
      <c r="B2594" s="3" t="s">
        <v>359</v>
      </c>
      <c r="C2594" s="3" t="s">
        <v>10950</v>
      </c>
      <c r="D2594" s="8" t="str">
        <f t="shared" si="1"/>
        <v>Abrir anúncio ↗</v>
      </c>
      <c r="E2594" s="9" t="s">
        <v>10951</v>
      </c>
      <c r="F2594" s="3" t="s">
        <v>29</v>
      </c>
      <c r="G2594" s="9" t="s">
        <v>4918</v>
      </c>
      <c r="H2594" s="9" t="s">
        <v>4919</v>
      </c>
      <c r="I2594" s="3"/>
      <c r="J2594" s="3"/>
      <c r="K2594" s="9"/>
    </row>
    <row r="2595" ht="15.75" customHeight="1">
      <c r="A2595" s="10" t="s">
        <v>12</v>
      </c>
      <c r="B2595" s="10" t="s">
        <v>359</v>
      </c>
      <c r="C2595" s="10" t="s">
        <v>10952</v>
      </c>
      <c r="D2595" s="11" t="str">
        <f t="shared" si="1"/>
        <v>Abrir anúncio ↗</v>
      </c>
      <c r="E2595" s="12" t="s">
        <v>10953</v>
      </c>
      <c r="F2595" s="10" t="s">
        <v>29</v>
      </c>
      <c r="G2595" s="12" t="s">
        <v>4918</v>
      </c>
      <c r="H2595" s="12" t="s">
        <v>4919</v>
      </c>
      <c r="I2595" s="10"/>
      <c r="J2595" s="10"/>
      <c r="K2595" s="12"/>
    </row>
    <row r="2596" ht="15.75" customHeight="1">
      <c r="A2596" s="3" t="s">
        <v>12</v>
      </c>
      <c r="B2596" s="3" t="s">
        <v>359</v>
      </c>
      <c r="C2596" s="3" t="s">
        <v>10954</v>
      </c>
      <c r="D2596" s="8" t="str">
        <f t="shared" si="1"/>
        <v>Abrir anúncio ↗</v>
      </c>
      <c r="E2596" s="9" t="s">
        <v>10955</v>
      </c>
      <c r="F2596" s="3" t="s">
        <v>29</v>
      </c>
      <c r="G2596" s="9" t="s">
        <v>4918</v>
      </c>
      <c r="H2596" s="9" t="s">
        <v>4919</v>
      </c>
      <c r="I2596" s="3"/>
      <c r="J2596" s="3"/>
      <c r="K2596" s="9"/>
    </row>
    <row r="2597" ht="15.75" customHeight="1">
      <c r="A2597" s="10" t="s">
        <v>12</v>
      </c>
      <c r="B2597" s="10" t="s">
        <v>359</v>
      </c>
      <c r="C2597" s="10" t="s">
        <v>10956</v>
      </c>
      <c r="D2597" s="11" t="str">
        <f t="shared" si="1"/>
        <v>Abrir anúncio ↗</v>
      </c>
      <c r="E2597" s="12" t="s">
        <v>10957</v>
      </c>
      <c r="F2597" s="10" t="s">
        <v>29</v>
      </c>
      <c r="G2597" s="12" t="s">
        <v>4918</v>
      </c>
      <c r="H2597" s="12" t="s">
        <v>4919</v>
      </c>
      <c r="I2597" s="10"/>
      <c r="J2597" s="10"/>
      <c r="K2597" s="12"/>
    </row>
    <row r="2598" ht="15.75" customHeight="1">
      <c r="A2598" s="3" t="s">
        <v>12</v>
      </c>
      <c r="B2598" s="3" t="s">
        <v>359</v>
      </c>
      <c r="C2598" s="3" t="s">
        <v>10958</v>
      </c>
      <c r="D2598" s="8" t="str">
        <f t="shared" si="1"/>
        <v>Abrir anúncio ↗</v>
      </c>
      <c r="E2598" s="9" t="s">
        <v>10959</v>
      </c>
      <c r="F2598" s="3" t="s">
        <v>29</v>
      </c>
      <c r="G2598" s="9" t="s">
        <v>4918</v>
      </c>
      <c r="H2598" s="9" t="s">
        <v>4919</v>
      </c>
      <c r="I2598" s="3"/>
      <c r="J2598" s="3"/>
      <c r="K2598" s="9"/>
    </row>
    <row r="2599" ht="15.75" customHeight="1">
      <c r="A2599" s="10" t="s">
        <v>12</v>
      </c>
      <c r="B2599" s="10" t="s">
        <v>359</v>
      </c>
      <c r="C2599" s="10" t="s">
        <v>10960</v>
      </c>
      <c r="D2599" s="11" t="str">
        <f t="shared" si="1"/>
        <v>Abrir anúncio ↗</v>
      </c>
      <c r="E2599" s="12" t="s">
        <v>10961</v>
      </c>
      <c r="F2599" s="10" t="s">
        <v>29</v>
      </c>
      <c r="G2599" s="12" t="s">
        <v>4918</v>
      </c>
      <c r="H2599" s="12" t="s">
        <v>4919</v>
      </c>
      <c r="I2599" s="10"/>
      <c r="J2599" s="10"/>
      <c r="K2599" s="12"/>
    </row>
    <row r="2600" ht="15.75" customHeight="1">
      <c r="A2600" s="3" t="s">
        <v>12</v>
      </c>
      <c r="B2600" s="3" t="s">
        <v>359</v>
      </c>
      <c r="C2600" s="3" t="s">
        <v>10962</v>
      </c>
      <c r="D2600" s="8" t="str">
        <f t="shared" si="1"/>
        <v>Abrir anúncio ↗</v>
      </c>
      <c r="E2600" s="9" t="s">
        <v>10963</v>
      </c>
      <c r="F2600" s="3" t="s">
        <v>29</v>
      </c>
      <c r="G2600" s="9" t="s">
        <v>4918</v>
      </c>
      <c r="H2600" s="9" t="s">
        <v>4919</v>
      </c>
      <c r="I2600" s="3"/>
      <c r="J2600" s="3"/>
      <c r="K2600" s="9"/>
    </row>
    <row r="2601" ht="15.75" customHeight="1">
      <c r="A2601" s="10" t="s">
        <v>12</v>
      </c>
      <c r="B2601" s="10" t="s">
        <v>359</v>
      </c>
      <c r="C2601" s="10" t="s">
        <v>10964</v>
      </c>
      <c r="D2601" s="11" t="str">
        <f t="shared" si="1"/>
        <v>Abrir anúncio ↗</v>
      </c>
      <c r="E2601" s="12" t="s">
        <v>10965</v>
      </c>
      <c r="F2601" s="10" t="s">
        <v>29</v>
      </c>
      <c r="G2601" s="12" t="s">
        <v>4918</v>
      </c>
      <c r="H2601" s="12" t="s">
        <v>4919</v>
      </c>
      <c r="I2601" s="10"/>
      <c r="J2601" s="10"/>
      <c r="K2601" s="12"/>
    </row>
    <row r="2602" ht="15.75" customHeight="1">
      <c r="A2602" s="3" t="s">
        <v>12</v>
      </c>
      <c r="B2602" s="3" t="s">
        <v>359</v>
      </c>
      <c r="C2602" s="3" t="s">
        <v>8755</v>
      </c>
      <c r="D2602" s="8" t="str">
        <f t="shared" si="1"/>
        <v>Abrir anúncio ↗</v>
      </c>
      <c r="E2602" s="9" t="s">
        <v>6667</v>
      </c>
      <c r="F2602" s="3" t="s">
        <v>29</v>
      </c>
      <c r="G2602" s="9" t="s">
        <v>4918</v>
      </c>
      <c r="H2602" s="9" t="s">
        <v>4919</v>
      </c>
      <c r="I2602" s="3"/>
      <c r="J2602" s="3"/>
      <c r="K2602" s="9"/>
    </row>
    <row r="2603" ht="15.75" customHeight="1">
      <c r="A2603" s="10" t="s">
        <v>12</v>
      </c>
      <c r="B2603" s="10" t="s">
        <v>359</v>
      </c>
      <c r="C2603" s="10" t="s">
        <v>10966</v>
      </c>
      <c r="D2603" s="11" t="str">
        <f t="shared" si="1"/>
        <v>Abrir anúncio ↗</v>
      </c>
      <c r="E2603" s="12" t="s">
        <v>10967</v>
      </c>
      <c r="F2603" s="10" t="s">
        <v>29</v>
      </c>
      <c r="G2603" s="12" t="s">
        <v>4918</v>
      </c>
      <c r="H2603" s="12" t="s">
        <v>4919</v>
      </c>
      <c r="I2603" s="10"/>
      <c r="J2603" s="10"/>
      <c r="K2603" s="12"/>
    </row>
    <row r="2604" ht="15.75" customHeight="1">
      <c r="A2604" s="3" t="s">
        <v>12</v>
      </c>
      <c r="B2604" s="3" t="s">
        <v>359</v>
      </c>
      <c r="C2604" s="3" t="s">
        <v>10968</v>
      </c>
      <c r="D2604" s="8" t="str">
        <f t="shared" si="1"/>
        <v>Abrir anúncio ↗</v>
      </c>
      <c r="E2604" s="9" t="s">
        <v>10969</v>
      </c>
      <c r="F2604" s="3" t="s">
        <v>29</v>
      </c>
      <c r="G2604" s="9" t="s">
        <v>4918</v>
      </c>
      <c r="H2604" s="9" t="s">
        <v>4919</v>
      </c>
      <c r="I2604" s="3"/>
      <c r="J2604" s="3"/>
      <c r="K2604" s="9"/>
    </row>
    <row r="2605" ht="15.75" customHeight="1">
      <c r="A2605" s="10" t="s">
        <v>12</v>
      </c>
      <c r="B2605" s="10" t="s">
        <v>359</v>
      </c>
      <c r="C2605" s="10" t="s">
        <v>10970</v>
      </c>
      <c r="D2605" s="11" t="str">
        <f t="shared" si="1"/>
        <v>Abrir anúncio ↗</v>
      </c>
      <c r="E2605" s="12" t="s">
        <v>10971</v>
      </c>
      <c r="F2605" s="10" t="s">
        <v>29</v>
      </c>
      <c r="G2605" s="12" t="s">
        <v>4918</v>
      </c>
      <c r="H2605" s="12" t="s">
        <v>4919</v>
      </c>
      <c r="I2605" s="10"/>
      <c r="J2605" s="10"/>
      <c r="K2605" s="12"/>
    </row>
    <row r="2606" ht="15.75" customHeight="1">
      <c r="A2606" s="3" t="s">
        <v>12</v>
      </c>
      <c r="B2606" s="3" t="s">
        <v>359</v>
      </c>
      <c r="C2606" s="3" t="s">
        <v>10972</v>
      </c>
      <c r="D2606" s="8" t="str">
        <f t="shared" si="1"/>
        <v>Abrir anúncio ↗</v>
      </c>
      <c r="E2606" s="9" t="s">
        <v>10973</v>
      </c>
      <c r="F2606" s="3" t="s">
        <v>29</v>
      </c>
      <c r="G2606" s="9" t="s">
        <v>4918</v>
      </c>
      <c r="H2606" s="9" t="s">
        <v>4919</v>
      </c>
      <c r="I2606" s="3"/>
      <c r="J2606" s="3"/>
      <c r="K2606" s="9"/>
    </row>
    <row r="2607" ht="15.75" customHeight="1">
      <c r="A2607" s="10" t="s">
        <v>12</v>
      </c>
      <c r="B2607" s="10" t="s">
        <v>359</v>
      </c>
      <c r="C2607" s="10" t="s">
        <v>10974</v>
      </c>
      <c r="D2607" s="11" t="str">
        <f t="shared" si="1"/>
        <v>Abrir anúncio ↗</v>
      </c>
      <c r="E2607" s="12" t="s">
        <v>10975</v>
      </c>
      <c r="F2607" s="10" t="s">
        <v>29</v>
      </c>
      <c r="G2607" s="12" t="s">
        <v>4918</v>
      </c>
      <c r="H2607" s="12" t="s">
        <v>4919</v>
      </c>
      <c r="I2607" s="10"/>
      <c r="J2607" s="10"/>
      <c r="K2607" s="12"/>
    </row>
    <row r="2608" ht="15.75" customHeight="1">
      <c r="A2608" s="3" t="s">
        <v>12</v>
      </c>
      <c r="B2608" s="3" t="s">
        <v>359</v>
      </c>
      <c r="C2608" s="3" t="s">
        <v>10976</v>
      </c>
      <c r="D2608" s="8" t="str">
        <f t="shared" si="1"/>
        <v>Abrir anúncio ↗</v>
      </c>
      <c r="E2608" s="9" t="s">
        <v>10977</v>
      </c>
      <c r="F2608" s="3" t="s">
        <v>29</v>
      </c>
      <c r="G2608" s="9" t="s">
        <v>4918</v>
      </c>
      <c r="H2608" s="9" t="s">
        <v>4919</v>
      </c>
      <c r="I2608" s="3"/>
      <c r="J2608" s="3"/>
      <c r="K2608" s="9"/>
    </row>
    <row r="2609" ht="15.75" customHeight="1">
      <c r="A2609" s="10" t="s">
        <v>12</v>
      </c>
      <c r="B2609" s="10" t="s">
        <v>359</v>
      </c>
      <c r="C2609" s="10" t="s">
        <v>8759</v>
      </c>
      <c r="D2609" s="11" t="str">
        <f t="shared" si="1"/>
        <v>Abrir anúncio ↗</v>
      </c>
      <c r="E2609" s="12" t="s">
        <v>8497</v>
      </c>
      <c r="F2609" s="10" t="s">
        <v>29</v>
      </c>
      <c r="G2609" s="12" t="s">
        <v>4918</v>
      </c>
      <c r="H2609" s="12" t="s">
        <v>4919</v>
      </c>
      <c r="I2609" s="10"/>
      <c r="J2609" s="10"/>
      <c r="K2609" s="12"/>
    </row>
    <row r="2610" ht="15.75" customHeight="1">
      <c r="A2610" s="3" t="s">
        <v>12</v>
      </c>
      <c r="B2610" s="3" t="s">
        <v>359</v>
      </c>
      <c r="C2610" s="3" t="s">
        <v>10978</v>
      </c>
      <c r="D2610" s="8" t="str">
        <f t="shared" si="1"/>
        <v>Abrir anúncio ↗</v>
      </c>
      <c r="E2610" s="9" t="s">
        <v>10979</v>
      </c>
      <c r="F2610" s="3" t="s">
        <v>29</v>
      </c>
      <c r="G2610" s="9" t="s">
        <v>4918</v>
      </c>
      <c r="H2610" s="9" t="s">
        <v>4919</v>
      </c>
      <c r="I2610" s="3"/>
      <c r="J2610" s="3"/>
      <c r="K2610" s="9"/>
    </row>
    <row r="2611" ht="15.75" customHeight="1">
      <c r="A2611" s="10" t="s">
        <v>12</v>
      </c>
      <c r="B2611" s="10" t="s">
        <v>359</v>
      </c>
      <c r="C2611" s="10" t="s">
        <v>10980</v>
      </c>
      <c r="D2611" s="11" t="str">
        <f t="shared" si="1"/>
        <v>Abrir anúncio ↗</v>
      </c>
      <c r="E2611" s="12" t="s">
        <v>10981</v>
      </c>
      <c r="F2611" s="10" t="s">
        <v>29</v>
      </c>
      <c r="G2611" s="12" t="s">
        <v>4918</v>
      </c>
      <c r="H2611" s="12" t="s">
        <v>4919</v>
      </c>
      <c r="I2611" s="10"/>
      <c r="J2611" s="10"/>
      <c r="K2611" s="12"/>
    </row>
    <row r="2612" ht="15.75" customHeight="1">
      <c r="A2612" s="3" t="s">
        <v>12</v>
      </c>
      <c r="B2612" s="3" t="s">
        <v>359</v>
      </c>
      <c r="C2612" s="3" t="s">
        <v>10982</v>
      </c>
      <c r="D2612" s="8" t="str">
        <f t="shared" si="1"/>
        <v>Abrir anúncio ↗</v>
      </c>
      <c r="E2612" s="9" t="s">
        <v>10983</v>
      </c>
      <c r="F2612" s="3" t="s">
        <v>29</v>
      </c>
      <c r="G2612" s="9" t="s">
        <v>4918</v>
      </c>
      <c r="H2612" s="9" t="s">
        <v>4919</v>
      </c>
      <c r="I2612" s="3"/>
      <c r="J2612" s="3"/>
      <c r="K2612" s="9"/>
    </row>
    <row r="2613" ht="15.75" customHeight="1">
      <c r="A2613" s="10" t="s">
        <v>12</v>
      </c>
      <c r="B2613" s="10" t="s">
        <v>359</v>
      </c>
      <c r="C2613" s="10" t="s">
        <v>10984</v>
      </c>
      <c r="D2613" s="11" t="str">
        <f t="shared" si="1"/>
        <v>Abrir anúncio ↗</v>
      </c>
      <c r="E2613" s="12" t="s">
        <v>10985</v>
      </c>
      <c r="F2613" s="10" t="s">
        <v>29</v>
      </c>
      <c r="G2613" s="12" t="s">
        <v>4918</v>
      </c>
      <c r="H2613" s="12" t="s">
        <v>4919</v>
      </c>
      <c r="I2613" s="10"/>
      <c r="J2613" s="10"/>
      <c r="K2613" s="12"/>
    </row>
    <row r="2614" ht="15.75" customHeight="1">
      <c r="A2614" s="3" t="s">
        <v>12</v>
      </c>
      <c r="B2614" s="3" t="s">
        <v>359</v>
      </c>
      <c r="C2614" s="3" t="s">
        <v>10986</v>
      </c>
      <c r="D2614" s="8" t="str">
        <f t="shared" si="1"/>
        <v>Abrir anúncio ↗</v>
      </c>
      <c r="E2614" s="9" t="s">
        <v>10987</v>
      </c>
      <c r="F2614" s="3" t="s">
        <v>29</v>
      </c>
      <c r="G2614" s="9" t="s">
        <v>4918</v>
      </c>
      <c r="H2614" s="9" t="s">
        <v>4919</v>
      </c>
      <c r="I2614" s="3"/>
      <c r="J2614" s="3"/>
      <c r="K2614" s="9"/>
    </row>
    <row r="2615" ht="15.75" customHeight="1">
      <c r="A2615" s="10" t="s">
        <v>12</v>
      </c>
      <c r="B2615" s="10" t="s">
        <v>359</v>
      </c>
      <c r="C2615" s="10" t="s">
        <v>10988</v>
      </c>
      <c r="D2615" s="11" t="str">
        <f t="shared" si="1"/>
        <v>Abrir anúncio ↗</v>
      </c>
      <c r="E2615" s="12" t="s">
        <v>10989</v>
      </c>
      <c r="F2615" s="10" t="s">
        <v>29</v>
      </c>
      <c r="G2615" s="12" t="s">
        <v>4918</v>
      </c>
      <c r="H2615" s="12" t="s">
        <v>4919</v>
      </c>
      <c r="I2615" s="10"/>
      <c r="J2615" s="10"/>
      <c r="K2615" s="12"/>
    </row>
    <row r="2616" ht="15.75" customHeight="1">
      <c r="A2616" s="3" t="s">
        <v>12</v>
      </c>
      <c r="B2616" s="3" t="s">
        <v>359</v>
      </c>
      <c r="C2616" s="3" t="s">
        <v>10990</v>
      </c>
      <c r="D2616" s="8" t="str">
        <f t="shared" si="1"/>
        <v>Abrir anúncio ↗</v>
      </c>
      <c r="E2616" s="9" t="s">
        <v>10991</v>
      </c>
      <c r="F2616" s="3" t="s">
        <v>29</v>
      </c>
      <c r="G2616" s="9" t="s">
        <v>4918</v>
      </c>
      <c r="H2616" s="9" t="s">
        <v>4919</v>
      </c>
      <c r="I2616" s="3"/>
      <c r="J2616" s="3"/>
      <c r="K2616" s="9"/>
    </row>
    <row r="2617" ht="15.75" customHeight="1">
      <c r="A2617" s="10" t="s">
        <v>12</v>
      </c>
      <c r="B2617" s="10" t="s">
        <v>359</v>
      </c>
      <c r="C2617" s="10" t="s">
        <v>10992</v>
      </c>
      <c r="D2617" s="11" t="str">
        <f t="shared" si="1"/>
        <v>Abrir anúncio ↗</v>
      </c>
      <c r="E2617" s="12" t="s">
        <v>10993</v>
      </c>
      <c r="F2617" s="10" t="s">
        <v>29</v>
      </c>
      <c r="G2617" s="12" t="s">
        <v>4918</v>
      </c>
      <c r="H2617" s="12" t="s">
        <v>4919</v>
      </c>
      <c r="I2617" s="10"/>
      <c r="J2617" s="10"/>
      <c r="K2617" s="12"/>
    </row>
    <row r="2618" ht="15.75" customHeight="1">
      <c r="A2618" s="3" t="s">
        <v>12</v>
      </c>
      <c r="B2618" s="3" t="s">
        <v>359</v>
      </c>
      <c r="C2618" s="3" t="s">
        <v>10994</v>
      </c>
      <c r="D2618" s="8" t="str">
        <f t="shared" si="1"/>
        <v>Abrir anúncio ↗</v>
      </c>
      <c r="E2618" s="9" t="s">
        <v>10995</v>
      </c>
      <c r="F2618" s="3" t="s">
        <v>29</v>
      </c>
      <c r="G2618" s="9" t="s">
        <v>4918</v>
      </c>
      <c r="H2618" s="9" t="s">
        <v>4919</v>
      </c>
      <c r="I2618" s="3"/>
      <c r="J2618" s="3"/>
      <c r="K2618" s="9"/>
    </row>
    <row r="2619" ht="15.75" customHeight="1">
      <c r="A2619" s="10" t="s">
        <v>12</v>
      </c>
      <c r="B2619" s="10" t="s">
        <v>359</v>
      </c>
      <c r="C2619" s="10" t="s">
        <v>10996</v>
      </c>
      <c r="D2619" s="11" t="str">
        <f t="shared" si="1"/>
        <v>Abrir anúncio ↗</v>
      </c>
      <c r="E2619" s="12" t="s">
        <v>10997</v>
      </c>
      <c r="F2619" s="10" t="s">
        <v>29</v>
      </c>
      <c r="G2619" s="12" t="s">
        <v>4918</v>
      </c>
      <c r="H2619" s="12" t="s">
        <v>4919</v>
      </c>
      <c r="I2619" s="10"/>
      <c r="J2619" s="10"/>
      <c r="K2619" s="12"/>
    </row>
    <row r="2620" ht="15.75" customHeight="1">
      <c r="A2620" s="3" t="s">
        <v>12</v>
      </c>
      <c r="B2620" s="3" t="s">
        <v>359</v>
      </c>
      <c r="C2620" s="3" t="s">
        <v>10998</v>
      </c>
      <c r="D2620" s="8" t="str">
        <f t="shared" si="1"/>
        <v>Abrir anúncio ↗</v>
      </c>
      <c r="E2620" s="9" t="s">
        <v>10999</v>
      </c>
      <c r="F2620" s="3" t="s">
        <v>29</v>
      </c>
      <c r="G2620" s="9" t="s">
        <v>4918</v>
      </c>
      <c r="H2620" s="9" t="s">
        <v>4919</v>
      </c>
      <c r="I2620" s="3"/>
      <c r="J2620" s="3"/>
      <c r="K2620" s="9"/>
    </row>
    <row r="2621" ht="15.75" customHeight="1">
      <c r="A2621" s="10" t="s">
        <v>12</v>
      </c>
      <c r="B2621" s="10" t="s">
        <v>359</v>
      </c>
      <c r="C2621" s="10" t="s">
        <v>11000</v>
      </c>
      <c r="D2621" s="11" t="str">
        <f t="shared" si="1"/>
        <v>Abrir anúncio ↗</v>
      </c>
      <c r="E2621" s="12" t="s">
        <v>11001</v>
      </c>
      <c r="F2621" s="10" t="s">
        <v>29</v>
      </c>
      <c r="G2621" s="12" t="s">
        <v>4918</v>
      </c>
      <c r="H2621" s="12" t="s">
        <v>4919</v>
      </c>
      <c r="I2621" s="10"/>
      <c r="J2621" s="10"/>
      <c r="K2621" s="12"/>
    </row>
    <row r="2622" ht="15.75" customHeight="1">
      <c r="A2622" s="3" t="s">
        <v>12</v>
      </c>
      <c r="B2622" s="3" t="s">
        <v>359</v>
      </c>
      <c r="C2622" s="3" t="s">
        <v>11002</v>
      </c>
      <c r="D2622" s="8" t="str">
        <f t="shared" si="1"/>
        <v>Abrir anúncio ↗</v>
      </c>
      <c r="E2622" s="9" t="s">
        <v>11003</v>
      </c>
      <c r="F2622" s="3" t="s">
        <v>29</v>
      </c>
      <c r="G2622" s="9" t="s">
        <v>4918</v>
      </c>
      <c r="H2622" s="9" t="s">
        <v>4919</v>
      </c>
      <c r="I2622" s="3"/>
      <c r="J2622" s="3"/>
      <c r="K2622" s="9"/>
    </row>
    <row r="2623" ht="15.75" customHeight="1">
      <c r="A2623" s="10" t="s">
        <v>12</v>
      </c>
      <c r="B2623" s="10" t="s">
        <v>359</v>
      </c>
      <c r="C2623" s="10" t="s">
        <v>11004</v>
      </c>
      <c r="D2623" s="11" t="str">
        <f t="shared" si="1"/>
        <v>Abrir anúncio ↗</v>
      </c>
      <c r="E2623" s="12" t="s">
        <v>11005</v>
      </c>
      <c r="F2623" s="10" t="s">
        <v>29</v>
      </c>
      <c r="G2623" s="12" t="s">
        <v>4918</v>
      </c>
      <c r="H2623" s="12" t="s">
        <v>4919</v>
      </c>
      <c r="I2623" s="10"/>
      <c r="J2623" s="10"/>
      <c r="K2623" s="12"/>
    </row>
    <row r="2624" ht="15.75" customHeight="1">
      <c r="A2624" s="3" t="s">
        <v>12</v>
      </c>
      <c r="B2624" s="3" t="s">
        <v>359</v>
      </c>
      <c r="C2624" s="3" t="s">
        <v>11006</v>
      </c>
      <c r="D2624" s="8" t="str">
        <f t="shared" si="1"/>
        <v>Abrir anúncio ↗</v>
      </c>
      <c r="E2624" s="9" t="s">
        <v>11007</v>
      </c>
      <c r="F2624" s="3" t="s">
        <v>29</v>
      </c>
      <c r="G2624" s="9" t="s">
        <v>4918</v>
      </c>
      <c r="H2624" s="9" t="s">
        <v>4919</v>
      </c>
      <c r="I2624" s="3"/>
      <c r="J2624" s="3"/>
      <c r="K2624" s="9"/>
    </row>
    <row r="2625" ht="15.75" customHeight="1">
      <c r="A2625" s="10" t="s">
        <v>12</v>
      </c>
      <c r="B2625" s="10" t="s">
        <v>359</v>
      </c>
      <c r="C2625" s="10" t="s">
        <v>11008</v>
      </c>
      <c r="D2625" s="11" t="str">
        <f t="shared" si="1"/>
        <v>Abrir anúncio ↗</v>
      </c>
      <c r="E2625" s="12" t="s">
        <v>11009</v>
      </c>
      <c r="F2625" s="10" t="s">
        <v>29</v>
      </c>
      <c r="G2625" s="12" t="s">
        <v>4918</v>
      </c>
      <c r="H2625" s="12" t="s">
        <v>4919</v>
      </c>
      <c r="I2625" s="10"/>
      <c r="J2625" s="10"/>
      <c r="K2625" s="12"/>
    </row>
    <row r="2626" ht="15.75" customHeight="1">
      <c r="A2626" s="3" t="s">
        <v>12</v>
      </c>
      <c r="B2626" s="3" t="s">
        <v>359</v>
      </c>
      <c r="C2626" s="3" t="s">
        <v>11010</v>
      </c>
      <c r="D2626" s="8" t="str">
        <f t="shared" si="1"/>
        <v>Abrir anúncio ↗</v>
      </c>
      <c r="E2626" s="9" t="s">
        <v>11011</v>
      </c>
      <c r="F2626" s="3" t="s">
        <v>29</v>
      </c>
      <c r="G2626" s="9" t="s">
        <v>4918</v>
      </c>
      <c r="H2626" s="9" t="s">
        <v>4919</v>
      </c>
      <c r="I2626" s="3"/>
      <c r="J2626" s="3"/>
      <c r="K2626" s="9"/>
    </row>
    <row r="2627" ht="15.75" customHeight="1">
      <c r="A2627" s="10" t="s">
        <v>12</v>
      </c>
      <c r="B2627" s="10" t="s">
        <v>359</v>
      </c>
      <c r="C2627" s="10" t="s">
        <v>11012</v>
      </c>
      <c r="D2627" s="11" t="str">
        <f t="shared" si="1"/>
        <v>Abrir anúncio ↗</v>
      </c>
      <c r="E2627" s="12" t="s">
        <v>11013</v>
      </c>
      <c r="F2627" s="10" t="s">
        <v>29</v>
      </c>
      <c r="G2627" s="12" t="s">
        <v>4918</v>
      </c>
      <c r="H2627" s="12" t="s">
        <v>4919</v>
      </c>
      <c r="I2627" s="10"/>
      <c r="J2627" s="10"/>
      <c r="K2627" s="12"/>
    </row>
    <row r="2628" ht="15.75" customHeight="1">
      <c r="A2628" s="3" t="s">
        <v>12</v>
      </c>
      <c r="B2628" s="3" t="s">
        <v>359</v>
      </c>
      <c r="C2628" s="3" t="s">
        <v>11014</v>
      </c>
      <c r="D2628" s="8" t="str">
        <f t="shared" si="1"/>
        <v>Abrir anúncio ↗</v>
      </c>
      <c r="E2628" s="9" t="s">
        <v>11015</v>
      </c>
      <c r="F2628" s="3" t="s">
        <v>29</v>
      </c>
      <c r="G2628" s="9" t="s">
        <v>4918</v>
      </c>
      <c r="H2628" s="9" t="s">
        <v>4919</v>
      </c>
      <c r="I2628" s="3"/>
      <c r="J2628" s="3"/>
      <c r="K2628" s="9"/>
    </row>
    <row r="2629" ht="15.75" customHeight="1">
      <c r="A2629" s="10" t="s">
        <v>12</v>
      </c>
      <c r="B2629" s="10" t="s">
        <v>359</v>
      </c>
      <c r="C2629" s="10" t="s">
        <v>11016</v>
      </c>
      <c r="D2629" s="11" t="str">
        <f t="shared" si="1"/>
        <v>Abrir anúncio ↗</v>
      </c>
      <c r="E2629" s="12" t="s">
        <v>11017</v>
      </c>
      <c r="F2629" s="10" t="s">
        <v>29</v>
      </c>
      <c r="G2629" s="12" t="s">
        <v>4918</v>
      </c>
      <c r="H2629" s="12" t="s">
        <v>4919</v>
      </c>
      <c r="I2629" s="10"/>
      <c r="J2629" s="10"/>
      <c r="K2629" s="12"/>
    </row>
    <row r="2630" ht="15.75" customHeight="1">
      <c r="A2630" s="3" t="s">
        <v>12</v>
      </c>
      <c r="B2630" s="3" t="s">
        <v>359</v>
      </c>
      <c r="C2630" s="3" t="s">
        <v>11018</v>
      </c>
      <c r="D2630" s="8" t="str">
        <f t="shared" si="1"/>
        <v>Abrir anúncio ↗</v>
      </c>
      <c r="E2630" s="9" t="s">
        <v>11019</v>
      </c>
      <c r="F2630" s="3" t="s">
        <v>29</v>
      </c>
      <c r="G2630" s="9" t="s">
        <v>4918</v>
      </c>
      <c r="H2630" s="9" t="s">
        <v>4919</v>
      </c>
      <c r="I2630" s="3"/>
      <c r="J2630" s="3"/>
      <c r="K2630" s="9"/>
    </row>
    <row r="2631" ht="15.75" customHeight="1">
      <c r="A2631" s="10" t="s">
        <v>12</v>
      </c>
      <c r="B2631" s="10" t="s">
        <v>359</v>
      </c>
      <c r="C2631" s="10" t="s">
        <v>8030</v>
      </c>
      <c r="D2631" s="11" t="str">
        <f t="shared" si="1"/>
        <v>Abrir anúncio ↗</v>
      </c>
      <c r="E2631" s="12" t="s">
        <v>6725</v>
      </c>
      <c r="F2631" s="10" t="s">
        <v>29</v>
      </c>
      <c r="G2631" s="12" t="s">
        <v>4918</v>
      </c>
      <c r="H2631" s="12" t="s">
        <v>4919</v>
      </c>
      <c r="I2631" s="10"/>
      <c r="J2631" s="10"/>
      <c r="K2631" s="12"/>
    </row>
    <row r="2632" ht="15.75" customHeight="1">
      <c r="A2632" s="3" t="s">
        <v>12</v>
      </c>
      <c r="B2632" s="3" t="s">
        <v>359</v>
      </c>
      <c r="C2632" s="3" t="s">
        <v>11020</v>
      </c>
      <c r="D2632" s="8" t="str">
        <f t="shared" si="1"/>
        <v>Abrir anúncio ↗</v>
      </c>
      <c r="E2632" s="9" t="s">
        <v>11021</v>
      </c>
      <c r="F2632" s="3" t="s">
        <v>29</v>
      </c>
      <c r="G2632" s="9" t="s">
        <v>4918</v>
      </c>
      <c r="H2632" s="9" t="s">
        <v>4919</v>
      </c>
      <c r="I2632" s="3"/>
      <c r="J2632" s="3"/>
      <c r="K2632" s="9"/>
    </row>
    <row r="2633" ht="15.75" customHeight="1">
      <c r="A2633" s="10" t="s">
        <v>12</v>
      </c>
      <c r="B2633" s="10" t="s">
        <v>359</v>
      </c>
      <c r="C2633" s="10" t="s">
        <v>8763</v>
      </c>
      <c r="D2633" s="11" t="str">
        <f t="shared" si="1"/>
        <v>Abrir anúncio ↗</v>
      </c>
      <c r="E2633" s="12" t="s">
        <v>8652</v>
      </c>
      <c r="F2633" s="10" t="s">
        <v>29</v>
      </c>
      <c r="G2633" s="12" t="s">
        <v>4918</v>
      </c>
      <c r="H2633" s="12" t="s">
        <v>4919</v>
      </c>
      <c r="I2633" s="10"/>
      <c r="J2633" s="10"/>
      <c r="K2633" s="12"/>
    </row>
    <row r="2634" ht="15.75" customHeight="1">
      <c r="A2634" s="3" t="s">
        <v>12</v>
      </c>
      <c r="B2634" s="3" t="s">
        <v>359</v>
      </c>
      <c r="C2634" s="3" t="s">
        <v>11022</v>
      </c>
      <c r="D2634" s="8" t="str">
        <f t="shared" si="1"/>
        <v>Abrir anúncio ↗</v>
      </c>
      <c r="E2634" s="9" t="s">
        <v>11023</v>
      </c>
      <c r="F2634" s="3" t="s">
        <v>29</v>
      </c>
      <c r="G2634" s="9" t="s">
        <v>4918</v>
      </c>
      <c r="H2634" s="9" t="s">
        <v>4919</v>
      </c>
      <c r="I2634" s="3"/>
      <c r="J2634" s="3"/>
      <c r="K2634" s="9"/>
    </row>
    <row r="2635" ht="15.75" customHeight="1">
      <c r="A2635" s="10" t="s">
        <v>12</v>
      </c>
      <c r="B2635" s="10" t="s">
        <v>359</v>
      </c>
      <c r="C2635" s="10" t="s">
        <v>8766</v>
      </c>
      <c r="D2635" s="11" t="str">
        <f t="shared" si="1"/>
        <v>Abrir anúncio ↗</v>
      </c>
      <c r="E2635" s="12" t="s">
        <v>8703</v>
      </c>
      <c r="F2635" s="10" t="s">
        <v>29</v>
      </c>
      <c r="G2635" s="12" t="s">
        <v>4918</v>
      </c>
      <c r="H2635" s="12" t="s">
        <v>4919</v>
      </c>
      <c r="I2635" s="10"/>
      <c r="J2635" s="10"/>
      <c r="K2635" s="12"/>
    </row>
    <row r="2636" ht="15.75" customHeight="1">
      <c r="A2636" s="3" t="s">
        <v>12</v>
      </c>
      <c r="B2636" s="3" t="s">
        <v>359</v>
      </c>
      <c r="C2636" s="3" t="s">
        <v>8770</v>
      </c>
      <c r="D2636" s="8" t="str">
        <f t="shared" si="1"/>
        <v>Abrir anúncio ↗</v>
      </c>
      <c r="E2636" s="9" t="s">
        <v>8769</v>
      </c>
      <c r="F2636" s="3" t="s">
        <v>29</v>
      </c>
      <c r="G2636" s="9" t="s">
        <v>4918</v>
      </c>
      <c r="H2636" s="9" t="s">
        <v>4919</v>
      </c>
      <c r="I2636" s="3"/>
      <c r="J2636" s="3"/>
      <c r="K2636" s="9"/>
    </row>
    <row r="2637" ht="15.75" customHeight="1">
      <c r="A2637" s="10" t="s">
        <v>12</v>
      </c>
      <c r="B2637" s="10" t="s">
        <v>359</v>
      </c>
      <c r="C2637" s="10" t="s">
        <v>11024</v>
      </c>
      <c r="D2637" s="11" t="str">
        <f t="shared" si="1"/>
        <v>Abrir anúncio ↗</v>
      </c>
      <c r="E2637" s="12" t="s">
        <v>11025</v>
      </c>
      <c r="F2637" s="10" t="s">
        <v>29</v>
      </c>
      <c r="G2637" s="12" t="s">
        <v>4918</v>
      </c>
      <c r="H2637" s="12" t="s">
        <v>4919</v>
      </c>
      <c r="I2637" s="10"/>
      <c r="J2637" s="10"/>
      <c r="K2637" s="12"/>
    </row>
    <row r="2638" ht="15.75" customHeight="1">
      <c r="A2638" s="3" t="s">
        <v>12</v>
      </c>
      <c r="B2638" s="3" t="s">
        <v>359</v>
      </c>
      <c r="C2638" s="3" t="s">
        <v>11026</v>
      </c>
      <c r="D2638" s="8" t="str">
        <f t="shared" si="1"/>
        <v>Abrir anúncio ↗</v>
      </c>
      <c r="E2638" s="9" t="s">
        <v>11027</v>
      </c>
      <c r="F2638" s="3" t="s">
        <v>29</v>
      </c>
      <c r="G2638" s="9" t="s">
        <v>4918</v>
      </c>
      <c r="H2638" s="9" t="s">
        <v>4919</v>
      </c>
      <c r="I2638" s="3"/>
      <c r="J2638" s="3"/>
      <c r="K2638" s="9"/>
    </row>
    <row r="2639" ht="15.75" customHeight="1">
      <c r="A2639" s="10" t="s">
        <v>12</v>
      </c>
      <c r="B2639" s="10" t="s">
        <v>359</v>
      </c>
      <c r="C2639" s="10" t="s">
        <v>8776</v>
      </c>
      <c r="D2639" s="11" t="str">
        <f t="shared" si="1"/>
        <v>Abrir anúncio ↗</v>
      </c>
      <c r="E2639" s="12" t="s">
        <v>6895</v>
      </c>
      <c r="F2639" s="10" t="s">
        <v>29</v>
      </c>
      <c r="G2639" s="12" t="s">
        <v>4918</v>
      </c>
      <c r="H2639" s="12" t="s">
        <v>4919</v>
      </c>
      <c r="I2639" s="10"/>
      <c r="J2639" s="10"/>
      <c r="K2639" s="12"/>
    </row>
    <row r="2640" ht="15.75" customHeight="1">
      <c r="A2640" s="3" t="s">
        <v>12</v>
      </c>
      <c r="B2640" s="3" t="s">
        <v>359</v>
      </c>
      <c r="C2640" s="3" t="s">
        <v>11028</v>
      </c>
      <c r="D2640" s="8" t="str">
        <f t="shared" si="1"/>
        <v>Abrir anúncio ↗</v>
      </c>
      <c r="E2640" s="9" t="s">
        <v>11029</v>
      </c>
      <c r="F2640" s="3" t="s">
        <v>29</v>
      </c>
      <c r="G2640" s="9" t="s">
        <v>4918</v>
      </c>
      <c r="H2640" s="9" t="s">
        <v>4919</v>
      </c>
      <c r="I2640" s="3"/>
      <c r="J2640" s="3"/>
      <c r="K2640" s="9"/>
    </row>
    <row r="2641" ht="15.75" customHeight="1">
      <c r="A2641" s="10" t="s">
        <v>12</v>
      </c>
      <c r="B2641" s="10" t="s">
        <v>359</v>
      </c>
      <c r="C2641" s="10" t="s">
        <v>8779</v>
      </c>
      <c r="D2641" s="11" t="str">
        <f t="shared" si="1"/>
        <v>Abrir anúncio ↗</v>
      </c>
      <c r="E2641" s="12" t="s">
        <v>8417</v>
      </c>
      <c r="F2641" s="10" t="s">
        <v>29</v>
      </c>
      <c r="G2641" s="12" t="s">
        <v>4918</v>
      </c>
      <c r="H2641" s="12" t="s">
        <v>4919</v>
      </c>
      <c r="I2641" s="10"/>
      <c r="J2641" s="10"/>
      <c r="K2641" s="12"/>
    </row>
    <row r="2642" ht="15.75" customHeight="1">
      <c r="A2642" s="3" t="s">
        <v>12</v>
      </c>
      <c r="B2642" s="3" t="s">
        <v>359</v>
      </c>
      <c r="C2642" s="3" t="s">
        <v>8782</v>
      </c>
      <c r="D2642" s="8" t="str">
        <f t="shared" si="1"/>
        <v>Abrir anúncio ↗</v>
      </c>
      <c r="E2642" s="9" t="s">
        <v>6856</v>
      </c>
      <c r="F2642" s="3" t="s">
        <v>29</v>
      </c>
      <c r="G2642" s="9" t="s">
        <v>4918</v>
      </c>
      <c r="H2642" s="9" t="s">
        <v>4919</v>
      </c>
      <c r="I2642" s="3"/>
      <c r="J2642" s="3"/>
      <c r="K2642" s="9"/>
    </row>
    <row r="2643" ht="15.75" customHeight="1">
      <c r="A2643" s="10" t="s">
        <v>12</v>
      </c>
      <c r="B2643" s="10" t="s">
        <v>359</v>
      </c>
      <c r="C2643" s="10" t="s">
        <v>8785</v>
      </c>
      <c r="D2643" s="11" t="str">
        <f t="shared" si="1"/>
        <v>Abrir anúncio ↗</v>
      </c>
      <c r="E2643" s="12" t="s">
        <v>8648</v>
      </c>
      <c r="F2643" s="10" t="s">
        <v>29</v>
      </c>
      <c r="G2643" s="12" t="s">
        <v>4918</v>
      </c>
      <c r="H2643" s="12" t="s">
        <v>4919</v>
      </c>
      <c r="I2643" s="10"/>
      <c r="J2643" s="10"/>
      <c r="K2643" s="12"/>
    </row>
    <row r="2644" ht="15.75" customHeight="1">
      <c r="A2644" s="3" t="s">
        <v>12</v>
      </c>
      <c r="B2644" s="3" t="s">
        <v>359</v>
      </c>
      <c r="C2644" s="3" t="s">
        <v>8326</v>
      </c>
      <c r="D2644" s="8" t="str">
        <f t="shared" si="1"/>
        <v>Abrir anúncio ↗</v>
      </c>
      <c r="E2644" s="9" t="s">
        <v>8325</v>
      </c>
      <c r="F2644" s="3" t="s">
        <v>29</v>
      </c>
      <c r="G2644" s="9" t="s">
        <v>4918</v>
      </c>
      <c r="H2644" s="9" t="s">
        <v>4919</v>
      </c>
      <c r="I2644" s="3"/>
      <c r="J2644" s="3"/>
      <c r="K2644" s="9"/>
    </row>
    <row r="2645" ht="15.75" customHeight="1">
      <c r="A2645" s="10" t="s">
        <v>12</v>
      </c>
      <c r="B2645" s="10" t="s">
        <v>359</v>
      </c>
      <c r="C2645" s="10" t="s">
        <v>8790</v>
      </c>
      <c r="D2645" s="11" t="str">
        <f t="shared" si="1"/>
        <v>Abrir anúncio ↗</v>
      </c>
      <c r="E2645" s="12" t="s">
        <v>8671</v>
      </c>
      <c r="F2645" s="10" t="s">
        <v>29</v>
      </c>
      <c r="G2645" s="12" t="s">
        <v>4918</v>
      </c>
      <c r="H2645" s="12" t="s">
        <v>4919</v>
      </c>
      <c r="I2645" s="10"/>
      <c r="J2645" s="10"/>
      <c r="K2645" s="12"/>
    </row>
    <row r="2646" ht="15.75" customHeight="1">
      <c r="A2646" s="3" t="s">
        <v>12</v>
      </c>
      <c r="B2646" s="3" t="s">
        <v>359</v>
      </c>
      <c r="C2646" s="3" t="s">
        <v>8793</v>
      </c>
      <c r="D2646" s="8" t="str">
        <f t="shared" si="1"/>
        <v>Abrir anúncio ↗</v>
      </c>
      <c r="E2646" s="9" t="s">
        <v>6852</v>
      </c>
      <c r="F2646" s="3" t="s">
        <v>29</v>
      </c>
      <c r="G2646" s="9" t="s">
        <v>4918</v>
      </c>
      <c r="H2646" s="9" t="s">
        <v>4919</v>
      </c>
      <c r="I2646" s="3"/>
      <c r="J2646" s="3"/>
      <c r="K2646" s="9"/>
    </row>
    <row r="2647" ht="15.75" customHeight="1">
      <c r="A2647" s="10" t="s">
        <v>12</v>
      </c>
      <c r="B2647" s="10" t="s">
        <v>359</v>
      </c>
      <c r="C2647" s="10" t="s">
        <v>8796</v>
      </c>
      <c r="D2647" s="11" t="str">
        <f t="shared" si="1"/>
        <v>Abrir anúncio ↗</v>
      </c>
      <c r="E2647" s="12" t="s">
        <v>8635</v>
      </c>
      <c r="F2647" s="10" t="s">
        <v>29</v>
      </c>
      <c r="G2647" s="12" t="s">
        <v>4918</v>
      </c>
      <c r="H2647" s="12" t="s">
        <v>4919</v>
      </c>
      <c r="I2647" s="10"/>
      <c r="J2647" s="10"/>
      <c r="K2647" s="12"/>
    </row>
    <row r="2648" ht="15.75" customHeight="1">
      <c r="A2648" s="3" t="s">
        <v>12</v>
      </c>
      <c r="B2648" s="3" t="s">
        <v>359</v>
      </c>
      <c r="C2648" s="3" t="s">
        <v>8458</v>
      </c>
      <c r="D2648" s="8" t="str">
        <f t="shared" si="1"/>
        <v>Abrir anúncio ↗</v>
      </c>
      <c r="E2648" s="9" t="s">
        <v>8454</v>
      </c>
      <c r="F2648" s="3" t="s">
        <v>29</v>
      </c>
      <c r="G2648" s="9" t="s">
        <v>4918</v>
      </c>
      <c r="H2648" s="9" t="s">
        <v>4919</v>
      </c>
      <c r="I2648" s="3"/>
      <c r="J2648" s="3"/>
      <c r="K2648" s="9"/>
    </row>
    <row r="2649" ht="15.75" customHeight="1">
      <c r="A2649" s="10" t="s">
        <v>12</v>
      </c>
      <c r="B2649" s="10" t="s">
        <v>359</v>
      </c>
      <c r="C2649" s="10" t="s">
        <v>8799</v>
      </c>
      <c r="D2649" s="11" t="str">
        <f t="shared" si="1"/>
        <v>Abrir anúncio ↗</v>
      </c>
      <c r="E2649" s="12" t="s">
        <v>8675</v>
      </c>
      <c r="F2649" s="10" t="s">
        <v>29</v>
      </c>
      <c r="G2649" s="12" t="s">
        <v>4918</v>
      </c>
      <c r="H2649" s="12" t="s">
        <v>4919</v>
      </c>
      <c r="I2649" s="10"/>
      <c r="J2649" s="10"/>
      <c r="K2649" s="12"/>
    </row>
    <row r="2650" ht="15.75" customHeight="1">
      <c r="A2650" s="3" t="s">
        <v>12</v>
      </c>
      <c r="B2650" s="3" t="s">
        <v>359</v>
      </c>
      <c r="C2650" s="3" t="s">
        <v>11030</v>
      </c>
      <c r="D2650" s="8" t="str">
        <f t="shared" si="1"/>
        <v>Abrir anúncio ↗</v>
      </c>
      <c r="E2650" s="9" t="s">
        <v>11031</v>
      </c>
      <c r="F2650" s="3" t="s">
        <v>29</v>
      </c>
      <c r="G2650" s="9" t="s">
        <v>4918</v>
      </c>
      <c r="H2650" s="9" t="s">
        <v>4919</v>
      </c>
      <c r="I2650" s="3"/>
      <c r="J2650" s="3"/>
      <c r="K2650" s="9"/>
    </row>
    <row r="2651" ht="15.75" customHeight="1">
      <c r="A2651" s="10" t="s">
        <v>12</v>
      </c>
      <c r="B2651" s="10" t="s">
        <v>359</v>
      </c>
      <c r="C2651" s="10" t="s">
        <v>11032</v>
      </c>
      <c r="D2651" s="11" t="str">
        <f t="shared" si="1"/>
        <v>Abrir anúncio ↗</v>
      </c>
      <c r="E2651" s="12" t="s">
        <v>11033</v>
      </c>
      <c r="F2651" s="10" t="s">
        <v>29</v>
      </c>
      <c r="G2651" s="12" t="s">
        <v>4918</v>
      </c>
      <c r="H2651" s="12" t="s">
        <v>4919</v>
      </c>
      <c r="I2651" s="10"/>
      <c r="J2651" s="10"/>
      <c r="K2651" s="12"/>
    </row>
    <row r="2652" ht="15.75" customHeight="1">
      <c r="A2652" s="3" t="s">
        <v>12</v>
      </c>
      <c r="B2652" s="3" t="s">
        <v>359</v>
      </c>
      <c r="C2652" s="3" t="s">
        <v>8804</v>
      </c>
      <c r="D2652" s="8" t="str">
        <f t="shared" si="1"/>
        <v>Abrir anúncio ↗</v>
      </c>
      <c r="E2652" s="9" t="s">
        <v>8802</v>
      </c>
      <c r="F2652" s="3" t="s">
        <v>29</v>
      </c>
      <c r="G2652" s="9" t="s">
        <v>4918</v>
      </c>
      <c r="H2652" s="9" t="s">
        <v>4919</v>
      </c>
      <c r="I2652" s="3"/>
      <c r="J2652" s="3"/>
      <c r="K2652" s="9"/>
    </row>
    <row r="2653" ht="15.75" customHeight="1">
      <c r="A2653" s="10" t="s">
        <v>12</v>
      </c>
      <c r="B2653" s="10" t="s">
        <v>359</v>
      </c>
      <c r="C2653" s="10" t="s">
        <v>8809</v>
      </c>
      <c r="D2653" s="11" t="str">
        <f t="shared" si="1"/>
        <v>Abrir anúncio ↗</v>
      </c>
      <c r="E2653" s="12" t="s">
        <v>6846</v>
      </c>
      <c r="F2653" s="10" t="s">
        <v>29</v>
      </c>
      <c r="G2653" s="12" t="s">
        <v>4918</v>
      </c>
      <c r="H2653" s="12" t="s">
        <v>4919</v>
      </c>
      <c r="I2653" s="10"/>
      <c r="J2653" s="10"/>
      <c r="K2653" s="12"/>
    </row>
    <row r="2654" ht="15.75" customHeight="1">
      <c r="A2654" s="3" t="s">
        <v>12</v>
      </c>
      <c r="B2654" s="3" t="s">
        <v>359</v>
      </c>
      <c r="C2654" s="3" t="s">
        <v>11034</v>
      </c>
      <c r="D2654" s="8" t="str">
        <f t="shared" si="1"/>
        <v>Abrir anúncio ↗</v>
      </c>
      <c r="E2654" s="9" t="s">
        <v>11035</v>
      </c>
      <c r="F2654" s="3" t="s">
        <v>29</v>
      </c>
      <c r="G2654" s="9" t="s">
        <v>4918</v>
      </c>
      <c r="H2654" s="9" t="s">
        <v>4919</v>
      </c>
      <c r="I2654" s="3"/>
      <c r="J2654" s="3"/>
      <c r="K2654" s="9"/>
    </row>
    <row r="2655" ht="15.75" customHeight="1">
      <c r="A2655" s="10" t="s">
        <v>12</v>
      </c>
      <c r="B2655" s="10" t="s">
        <v>359</v>
      </c>
      <c r="C2655" s="10" t="s">
        <v>11036</v>
      </c>
      <c r="D2655" s="11" t="str">
        <f t="shared" si="1"/>
        <v>Abrir anúncio ↗</v>
      </c>
      <c r="E2655" s="12" t="s">
        <v>11037</v>
      </c>
      <c r="F2655" s="10" t="s">
        <v>29</v>
      </c>
      <c r="G2655" s="12" t="s">
        <v>4918</v>
      </c>
      <c r="H2655" s="12" t="s">
        <v>4919</v>
      </c>
      <c r="I2655" s="10"/>
      <c r="J2655" s="10"/>
      <c r="K2655" s="12"/>
    </row>
    <row r="2656" ht="15.75" customHeight="1">
      <c r="A2656" s="3" t="s">
        <v>12</v>
      </c>
      <c r="B2656" s="3" t="s">
        <v>359</v>
      </c>
      <c r="C2656" s="3" t="s">
        <v>8813</v>
      </c>
      <c r="D2656" s="8" t="str">
        <f t="shared" si="1"/>
        <v>Abrir anúncio ↗</v>
      </c>
      <c r="E2656" s="9" t="s">
        <v>8812</v>
      </c>
      <c r="F2656" s="3" t="s">
        <v>29</v>
      </c>
      <c r="G2656" s="9" t="s">
        <v>4918</v>
      </c>
      <c r="H2656" s="9" t="s">
        <v>4919</v>
      </c>
      <c r="I2656" s="3"/>
      <c r="J2656" s="3"/>
      <c r="K2656" s="9"/>
    </row>
    <row r="2657" ht="15.75" customHeight="1">
      <c r="A2657" s="10" t="s">
        <v>12</v>
      </c>
      <c r="B2657" s="10" t="s">
        <v>359</v>
      </c>
      <c r="C2657" s="10" t="s">
        <v>11038</v>
      </c>
      <c r="D2657" s="11" t="str">
        <f t="shared" si="1"/>
        <v>Abrir anúncio ↗</v>
      </c>
      <c r="E2657" s="12" t="s">
        <v>11039</v>
      </c>
      <c r="F2657" s="10" t="s">
        <v>29</v>
      </c>
      <c r="G2657" s="12" t="s">
        <v>4918</v>
      </c>
      <c r="H2657" s="12" t="s">
        <v>4919</v>
      </c>
      <c r="I2657" s="10"/>
      <c r="J2657" s="10"/>
      <c r="K2657" s="12"/>
    </row>
    <row r="2658" ht="15.75" customHeight="1">
      <c r="A2658" s="3" t="s">
        <v>12</v>
      </c>
      <c r="B2658" s="3" t="s">
        <v>359</v>
      </c>
      <c r="C2658" s="3" t="s">
        <v>8819</v>
      </c>
      <c r="D2658" s="8" t="str">
        <f t="shared" si="1"/>
        <v>Abrir anúncio ↗</v>
      </c>
      <c r="E2658" s="9" t="s">
        <v>6799</v>
      </c>
      <c r="F2658" s="3" t="s">
        <v>29</v>
      </c>
      <c r="G2658" s="9" t="s">
        <v>4918</v>
      </c>
      <c r="H2658" s="9" t="s">
        <v>4919</v>
      </c>
      <c r="I2658" s="3"/>
      <c r="J2658" s="3"/>
      <c r="K2658" s="9"/>
    </row>
    <row r="2659" ht="15.75" customHeight="1">
      <c r="A2659" s="10" t="s">
        <v>12</v>
      </c>
      <c r="B2659" s="10" t="s">
        <v>359</v>
      </c>
      <c r="C2659" s="10" t="s">
        <v>8823</v>
      </c>
      <c r="D2659" s="11" t="str">
        <f t="shared" si="1"/>
        <v>Abrir anúncio ↗</v>
      </c>
      <c r="E2659" s="12" t="s">
        <v>7173</v>
      </c>
      <c r="F2659" s="10" t="s">
        <v>29</v>
      </c>
      <c r="G2659" s="12" t="s">
        <v>4918</v>
      </c>
      <c r="H2659" s="12" t="s">
        <v>4919</v>
      </c>
      <c r="I2659" s="10"/>
      <c r="J2659" s="10"/>
      <c r="K2659" s="12"/>
    </row>
    <row r="2660" ht="15.75" customHeight="1">
      <c r="A2660" s="3" t="s">
        <v>12</v>
      </c>
      <c r="B2660" s="3" t="s">
        <v>359</v>
      </c>
      <c r="C2660" s="3" t="s">
        <v>11040</v>
      </c>
      <c r="D2660" s="8" t="str">
        <f t="shared" si="1"/>
        <v>Abrir anúncio ↗</v>
      </c>
      <c r="E2660" s="9" t="s">
        <v>11041</v>
      </c>
      <c r="F2660" s="3" t="s">
        <v>29</v>
      </c>
      <c r="G2660" s="9" t="s">
        <v>4918</v>
      </c>
      <c r="H2660" s="9" t="s">
        <v>4919</v>
      </c>
      <c r="I2660" s="3"/>
      <c r="J2660" s="3"/>
      <c r="K2660" s="9"/>
    </row>
    <row r="2661" ht="15.75" customHeight="1">
      <c r="A2661" s="10" t="s">
        <v>12</v>
      </c>
      <c r="B2661" s="10" t="s">
        <v>359</v>
      </c>
      <c r="C2661" s="10" t="s">
        <v>11042</v>
      </c>
      <c r="D2661" s="11" t="str">
        <f t="shared" si="1"/>
        <v>Abrir anúncio ↗</v>
      </c>
      <c r="E2661" s="12" t="s">
        <v>11043</v>
      </c>
      <c r="F2661" s="10" t="s">
        <v>29</v>
      </c>
      <c r="G2661" s="12" t="s">
        <v>4918</v>
      </c>
      <c r="H2661" s="12" t="s">
        <v>4919</v>
      </c>
      <c r="I2661" s="10"/>
      <c r="J2661" s="10"/>
      <c r="K2661" s="12"/>
    </row>
    <row r="2662" ht="15.75" customHeight="1">
      <c r="A2662" s="3" t="s">
        <v>12</v>
      </c>
      <c r="B2662" s="3" t="s">
        <v>359</v>
      </c>
      <c r="C2662" s="3" t="s">
        <v>7849</v>
      </c>
      <c r="D2662" s="8" t="str">
        <f t="shared" si="1"/>
        <v>Abrir anúncio ↗</v>
      </c>
      <c r="E2662" s="9" t="s">
        <v>6865</v>
      </c>
      <c r="F2662" s="3" t="s">
        <v>29</v>
      </c>
      <c r="G2662" s="9" t="s">
        <v>4918</v>
      </c>
      <c r="H2662" s="9" t="s">
        <v>4919</v>
      </c>
      <c r="I2662" s="3"/>
      <c r="J2662" s="3"/>
      <c r="K2662" s="9"/>
    </row>
    <row r="2663" ht="15.75" customHeight="1">
      <c r="A2663" s="10" t="s">
        <v>12</v>
      </c>
      <c r="B2663" s="10" t="s">
        <v>359</v>
      </c>
      <c r="C2663" s="10" t="s">
        <v>11044</v>
      </c>
      <c r="D2663" s="11" t="str">
        <f t="shared" si="1"/>
        <v>Abrir anúncio ↗</v>
      </c>
      <c r="E2663" s="12" t="s">
        <v>11045</v>
      </c>
      <c r="F2663" s="10" t="s">
        <v>29</v>
      </c>
      <c r="G2663" s="12" t="s">
        <v>4918</v>
      </c>
      <c r="H2663" s="12" t="s">
        <v>4919</v>
      </c>
      <c r="I2663" s="10"/>
      <c r="J2663" s="10"/>
      <c r="K2663" s="12"/>
    </row>
    <row r="2664" ht="15.75" customHeight="1">
      <c r="A2664" s="3" t="s">
        <v>12</v>
      </c>
      <c r="B2664" s="3" t="s">
        <v>359</v>
      </c>
      <c r="C2664" s="3" t="s">
        <v>8826</v>
      </c>
      <c r="D2664" s="8" t="str">
        <f t="shared" si="1"/>
        <v>Abrir anúncio ↗</v>
      </c>
      <c r="E2664" s="9" t="s">
        <v>8614</v>
      </c>
      <c r="F2664" s="3" t="s">
        <v>29</v>
      </c>
      <c r="G2664" s="9" t="s">
        <v>4918</v>
      </c>
      <c r="H2664" s="9" t="s">
        <v>4919</v>
      </c>
      <c r="I2664" s="3"/>
      <c r="J2664" s="3"/>
      <c r="K2664" s="9"/>
    </row>
    <row r="2665" ht="15.75" customHeight="1">
      <c r="A2665" s="10" t="s">
        <v>12</v>
      </c>
      <c r="B2665" s="10" t="s">
        <v>359</v>
      </c>
      <c r="C2665" s="10" t="s">
        <v>11046</v>
      </c>
      <c r="D2665" s="11" t="str">
        <f t="shared" si="1"/>
        <v>Abrir anúncio ↗</v>
      </c>
      <c r="E2665" s="12" t="s">
        <v>11047</v>
      </c>
      <c r="F2665" s="10" t="s">
        <v>29</v>
      </c>
      <c r="G2665" s="12" t="s">
        <v>4918</v>
      </c>
      <c r="H2665" s="12" t="s">
        <v>4919</v>
      </c>
      <c r="I2665" s="10"/>
      <c r="J2665" s="10"/>
      <c r="K2665" s="12"/>
    </row>
    <row r="2666" ht="15.75" customHeight="1">
      <c r="A2666" s="3" t="s">
        <v>12</v>
      </c>
      <c r="B2666" s="3" t="s">
        <v>359</v>
      </c>
      <c r="C2666" s="3" t="s">
        <v>8340</v>
      </c>
      <c r="D2666" s="8" t="str">
        <f t="shared" si="1"/>
        <v>Abrir anúncio ↗</v>
      </c>
      <c r="E2666" s="9" t="s">
        <v>6877</v>
      </c>
      <c r="F2666" s="3" t="s">
        <v>29</v>
      </c>
      <c r="G2666" s="9" t="s">
        <v>4918</v>
      </c>
      <c r="H2666" s="9" t="s">
        <v>4919</v>
      </c>
      <c r="I2666" s="3"/>
      <c r="J2666" s="3"/>
      <c r="K2666" s="9"/>
    </row>
    <row r="2667" ht="15.75" customHeight="1">
      <c r="A2667" s="10" t="s">
        <v>12</v>
      </c>
      <c r="B2667" s="10" t="s">
        <v>359</v>
      </c>
      <c r="C2667" s="10" t="s">
        <v>11048</v>
      </c>
      <c r="D2667" s="11" t="str">
        <f t="shared" si="1"/>
        <v>Abrir anúncio ↗</v>
      </c>
      <c r="E2667" s="12" t="s">
        <v>11049</v>
      </c>
      <c r="F2667" s="10" t="s">
        <v>29</v>
      </c>
      <c r="G2667" s="12" t="s">
        <v>4918</v>
      </c>
      <c r="H2667" s="12" t="s">
        <v>4919</v>
      </c>
      <c r="I2667" s="10"/>
      <c r="J2667" s="10"/>
      <c r="K2667" s="12"/>
    </row>
    <row r="2668" ht="15.75" customHeight="1">
      <c r="A2668" s="3" t="s">
        <v>12</v>
      </c>
      <c r="B2668" s="3" t="s">
        <v>359</v>
      </c>
      <c r="C2668" s="3" t="s">
        <v>11050</v>
      </c>
      <c r="D2668" s="8" t="str">
        <f t="shared" si="1"/>
        <v>Abrir anúncio ↗</v>
      </c>
      <c r="E2668" s="9" t="s">
        <v>11051</v>
      </c>
      <c r="F2668" s="3" t="s">
        <v>29</v>
      </c>
      <c r="G2668" s="9" t="s">
        <v>4918</v>
      </c>
      <c r="H2668" s="9" t="s">
        <v>4919</v>
      </c>
      <c r="I2668" s="3"/>
      <c r="J2668" s="3"/>
      <c r="K2668" s="9"/>
    </row>
    <row r="2669" ht="15.75" customHeight="1">
      <c r="A2669" s="10" t="s">
        <v>12</v>
      </c>
      <c r="B2669" s="10" t="s">
        <v>359</v>
      </c>
      <c r="C2669" s="10" t="s">
        <v>11052</v>
      </c>
      <c r="D2669" s="11" t="str">
        <f t="shared" si="1"/>
        <v>Abrir anúncio ↗</v>
      </c>
      <c r="E2669" s="12" t="s">
        <v>11053</v>
      </c>
      <c r="F2669" s="10" t="s">
        <v>29</v>
      </c>
      <c r="G2669" s="12" t="s">
        <v>4918</v>
      </c>
      <c r="H2669" s="12" t="s">
        <v>4919</v>
      </c>
      <c r="I2669" s="10"/>
      <c r="J2669" s="10"/>
      <c r="K2669" s="12"/>
    </row>
    <row r="2670" ht="15.75" customHeight="1">
      <c r="A2670" s="3" t="s">
        <v>12</v>
      </c>
      <c r="B2670" s="3" t="s">
        <v>359</v>
      </c>
      <c r="C2670" s="3" t="s">
        <v>11054</v>
      </c>
      <c r="D2670" s="8" t="str">
        <f t="shared" si="1"/>
        <v>Abrir anúncio ↗</v>
      </c>
      <c r="E2670" s="9" t="s">
        <v>11055</v>
      </c>
      <c r="F2670" s="3" t="s">
        <v>29</v>
      </c>
      <c r="G2670" s="9" t="s">
        <v>4918</v>
      </c>
      <c r="H2670" s="9" t="s">
        <v>4919</v>
      </c>
      <c r="I2670" s="3"/>
      <c r="J2670" s="3"/>
      <c r="K2670" s="9"/>
    </row>
    <row r="2671" ht="15.75" customHeight="1">
      <c r="A2671" s="10" t="s">
        <v>12</v>
      </c>
      <c r="B2671" s="10" t="s">
        <v>359</v>
      </c>
      <c r="C2671" s="10" t="s">
        <v>11056</v>
      </c>
      <c r="D2671" s="11" t="str">
        <f t="shared" si="1"/>
        <v>Abrir anúncio ↗</v>
      </c>
      <c r="E2671" s="12" t="s">
        <v>11057</v>
      </c>
      <c r="F2671" s="10" t="s">
        <v>29</v>
      </c>
      <c r="G2671" s="12" t="s">
        <v>4918</v>
      </c>
      <c r="H2671" s="12" t="s">
        <v>4919</v>
      </c>
      <c r="I2671" s="10"/>
      <c r="J2671" s="10"/>
      <c r="K2671" s="12"/>
    </row>
    <row r="2672" ht="15.75" customHeight="1">
      <c r="A2672" s="3" t="s">
        <v>12</v>
      </c>
      <c r="B2672" s="3" t="s">
        <v>359</v>
      </c>
      <c r="C2672" s="3" t="s">
        <v>11058</v>
      </c>
      <c r="D2672" s="8" t="str">
        <f t="shared" si="1"/>
        <v>Abrir anúncio ↗</v>
      </c>
      <c r="E2672" s="9" t="s">
        <v>11059</v>
      </c>
      <c r="F2672" s="3" t="s">
        <v>29</v>
      </c>
      <c r="G2672" s="9" t="s">
        <v>4918</v>
      </c>
      <c r="H2672" s="9" t="s">
        <v>4919</v>
      </c>
      <c r="I2672" s="3"/>
      <c r="J2672" s="3"/>
      <c r="K2672" s="9"/>
    </row>
    <row r="2673" ht="15.75" customHeight="1">
      <c r="A2673" s="10" t="s">
        <v>12</v>
      </c>
      <c r="B2673" s="10" t="s">
        <v>359</v>
      </c>
      <c r="C2673" s="10" t="s">
        <v>11060</v>
      </c>
      <c r="D2673" s="11" t="str">
        <f t="shared" si="1"/>
        <v>Abrir anúncio ↗</v>
      </c>
      <c r="E2673" s="12" t="s">
        <v>11061</v>
      </c>
      <c r="F2673" s="10" t="s">
        <v>29</v>
      </c>
      <c r="G2673" s="12" t="s">
        <v>4918</v>
      </c>
      <c r="H2673" s="12" t="s">
        <v>4919</v>
      </c>
      <c r="I2673" s="10"/>
      <c r="J2673" s="10"/>
      <c r="K2673" s="12"/>
    </row>
    <row r="2674" ht="15.75" customHeight="1">
      <c r="A2674" s="3" t="s">
        <v>12</v>
      </c>
      <c r="B2674" s="3" t="s">
        <v>359</v>
      </c>
      <c r="C2674" s="3" t="s">
        <v>8829</v>
      </c>
      <c r="D2674" s="8" t="str">
        <f t="shared" si="1"/>
        <v>Abrir anúncio ↗</v>
      </c>
      <c r="E2674" s="9" t="s">
        <v>6673</v>
      </c>
      <c r="F2674" s="3" t="s">
        <v>29</v>
      </c>
      <c r="G2674" s="9" t="s">
        <v>4918</v>
      </c>
      <c r="H2674" s="9" t="s">
        <v>4919</v>
      </c>
      <c r="I2674" s="3"/>
      <c r="J2674" s="3"/>
      <c r="K2674" s="9"/>
    </row>
    <row r="2675" ht="15.75" customHeight="1">
      <c r="A2675" s="10" t="s">
        <v>12</v>
      </c>
      <c r="B2675" s="10" t="s">
        <v>359</v>
      </c>
      <c r="C2675" s="10" t="s">
        <v>11062</v>
      </c>
      <c r="D2675" s="11" t="str">
        <f t="shared" si="1"/>
        <v>Abrir anúncio ↗</v>
      </c>
      <c r="E2675" s="12" t="s">
        <v>11063</v>
      </c>
      <c r="F2675" s="10" t="s">
        <v>29</v>
      </c>
      <c r="G2675" s="12" t="s">
        <v>4918</v>
      </c>
      <c r="H2675" s="12" t="s">
        <v>4919</v>
      </c>
      <c r="I2675" s="10"/>
      <c r="J2675" s="10"/>
      <c r="K2675" s="12"/>
    </row>
    <row r="2676" ht="15.75" customHeight="1">
      <c r="A2676" s="3" t="s">
        <v>12</v>
      </c>
      <c r="B2676" s="3" t="s">
        <v>359</v>
      </c>
      <c r="C2676" s="3" t="s">
        <v>11064</v>
      </c>
      <c r="D2676" s="8" t="str">
        <f t="shared" si="1"/>
        <v>Abrir anúncio ↗</v>
      </c>
      <c r="E2676" s="9" t="s">
        <v>11065</v>
      </c>
      <c r="F2676" s="3" t="s">
        <v>29</v>
      </c>
      <c r="G2676" s="9" t="s">
        <v>4918</v>
      </c>
      <c r="H2676" s="9" t="s">
        <v>4919</v>
      </c>
      <c r="I2676" s="3"/>
      <c r="J2676" s="3"/>
      <c r="K2676" s="9"/>
    </row>
    <row r="2677" ht="15.75" customHeight="1">
      <c r="A2677" s="10" t="s">
        <v>12</v>
      </c>
      <c r="B2677" s="10" t="s">
        <v>359</v>
      </c>
      <c r="C2677" s="10" t="s">
        <v>8834</v>
      </c>
      <c r="D2677" s="11" t="str">
        <f t="shared" si="1"/>
        <v>Abrir anúncio ↗</v>
      </c>
      <c r="E2677" s="12" t="s">
        <v>6911</v>
      </c>
      <c r="F2677" s="10" t="s">
        <v>29</v>
      </c>
      <c r="G2677" s="12" t="s">
        <v>4918</v>
      </c>
      <c r="H2677" s="12" t="s">
        <v>4919</v>
      </c>
      <c r="I2677" s="10"/>
      <c r="J2677" s="10"/>
      <c r="K2677" s="12"/>
    </row>
    <row r="2678" ht="15.75" customHeight="1">
      <c r="A2678" s="3" t="s">
        <v>12</v>
      </c>
      <c r="B2678" s="3" t="s">
        <v>359</v>
      </c>
      <c r="C2678" s="3" t="s">
        <v>11066</v>
      </c>
      <c r="D2678" s="8" t="str">
        <f t="shared" si="1"/>
        <v>Abrir anúncio ↗</v>
      </c>
      <c r="E2678" s="9" t="s">
        <v>11067</v>
      </c>
      <c r="F2678" s="3" t="s">
        <v>29</v>
      </c>
      <c r="G2678" s="9" t="s">
        <v>4918</v>
      </c>
      <c r="H2678" s="9" t="s">
        <v>4919</v>
      </c>
      <c r="I2678" s="3"/>
      <c r="J2678" s="3"/>
      <c r="K2678" s="9"/>
    </row>
    <row r="2679" ht="15.75" customHeight="1">
      <c r="A2679" s="10" t="s">
        <v>12</v>
      </c>
      <c r="B2679" s="10" t="s">
        <v>359</v>
      </c>
      <c r="C2679" s="10" t="s">
        <v>8837</v>
      </c>
      <c r="D2679" s="11" t="str">
        <f t="shared" si="1"/>
        <v>Abrir anúncio ↗</v>
      </c>
      <c r="E2679" s="12" t="s">
        <v>6810</v>
      </c>
      <c r="F2679" s="10" t="s">
        <v>29</v>
      </c>
      <c r="G2679" s="12" t="s">
        <v>4918</v>
      </c>
      <c r="H2679" s="12" t="s">
        <v>4919</v>
      </c>
      <c r="I2679" s="10"/>
      <c r="J2679" s="10"/>
      <c r="K2679" s="12"/>
    </row>
    <row r="2680" ht="15.75" customHeight="1">
      <c r="A2680" s="3" t="s">
        <v>12</v>
      </c>
      <c r="B2680" s="3" t="s">
        <v>359</v>
      </c>
      <c r="C2680" s="3" t="s">
        <v>11068</v>
      </c>
      <c r="D2680" s="8" t="str">
        <f t="shared" si="1"/>
        <v>Abrir anúncio ↗</v>
      </c>
      <c r="E2680" s="9" t="s">
        <v>11069</v>
      </c>
      <c r="F2680" s="3" t="s">
        <v>29</v>
      </c>
      <c r="G2680" s="9" t="s">
        <v>4918</v>
      </c>
      <c r="H2680" s="9" t="s">
        <v>4919</v>
      </c>
      <c r="I2680" s="3"/>
      <c r="J2680" s="3"/>
      <c r="K2680" s="9"/>
    </row>
    <row r="2681" ht="15.75" customHeight="1">
      <c r="A2681" s="10" t="s">
        <v>12</v>
      </c>
      <c r="B2681" s="10" t="s">
        <v>359</v>
      </c>
      <c r="C2681" s="10" t="s">
        <v>11070</v>
      </c>
      <c r="D2681" s="11" t="str">
        <f t="shared" si="1"/>
        <v>Abrir anúncio ↗</v>
      </c>
      <c r="E2681" s="12" t="s">
        <v>11071</v>
      </c>
      <c r="F2681" s="10" t="s">
        <v>29</v>
      </c>
      <c r="G2681" s="12" t="s">
        <v>4918</v>
      </c>
      <c r="H2681" s="12" t="s">
        <v>4919</v>
      </c>
      <c r="I2681" s="10"/>
      <c r="J2681" s="10"/>
      <c r="K2681" s="12"/>
    </row>
    <row r="2682" ht="15.75" customHeight="1">
      <c r="A2682" s="3" t="s">
        <v>12</v>
      </c>
      <c r="B2682" s="3" t="s">
        <v>359</v>
      </c>
      <c r="C2682" s="3" t="s">
        <v>11072</v>
      </c>
      <c r="D2682" s="8" t="str">
        <f t="shared" si="1"/>
        <v>Abrir anúncio ↗</v>
      </c>
      <c r="E2682" s="9" t="s">
        <v>11073</v>
      </c>
      <c r="F2682" s="3" t="s">
        <v>29</v>
      </c>
      <c r="G2682" s="9" t="s">
        <v>4918</v>
      </c>
      <c r="H2682" s="9" t="s">
        <v>4919</v>
      </c>
      <c r="I2682" s="3"/>
      <c r="J2682" s="3"/>
      <c r="K2682" s="9"/>
    </row>
    <row r="2683" ht="15.75" customHeight="1">
      <c r="A2683" s="10" t="s">
        <v>12</v>
      </c>
      <c r="B2683" s="10" t="s">
        <v>359</v>
      </c>
      <c r="C2683" s="10" t="s">
        <v>11074</v>
      </c>
      <c r="D2683" s="11" t="str">
        <f t="shared" si="1"/>
        <v>Abrir anúncio ↗</v>
      </c>
      <c r="E2683" s="12" t="s">
        <v>11075</v>
      </c>
      <c r="F2683" s="10" t="s">
        <v>29</v>
      </c>
      <c r="G2683" s="12" t="s">
        <v>4918</v>
      </c>
      <c r="H2683" s="12" t="s">
        <v>4919</v>
      </c>
      <c r="I2683" s="10"/>
      <c r="J2683" s="10"/>
      <c r="K2683" s="12"/>
    </row>
    <row r="2684" ht="15.75" customHeight="1">
      <c r="A2684" s="3" t="s">
        <v>12</v>
      </c>
      <c r="B2684" s="3" t="s">
        <v>359</v>
      </c>
      <c r="C2684" s="3" t="s">
        <v>8084</v>
      </c>
      <c r="D2684" s="8" t="str">
        <f t="shared" si="1"/>
        <v>Abrir anúncio ↗</v>
      </c>
      <c r="E2684" s="9" t="s">
        <v>8081</v>
      </c>
      <c r="F2684" s="3" t="s">
        <v>29</v>
      </c>
      <c r="G2684" s="9" t="s">
        <v>4918</v>
      </c>
      <c r="H2684" s="9" t="s">
        <v>4919</v>
      </c>
      <c r="I2684" s="3"/>
      <c r="J2684" s="3"/>
      <c r="K2684" s="9"/>
    </row>
    <row r="2685" ht="15.75" customHeight="1">
      <c r="A2685" s="10" t="s">
        <v>12</v>
      </c>
      <c r="B2685" s="10" t="s">
        <v>359</v>
      </c>
      <c r="C2685" s="10" t="s">
        <v>8841</v>
      </c>
      <c r="D2685" s="11" t="str">
        <f t="shared" si="1"/>
        <v>Abrir anúncio ↗</v>
      </c>
      <c r="E2685" s="12" t="s">
        <v>8693</v>
      </c>
      <c r="F2685" s="10" t="s">
        <v>29</v>
      </c>
      <c r="G2685" s="12" t="s">
        <v>4918</v>
      </c>
      <c r="H2685" s="12" t="s">
        <v>4919</v>
      </c>
      <c r="I2685" s="10"/>
      <c r="J2685" s="10"/>
      <c r="K2685" s="12"/>
    </row>
    <row r="2686" ht="15.75" customHeight="1">
      <c r="A2686" s="3" t="s">
        <v>12</v>
      </c>
      <c r="B2686" s="3" t="s">
        <v>359</v>
      </c>
      <c r="C2686" s="3" t="s">
        <v>11076</v>
      </c>
      <c r="D2686" s="8" t="str">
        <f t="shared" si="1"/>
        <v>Abrir anúncio ↗</v>
      </c>
      <c r="E2686" s="9" t="s">
        <v>11077</v>
      </c>
      <c r="F2686" s="3" t="s">
        <v>29</v>
      </c>
      <c r="G2686" s="9" t="s">
        <v>4918</v>
      </c>
      <c r="H2686" s="9" t="s">
        <v>4919</v>
      </c>
      <c r="I2686" s="3"/>
      <c r="J2686" s="3"/>
      <c r="K2686" s="9"/>
    </row>
    <row r="2687" ht="15.75" customHeight="1">
      <c r="A2687" s="10" t="s">
        <v>12</v>
      </c>
      <c r="B2687" s="10" t="s">
        <v>359</v>
      </c>
      <c r="C2687" s="10" t="s">
        <v>7521</v>
      </c>
      <c r="D2687" s="11" t="str">
        <f t="shared" si="1"/>
        <v>Abrir anúncio ↗</v>
      </c>
      <c r="E2687" s="12" t="s">
        <v>7516</v>
      </c>
      <c r="F2687" s="10" t="s">
        <v>29</v>
      </c>
      <c r="G2687" s="12" t="s">
        <v>4918</v>
      </c>
      <c r="H2687" s="12" t="s">
        <v>4919</v>
      </c>
      <c r="I2687" s="10"/>
      <c r="J2687" s="10"/>
      <c r="K2687" s="12"/>
    </row>
    <row r="2688" ht="15.75" customHeight="1">
      <c r="A2688" s="3" t="s">
        <v>12</v>
      </c>
      <c r="B2688" s="3" t="s">
        <v>359</v>
      </c>
      <c r="C2688" s="3" t="s">
        <v>8452</v>
      </c>
      <c r="D2688" s="8" t="str">
        <f t="shared" si="1"/>
        <v>Abrir anúncio ↗</v>
      </c>
      <c r="E2688" s="9" t="s">
        <v>8449</v>
      </c>
      <c r="F2688" s="3" t="s">
        <v>29</v>
      </c>
      <c r="G2688" s="9" t="s">
        <v>4918</v>
      </c>
      <c r="H2688" s="9" t="s">
        <v>4919</v>
      </c>
      <c r="I2688" s="3"/>
      <c r="J2688" s="3"/>
      <c r="K2688" s="9"/>
    </row>
    <row r="2689" ht="15.75" customHeight="1">
      <c r="A2689" s="10" t="s">
        <v>12</v>
      </c>
      <c r="B2689" s="10" t="s">
        <v>359</v>
      </c>
      <c r="C2689" s="10" t="s">
        <v>8036</v>
      </c>
      <c r="D2689" s="11" t="str">
        <f t="shared" si="1"/>
        <v>Abrir anúncio ↗</v>
      </c>
      <c r="E2689" s="12" t="s">
        <v>6804</v>
      </c>
      <c r="F2689" s="10" t="s">
        <v>29</v>
      </c>
      <c r="G2689" s="12" t="s">
        <v>4918</v>
      </c>
      <c r="H2689" s="12" t="s">
        <v>4919</v>
      </c>
      <c r="I2689" s="10"/>
      <c r="J2689" s="10"/>
      <c r="K2689" s="12"/>
    </row>
    <row r="2690" ht="15.75" customHeight="1">
      <c r="A2690" s="3" t="s">
        <v>12</v>
      </c>
      <c r="B2690" s="3" t="s">
        <v>359</v>
      </c>
      <c r="C2690" s="3" t="s">
        <v>8845</v>
      </c>
      <c r="D2690" s="8" t="str">
        <f t="shared" si="1"/>
        <v>Abrir anúncio ↗</v>
      </c>
      <c r="E2690" s="9" t="s">
        <v>8620</v>
      </c>
      <c r="F2690" s="3" t="s">
        <v>29</v>
      </c>
      <c r="G2690" s="9" t="s">
        <v>4918</v>
      </c>
      <c r="H2690" s="9" t="s">
        <v>4919</v>
      </c>
      <c r="I2690" s="3"/>
      <c r="J2690" s="3"/>
      <c r="K2690" s="9"/>
    </row>
    <row r="2691" ht="15.75" customHeight="1">
      <c r="A2691" s="10" t="s">
        <v>12</v>
      </c>
      <c r="B2691" s="10" t="s">
        <v>359</v>
      </c>
      <c r="C2691" s="10" t="s">
        <v>8332</v>
      </c>
      <c r="D2691" s="11" t="str">
        <f t="shared" si="1"/>
        <v>Abrir anúncio ↗</v>
      </c>
      <c r="E2691" s="12" t="s">
        <v>8331</v>
      </c>
      <c r="F2691" s="10" t="s">
        <v>29</v>
      </c>
      <c r="G2691" s="12" t="s">
        <v>4918</v>
      </c>
      <c r="H2691" s="12" t="s">
        <v>4919</v>
      </c>
      <c r="I2691" s="10"/>
      <c r="J2691" s="10"/>
      <c r="K2691" s="12"/>
    </row>
    <row r="2692" ht="15.75" customHeight="1">
      <c r="A2692" s="3" t="s">
        <v>12</v>
      </c>
      <c r="B2692" s="3" t="s">
        <v>359</v>
      </c>
      <c r="C2692" s="3" t="s">
        <v>8848</v>
      </c>
      <c r="D2692" s="8" t="str">
        <f t="shared" si="1"/>
        <v>Abrir anúncio ↗</v>
      </c>
      <c r="E2692" s="9" t="s">
        <v>6841</v>
      </c>
      <c r="F2692" s="3" t="s">
        <v>29</v>
      </c>
      <c r="G2692" s="9" t="s">
        <v>4918</v>
      </c>
      <c r="H2692" s="9" t="s">
        <v>4919</v>
      </c>
      <c r="I2692" s="3"/>
      <c r="J2692" s="3"/>
      <c r="K2692" s="9"/>
    </row>
    <row r="2693" ht="15.75" customHeight="1">
      <c r="A2693" s="10" t="s">
        <v>12</v>
      </c>
      <c r="B2693" s="10" t="s">
        <v>359</v>
      </c>
      <c r="C2693" s="10" t="s">
        <v>11078</v>
      </c>
      <c r="D2693" s="11" t="str">
        <f t="shared" si="1"/>
        <v>Abrir anúncio ↗</v>
      </c>
      <c r="E2693" s="12" t="s">
        <v>11079</v>
      </c>
      <c r="F2693" s="10" t="s">
        <v>29</v>
      </c>
      <c r="G2693" s="12" t="s">
        <v>4918</v>
      </c>
      <c r="H2693" s="12" t="s">
        <v>4919</v>
      </c>
      <c r="I2693" s="10"/>
      <c r="J2693" s="10"/>
      <c r="K2693" s="12"/>
    </row>
    <row r="2694" ht="15.75" customHeight="1">
      <c r="A2694" s="3" t="s">
        <v>12</v>
      </c>
      <c r="B2694" s="3" t="s">
        <v>359</v>
      </c>
      <c r="C2694" s="3" t="s">
        <v>11080</v>
      </c>
      <c r="D2694" s="8" t="str">
        <f t="shared" si="1"/>
        <v>Abrir anúncio ↗</v>
      </c>
      <c r="E2694" s="9" t="s">
        <v>11081</v>
      </c>
      <c r="F2694" s="3" t="s">
        <v>29</v>
      </c>
      <c r="G2694" s="9" t="s">
        <v>4918</v>
      </c>
      <c r="H2694" s="9" t="s">
        <v>4919</v>
      </c>
      <c r="I2694" s="3"/>
      <c r="J2694" s="3"/>
      <c r="K2694" s="9"/>
    </row>
    <row r="2695" ht="15.75" customHeight="1">
      <c r="A2695" s="10" t="s">
        <v>12</v>
      </c>
      <c r="B2695" s="10" t="s">
        <v>359</v>
      </c>
      <c r="C2695" s="10" t="s">
        <v>8346</v>
      </c>
      <c r="D2695" s="11" t="str">
        <f t="shared" si="1"/>
        <v>Abrir anúncio ↗</v>
      </c>
      <c r="E2695" s="12" t="s">
        <v>7018</v>
      </c>
      <c r="F2695" s="10" t="s">
        <v>29</v>
      </c>
      <c r="G2695" s="12" t="s">
        <v>4918</v>
      </c>
      <c r="H2695" s="12" t="s">
        <v>4919</v>
      </c>
      <c r="I2695" s="10"/>
      <c r="J2695" s="10"/>
      <c r="K2695" s="12"/>
    </row>
    <row r="2696" ht="15.75" customHeight="1">
      <c r="A2696" s="3" t="s">
        <v>12</v>
      </c>
      <c r="B2696" s="3" t="s">
        <v>359</v>
      </c>
      <c r="C2696" s="3" t="s">
        <v>11082</v>
      </c>
      <c r="D2696" s="8" t="str">
        <f t="shared" si="1"/>
        <v>Abrir anúncio ↗</v>
      </c>
      <c r="E2696" s="9" t="s">
        <v>11083</v>
      </c>
      <c r="F2696" s="3" t="s">
        <v>29</v>
      </c>
      <c r="G2696" s="9" t="s">
        <v>4918</v>
      </c>
      <c r="H2696" s="9" t="s">
        <v>4919</v>
      </c>
      <c r="I2696" s="3"/>
      <c r="J2696" s="3"/>
      <c r="K2696" s="9"/>
    </row>
    <row r="2697" ht="15.75" customHeight="1">
      <c r="A2697" s="10" t="s">
        <v>12</v>
      </c>
      <c r="B2697" s="10" t="s">
        <v>359</v>
      </c>
      <c r="C2697" s="10" t="s">
        <v>11084</v>
      </c>
      <c r="D2697" s="11" t="str">
        <f t="shared" si="1"/>
        <v>Abrir anúncio ↗</v>
      </c>
      <c r="E2697" s="12" t="s">
        <v>11085</v>
      </c>
      <c r="F2697" s="10" t="s">
        <v>29</v>
      </c>
      <c r="G2697" s="12" t="s">
        <v>4918</v>
      </c>
      <c r="H2697" s="12" t="s">
        <v>4919</v>
      </c>
      <c r="I2697" s="10"/>
      <c r="J2697" s="10"/>
      <c r="K2697" s="12"/>
    </row>
    <row r="2698" ht="15.75" customHeight="1">
      <c r="A2698" s="3" t="s">
        <v>12</v>
      </c>
      <c r="B2698" s="3" t="s">
        <v>359</v>
      </c>
      <c r="C2698" s="3" t="s">
        <v>8852</v>
      </c>
      <c r="D2698" s="8" t="str">
        <f t="shared" si="1"/>
        <v>Abrir anúncio ↗</v>
      </c>
      <c r="E2698" s="9" t="s">
        <v>8660</v>
      </c>
      <c r="F2698" s="3" t="s">
        <v>29</v>
      </c>
      <c r="G2698" s="9" t="s">
        <v>4918</v>
      </c>
      <c r="H2698" s="9" t="s">
        <v>4919</v>
      </c>
      <c r="I2698" s="3"/>
      <c r="J2698" s="3"/>
      <c r="K2698" s="9"/>
    </row>
    <row r="2699" ht="15.75" customHeight="1">
      <c r="A2699" s="10" t="s">
        <v>12</v>
      </c>
      <c r="B2699" s="10" t="s">
        <v>359</v>
      </c>
      <c r="C2699" s="10" t="s">
        <v>8856</v>
      </c>
      <c r="D2699" s="11" t="str">
        <f t="shared" si="1"/>
        <v>Abrir anúncio ↗</v>
      </c>
      <c r="E2699" s="12" t="s">
        <v>8612</v>
      </c>
      <c r="F2699" s="10" t="s">
        <v>29</v>
      </c>
      <c r="G2699" s="12" t="s">
        <v>4918</v>
      </c>
      <c r="H2699" s="12" t="s">
        <v>4919</v>
      </c>
      <c r="I2699" s="10"/>
      <c r="J2699" s="10"/>
      <c r="K2699" s="12"/>
    </row>
    <row r="2700" ht="15.75" customHeight="1">
      <c r="A2700" s="3" t="s">
        <v>12</v>
      </c>
      <c r="B2700" s="3" t="s">
        <v>359</v>
      </c>
      <c r="C2700" s="3" t="s">
        <v>11086</v>
      </c>
      <c r="D2700" s="8" t="str">
        <f t="shared" si="1"/>
        <v>Abrir anúncio ↗</v>
      </c>
      <c r="E2700" s="9" t="s">
        <v>11087</v>
      </c>
      <c r="F2700" s="3" t="s">
        <v>29</v>
      </c>
      <c r="G2700" s="9" t="s">
        <v>4918</v>
      </c>
      <c r="H2700" s="9" t="s">
        <v>4919</v>
      </c>
      <c r="I2700" s="3"/>
      <c r="J2700" s="3"/>
      <c r="K2700" s="9"/>
    </row>
    <row r="2701" ht="15.75" customHeight="1">
      <c r="A2701" s="10" t="s">
        <v>12</v>
      </c>
      <c r="B2701" s="10" t="s">
        <v>359</v>
      </c>
      <c r="C2701" s="10" t="s">
        <v>8859</v>
      </c>
      <c r="D2701" s="11" t="str">
        <f t="shared" si="1"/>
        <v>Abrir anúncio ↗</v>
      </c>
      <c r="E2701" s="12" t="s">
        <v>8597</v>
      </c>
      <c r="F2701" s="10" t="s">
        <v>29</v>
      </c>
      <c r="G2701" s="12" t="s">
        <v>4918</v>
      </c>
      <c r="H2701" s="12" t="s">
        <v>4919</v>
      </c>
      <c r="I2701" s="10"/>
      <c r="J2701" s="10"/>
      <c r="K2701" s="12"/>
    </row>
    <row r="2702" ht="15.75" customHeight="1">
      <c r="A2702" s="3" t="s">
        <v>12</v>
      </c>
      <c r="B2702" s="3" t="s">
        <v>359</v>
      </c>
      <c r="C2702" s="3" t="s">
        <v>11088</v>
      </c>
      <c r="D2702" s="8" t="str">
        <f t="shared" si="1"/>
        <v>Abrir anúncio ↗</v>
      </c>
      <c r="E2702" s="9" t="s">
        <v>11089</v>
      </c>
      <c r="F2702" s="3" t="s">
        <v>29</v>
      </c>
      <c r="G2702" s="9" t="s">
        <v>4918</v>
      </c>
      <c r="H2702" s="9" t="s">
        <v>4919</v>
      </c>
      <c r="I2702" s="3"/>
      <c r="J2702" s="3"/>
      <c r="K2702" s="9"/>
    </row>
    <row r="2703" ht="15.75" customHeight="1">
      <c r="A2703" s="10" t="s">
        <v>12</v>
      </c>
      <c r="B2703" s="10" t="s">
        <v>359</v>
      </c>
      <c r="C2703" s="10" t="s">
        <v>11090</v>
      </c>
      <c r="D2703" s="11" t="str">
        <f t="shared" si="1"/>
        <v>Abrir anúncio ↗</v>
      </c>
      <c r="E2703" s="12" t="s">
        <v>11091</v>
      </c>
      <c r="F2703" s="10" t="s">
        <v>29</v>
      </c>
      <c r="G2703" s="12" t="s">
        <v>4918</v>
      </c>
      <c r="H2703" s="12" t="s">
        <v>4919</v>
      </c>
      <c r="I2703" s="10"/>
      <c r="J2703" s="10"/>
      <c r="K2703" s="12"/>
    </row>
    <row r="2704" ht="15.75" customHeight="1">
      <c r="A2704" s="3" t="s">
        <v>12</v>
      </c>
      <c r="B2704" s="3" t="s">
        <v>359</v>
      </c>
      <c r="C2704" s="3" t="s">
        <v>8864</v>
      </c>
      <c r="D2704" s="8" t="str">
        <f t="shared" si="1"/>
        <v>Abrir anúncio ↗</v>
      </c>
      <c r="E2704" s="9" t="s">
        <v>8642</v>
      </c>
      <c r="F2704" s="3" t="s">
        <v>29</v>
      </c>
      <c r="G2704" s="9" t="s">
        <v>4918</v>
      </c>
      <c r="H2704" s="9" t="s">
        <v>4919</v>
      </c>
      <c r="I2704" s="3"/>
      <c r="J2704" s="3"/>
      <c r="K2704" s="9"/>
    </row>
    <row r="2705" ht="15.75" customHeight="1">
      <c r="A2705" s="10" t="s">
        <v>12</v>
      </c>
      <c r="B2705" s="10" t="s">
        <v>359</v>
      </c>
      <c r="C2705" s="10" t="s">
        <v>8867</v>
      </c>
      <c r="D2705" s="11" t="str">
        <f t="shared" si="1"/>
        <v>Abrir anúncio ↗</v>
      </c>
      <c r="E2705" s="12" t="s">
        <v>8677</v>
      </c>
      <c r="F2705" s="10" t="s">
        <v>29</v>
      </c>
      <c r="G2705" s="12" t="s">
        <v>4918</v>
      </c>
      <c r="H2705" s="12" t="s">
        <v>4919</v>
      </c>
      <c r="I2705" s="10"/>
      <c r="J2705" s="10"/>
      <c r="K2705" s="12"/>
    </row>
    <row r="2706" ht="15.75" customHeight="1">
      <c r="A2706" s="3" t="s">
        <v>12</v>
      </c>
      <c r="B2706" s="3" t="s">
        <v>359</v>
      </c>
      <c r="C2706" s="3" t="s">
        <v>11092</v>
      </c>
      <c r="D2706" s="8" t="str">
        <f t="shared" si="1"/>
        <v>Abrir anúncio ↗</v>
      </c>
      <c r="E2706" s="9" t="s">
        <v>11093</v>
      </c>
      <c r="F2706" s="3" t="s">
        <v>29</v>
      </c>
      <c r="G2706" s="9" t="s">
        <v>4918</v>
      </c>
      <c r="H2706" s="9" t="s">
        <v>4919</v>
      </c>
      <c r="I2706" s="3"/>
      <c r="J2706" s="3"/>
      <c r="K2706" s="9"/>
    </row>
    <row r="2707" ht="15.75" customHeight="1">
      <c r="A2707" s="10" t="s">
        <v>12</v>
      </c>
      <c r="B2707" s="10" t="s">
        <v>359</v>
      </c>
      <c r="C2707" s="10" t="s">
        <v>8872</v>
      </c>
      <c r="D2707" s="11" t="str">
        <f t="shared" si="1"/>
        <v>Abrir anúncio ↗</v>
      </c>
      <c r="E2707" s="12" t="s">
        <v>8871</v>
      </c>
      <c r="F2707" s="10" t="s">
        <v>29</v>
      </c>
      <c r="G2707" s="12" t="s">
        <v>4918</v>
      </c>
      <c r="H2707" s="12" t="s">
        <v>4919</v>
      </c>
      <c r="I2707" s="10"/>
      <c r="J2707" s="10"/>
      <c r="K2707" s="12"/>
    </row>
    <row r="2708" ht="15.75" customHeight="1">
      <c r="A2708" s="3" t="s">
        <v>12</v>
      </c>
      <c r="B2708" s="3" t="s">
        <v>359</v>
      </c>
      <c r="C2708" s="3" t="s">
        <v>11094</v>
      </c>
      <c r="D2708" s="8" t="str">
        <f t="shared" si="1"/>
        <v>Abrir anúncio ↗</v>
      </c>
      <c r="E2708" s="9" t="s">
        <v>11095</v>
      </c>
      <c r="F2708" s="3" t="s">
        <v>29</v>
      </c>
      <c r="G2708" s="9" t="s">
        <v>4918</v>
      </c>
      <c r="H2708" s="9" t="s">
        <v>4919</v>
      </c>
      <c r="I2708" s="3"/>
      <c r="J2708" s="3"/>
      <c r="K2708" s="9"/>
    </row>
    <row r="2709" ht="15.75" customHeight="1">
      <c r="A2709" s="10" t="s">
        <v>12</v>
      </c>
      <c r="B2709" s="10" t="s">
        <v>359</v>
      </c>
      <c r="C2709" s="10" t="s">
        <v>11096</v>
      </c>
      <c r="D2709" s="11" t="str">
        <f t="shared" si="1"/>
        <v>Abrir anúncio ↗</v>
      </c>
      <c r="E2709" s="12" t="s">
        <v>11097</v>
      </c>
      <c r="F2709" s="10" t="s">
        <v>29</v>
      </c>
      <c r="G2709" s="12" t="s">
        <v>4918</v>
      </c>
      <c r="H2709" s="12" t="s">
        <v>4919</v>
      </c>
      <c r="I2709" s="10"/>
      <c r="J2709" s="10"/>
      <c r="K2709" s="12"/>
    </row>
    <row r="2710" ht="15.75" customHeight="1">
      <c r="A2710" s="3" t="s">
        <v>12</v>
      </c>
      <c r="B2710" s="3" t="s">
        <v>359</v>
      </c>
      <c r="C2710" s="3" t="s">
        <v>11098</v>
      </c>
      <c r="D2710" s="8" t="str">
        <f t="shared" si="1"/>
        <v>Abrir anúncio ↗</v>
      </c>
      <c r="E2710" s="9" t="s">
        <v>11099</v>
      </c>
      <c r="F2710" s="3" t="s">
        <v>29</v>
      </c>
      <c r="G2710" s="9" t="s">
        <v>4918</v>
      </c>
      <c r="H2710" s="9" t="s">
        <v>4919</v>
      </c>
      <c r="I2710" s="3"/>
      <c r="J2710" s="3"/>
      <c r="K2710" s="9"/>
    </row>
    <row r="2711" ht="15.75" customHeight="1">
      <c r="A2711" s="10" t="s">
        <v>12</v>
      </c>
      <c r="B2711" s="10" t="s">
        <v>359</v>
      </c>
      <c r="C2711" s="10" t="s">
        <v>11100</v>
      </c>
      <c r="D2711" s="11" t="str">
        <f t="shared" si="1"/>
        <v>Abrir anúncio ↗</v>
      </c>
      <c r="E2711" s="12" t="s">
        <v>11101</v>
      </c>
      <c r="F2711" s="10" t="s">
        <v>29</v>
      </c>
      <c r="G2711" s="12" t="s">
        <v>4918</v>
      </c>
      <c r="H2711" s="12" t="s">
        <v>4919</v>
      </c>
      <c r="I2711" s="10"/>
      <c r="J2711" s="10"/>
      <c r="K2711" s="12"/>
    </row>
    <row r="2712" ht="15.75" customHeight="1">
      <c r="A2712" s="3" t="s">
        <v>12</v>
      </c>
      <c r="B2712" s="3" t="s">
        <v>359</v>
      </c>
      <c r="C2712" s="3" t="s">
        <v>11102</v>
      </c>
      <c r="D2712" s="8" t="str">
        <f t="shared" si="1"/>
        <v>Abrir anúncio ↗</v>
      </c>
      <c r="E2712" s="9" t="s">
        <v>11103</v>
      </c>
      <c r="F2712" s="3" t="s">
        <v>29</v>
      </c>
      <c r="G2712" s="9" t="s">
        <v>4918</v>
      </c>
      <c r="H2712" s="9" t="s">
        <v>4919</v>
      </c>
      <c r="I2712" s="3"/>
      <c r="J2712" s="3"/>
      <c r="K2712" s="9"/>
    </row>
    <row r="2713" ht="15.75" customHeight="1">
      <c r="A2713" s="10" t="s">
        <v>12</v>
      </c>
      <c r="B2713" s="10" t="s">
        <v>359</v>
      </c>
      <c r="C2713" s="10" t="s">
        <v>11104</v>
      </c>
      <c r="D2713" s="11" t="str">
        <f t="shared" si="1"/>
        <v>Abrir anúncio ↗</v>
      </c>
      <c r="E2713" s="12" t="s">
        <v>11105</v>
      </c>
      <c r="F2713" s="10" t="s">
        <v>29</v>
      </c>
      <c r="G2713" s="12" t="s">
        <v>4918</v>
      </c>
      <c r="H2713" s="12" t="s">
        <v>4919</v>
      </c>
      <c r="I2713" s="10"/>
      <c r="J2713" s="10"/>
      <c r="K2713" s="12"/>
    </row>
    <row r="2714" ht="15.75" customHeight="1">
      <c r="A2714" s="3" t="s">
        <v>12</v>
      </c>
      <c r="B2714" s="3" t="s">
        <v>359</v>
      </c>
      <c r="C2714" s="3" t="s">
        <v>8876</v>
      </c>
      <c r="D2714" s="8" t="str">
        <f t="shared" si="1"/>
        <v>Abrir anúncio ↗</v>
      </c>
      <c r="E2714" s="9" t="s">
        <v>6796</v>
      </c>
      <c r="F2714" s="3" t="s">
        <v>29</v>
      </c>
      <c r="G2714" s="9" t="s">
        <v>4918</v>
      </c>
      <c r="H2714" s="9" t="s">
        <v>4919</v>
      </c>
      <c r="I2714" s="3"/>
      <c r="J2714" s="3"/>
      <c r="K2714" s="9"/>
    </row>
    <row r="2715" ht="15.75" customHeight="1">
      <c r="A2715" s="10" t="s">
        <v>12</v>
      </c>
      <c r="B2715" s="10" t="s">
        <v>359</v>
      </c>
      <c r="C2715" s="10" t="s">
        <v>11106</v>
      </c>
      <c r="D2715" s="11" t="str">
        <f t="shared" si="1"/>
        <v>Abrir anúncio ↗</v>
      </c>
      <c r="E2715" s="12" t="s">
        <v>11107</v>
      </c>
      <c r="F2715" s="10" t="s">
        <v>29</v>
      </c>
      <c r="G2715" s="12" t="s">
        <v>4918</v>
      </c>
      <c r="H2715" s="12" t="s">
        <v>4919</v>
      </c>
      <c r="I2715" s="10"/>
      <c r="J2715" s="10"/>
      <c r="K2715" s="12"/>
    </row>
    <row r="2716" ht="15.75" customHeight="1">
      <c r="A2716" s="3" t="s">
        <v>12</v>
      </c>
      <c r="B2716" s="3" t="s">
        <v>359</v>
      </c>
      <c r="C2716" s="3" t="s">
        <v>11108</v>
      </c>
      <c r="D2716" s="8" t="str">
        <f t="shared" si="1"/>
        <v>Abrir anúncio ↗</v>
      </c>
      <c r="E2716" s="9" t="s">
        <v>11109</v>
      </c>
      <c r="F2716" s="3" t="s">
        <v>29</v>
      </c>
      <c r="G2716" s="9" t="s">
        <v>4918</v>
      </c>
      <c r="H2716" s="9" t="s">
        <v>4919</v>
      </c>
      <c r="I2716" s="3"/>
      <c r="J2716" s="3"/>
      <c r="K2716" s="9"/>
    </row>
    <row r="2717" ht="15.75" customHeight="1">
      <c r="A2717" s="10" t="s">
        <v>12</v>
      </c>
      <c r="B2717" s="10" t="s">
        <v>359</v>
      </c>
      <c r="C2717" s="10" t="s">
        <v>11110</v>
      </c>
      <c r="D2717" s="11" t="str">
        <f t="shared" si="1"/>
        <v>Abrir anúncio ↗</v>
      </c>
      <c r="E2717" s="12" t="s">
        <v>11111</v>
      </c>
      <c r="F2717" s="10" t="s">
        <v>29</v>
      </c>
      <c r="G2717" s="12" t="s">
        <v>4918</v>
      </c>
      <c r="H2717" s="12" t="s">
        <v>4919</v>
      </c>
      <c r="I2717" s="10"/>
      <c r="J2717" s="10"/>
      <c r="K2717" s="12"/>
    </row>
    <row r="2718" ht="15.75" customHeight="1">
      <c r="A2718" s="3" t="s">
        <v>12</v>
      </c>
      <c r="B2718" s="3" t="s">
        <v>359</v>
      </c>
      <c r="C2718" s="3" t="s">
        <v>11112</v>
      </c>
      <c r="D2718" s="8" t="str">
        <f t="shared" si="1"/>
        <v>Abrir anúncio ↗</v>
      </c>
      <c r="E2718" s="9" t="s">
        <v>11113</v>
      </c>
      <c r="F2718" s="3" t="s">
        <v>29</v>
      </c>
      <c r="G2718" s="9" t="s">
        <v>4918</v>
      </c>
      <c r="H2718" s="9" t="s">
        <v>4919</v>
      </c>
      <c r="I2718" s="3"/>
      <c r="J2718" s="3"/>
      <c r="K2718" s="9"/>
    </row>
    <row r="2719" ht="15.75" customHeight="1">
      <c r="A2719" s="10" t="s">
        <v>12</v>
      </c>
      <c r="B2719" s="10" t="s">
        <v>359</v>
      </c>
      <c r="C2719" s="10" t="s">
        <v>11114</v>
      </c>
      <c r="D2719" s="11" t="str">
        <f t="shared" si="1"/>
        <v>Abrir anúncio ↗</v>
      </c>
      <c r="E2719" s="12" t="s">
        <v>11115</v>
      </c>
      <c r="F2719" s="10" t="s">
        <v>29</v>
      </c>
      <c r="G2719" s="12" t="s">
        <v>4918</v>
      </c>
      <c r="H2719" s="12" t="s">
        <v>4919</v>
      </c>
      <c r="I2719" s="10"/>
      <c r="J2719" s="10"/>
      <c r="K2719" s="12"/>
    </row>
    <row r="2720" ht="15.75" customHeight="1">
      <c r="A2720" s="3" t="s">
        <v>12</v>
      </c>
      <c r="B2720" s="3" t="s">
        <v>359</v>
      </c>
      <c r="C2720" s="3" t="s">
        <v>11116</v>
      </c>
      <c r="D2720" s="8" t="str">
        <f t="shared" si="1"/>
        <v>Abrir anúncio ↗</v>
      </c>
      <c r="E2720" s="9" t="s">
        <v>11117</v>
      </c>
      <c r="F2720" s="3" t="s">
        <v>29</v>
      </c>
      <c r="G2720" s="9" t="s">
        <v>4918</v>
      </c>
      <c r="H2720" s="9" t="s">
        <v>4919</v>
      </c>
      <c r="I2720" s="3"/>
      <c r="J2720" s="3"/>
      <c r="K2720" s="9"/>
    </row>
    <row r="2721" ht="15.75" customHeight="1">
      <c r="A2721" s="10" t="s">
        <v>12</v>
      </c>
      <c r="B2721" s="10" t="s">
        <v>359</v>
      </c>
      <c r="C2721" s="10" t="s">
        <v>11118</v>
      </c>
      <c r="D2721" s="11" t="str">
        <f t="shared" si="1"/>
        <v>Abrir anúncio ↗</v>
      </c>
      <c r="E2721" s="12" t="s">
        <v>11119</v>
      </c>
      <c r="F2721" s="10" t="s">
        <v>29</v>
      </c>
      <c r="G2721" s="12" t="s">
        <v>4918</v>
      </c>
      <c r="H2721" s="12" t="s">
        <v>4919</v>
      </c>
      <c r="I2721" s="10"/>
      <c r="J2721" s="10"/>
      <c r="K2721" s="12"/>
    </row>
    <row r="2722" ht="15.75" customHeight="1">
      <c r="A2722" s="3" t="s">
        <v>12</v>
      </c>
      <c r="B2722" s="3" t="s">
        <v>359</v>
      </c>
      <c r="C2722" s="3" t="s">
        <v>11120</v>
      </c>
      <c r="D2722" s="8" t="str">
        <f t="shared" si="1"/>
        <v>Abrir anúncio ↗</v>
      </c>
      <c r="E2722" s="9" t="s">
        <v>11121</v>
      </c>
      <c r="F2722" s="3" t="s">
        <v>29</v>
      </c>
      <c r="G2722" s="9" t="s">
        <v>4918</v>
      </c>
      <c r="H2722" s="9" t="s">
        <v>4919</v>
      </c>
      <c r="I2722" s="3"/>
      <c r="J2722" s="3"/>
      <c r="K2722" s="9"/>
    </row>
    <row r="2723" ht="15.75" customHeight="1">
      <c r="A2723" s="10" t="s">
        <v>12</v>
      </c>
      <c r="B2723" s="10" t="s">
        <v>359</v>
      </c>
      <c r="C2723" s="10" t="s">
        <v>11122</v>
      </c>
      <c r="D2723" s="11" t="str">
        <f t="shared" si="1"/>
        <v>Abrir anúncio ↗</v>
      </c>
      <c r="E2723" s="12" t="s">
        <v>11123</v>
      </c>
      <c r="F2723" s="10" t="s">
        <v>29</v>
      </c>
      <c r="G2723" s="12" t="s">
        <v>4918</v>
      </c>
      <c r="H2723" s="12" t="s">
        <v>4919</v>
      </c>
      <c r="I2723" s="10"/>
      <c r="J2723" s="10"/>
      <c r="K2723" s="12"/>
    </row>
    <row r="2724" ht="15.75" customHeight="1">
      <c r="A2724" s="3" t="s">
        <v>12</v>
      </c>
      <c r="B2724" s="3" t="s">
        <v>359</v>
      </c>
      <c r="C2724" s="3" t="s">
        <v>11124</v>
      </c>
      <c r="D2724" s="8" t="str">
        <f t="shared" si="1"/>
        <v>Abrir anúncio ↗</v>
      </c>
      <c r="E2724" s="9" t="s">
        <v>11125</v>
      </c>
      <c r="F2724" s="3" t="s">
        <v>29</v>
      </c>
      <c r="G2724" s="9" t="s">
        <v>4918</v>
      </c>
      <c r="H2724" s="9" t="s">
        <v>4919</v>
      </c>
      <c r="I2724" s="3"/>
      <c r="J2724" s="3"/>
      <c r="K2724" s="9"/>
    </row>
    <row r="2725" ht="15.75" customHeight="1">
      <c r="A2725" s="10" t="s">
        <v>12</v>
      </c>
      <c r="B2725" s="10" t="s">
        <v>359</v>
      </c>
      <c r="C2725" s="10" t="s">
        <v>11126</v>
      </c>
      <c r="D2725" s="11" t="str">
        <f t="shared" si="1"/>
        <v>Abrir anúncio ↗</v>
      </c>
      <c r="E2725" s="12" t="s">
        <v>11127</v>
      </c>
      <c r="F2725" s="10" t="s">
        <v>29</v>
      </c>
      <c r="G2725" s="12" t="s">
        <v>4918</v>
      </c>
      <c r="H2725" s="12" t="s">
        <v>4919</v>
      </c>
      <c r="I2725" s="10"/>
      <c r="J2725" s="10"/>
      <c r="K2725" s="12"/>
    </row>
    <row r="2726" ht="15.75" customHeight="1">
      <c r="A2726" s="3" t="s">
        <v>12</v>
      </c>
      <c r="B2726" s="3" t="s">
        <v>359</v>
      </c>
      <c r="C2726" s="3" t="s">
        <v>11128</v>
      </c>
      <c r="D2726" s="8" t="str">
        <f t="shared" si="1"/>
        <v>Abrir anúncio ↗</v>
      </c>
      <c r="E2726" s="9" t="s">
        <v>11129</v>
      </c>
      <c r="F2726" s="3" t="s">
        <v>29</v>
      </c>
      <c r="G2726" s="9" t="s">
        <v>4918</v>
      </c>
      <c r="H2726" s="9" t="s">
        <v>4919</v>
      </c>
      <c r="I2726" s="3"/>
      <c r="J2726" s="3"/>
      <c r="K2726" s="9"/>
    </row>
    <row r="2727" ht="15.75" customHeight="1">
      <c r="A2727" s="10" t="s">
        <v>12</v>
      </c>
      <c r="B2727" s="10" t="s">
        <v>359</v>
      </c>
      <c r="C2727" s="10" t="s">
        <v>11130</v>
      </c>
      <c r="D2727" s="11" t="str">
        <f t="shared" si="1"/>
        <v>Abrir anúncio ↗</v>
      </c>
      <c r="E2727" s="12" t="s">
        <v>11131</v>
      </c>
      <c r="F2727" s="10" t="s">
        <v>29</v>
      </c>
      <c r="G2727" s="12" t="s">
        <v>4918</v>
      </c>
      <c r="H2727" s="12" t="s">
        <v>4919</v>
      </c>
      <c r="I2727" s="10"/>
      <c r="J2727" s="10"/>
      <c r="K2727" s="12"/>
    </row>
    <row r="2728" ht="15.75" customHeight="1">
      <c r="A2728" s="3" t="s">
        <v>12</v>
      </c>
      <c r="B2728" s="3" t="s">
        <v>359</v>
      </c>
      <c r="C2728" s="3" t="s">
        <v>11132</v>
      </c>
      <c r="D2728" s="8" t="str">
        <f t="shared" si="1"/>
        <v>Abrir anúncio ↗</v>
      </c>
      <c r="E2728" s="9" t="s">
        <v>11133</v>
      </c>
      <c r="F2728" s="3" t="s">
        <v>29</v>
      </c>
      <c r="G2728" s="9" t="s">
        <v>4918</v>
      </c>
      <c r="H2728" s="9" t="s">
        <v>4919</v>
      </c>
      <c r="I2728" s="3"/>
      <c r="J2728" s="3"/>
      <c r="K2728" s="9"/>
    </row>
    <row r="2729" ht="15.75" customHeight="1">
      <c r="A2729" s="10" t="s">
        <v>12</v>
      </c>
      <c r="B2729" s="10" t="s">
        <v>359</v>
      </c>
      <c r="C2729" s="10" t="s">
        <v>11134</v>
      </c>
      <c r="D2729" s="11" t="str">
        <f t="shared" si="1"/>
        <v>Abrir anúncio ↗</v>
      </c>
      <c r="E2729" s="12" t="s">
        <v>11135</v>
      </c>
      <c r="F2729" s="10" t="s">
        <v>29</v>
      </c>
      <c r="G2729" s="12" t="s">
        <v>4918</v>
      </c>
      <c r="H2729" s="12" t="s">
        <v>4919</v>
      </c>
      <c r="I2729" s="10"/>
      <c r="J2729" s="10"/>
      <c r="K2729" s="12"/>
    </row>
    <row r="2730" ht="15.75" customHeight="1">
      <c r="A2730" s="3" t="s">
        <v>12</v>
      </c>
      <c r="B2730" s="3" t="s">
        <v>359</v>
      </c>
      <c r="C2730" s="3" t="s">
        <v>11136</v>
      </c>
      <c r="D2730" s="8" t="str">
        <f t="shared" si="1"/>
        <v>Abrir anúncio ↗</v>
      </c>
      <c r="E2730" s="9" t="s">
        <v>11137</v>
      </c>
      <c r="F2730" s="3" t="s">
        <v>29</v>
      </c>
      <c r="G2730" s="9" t="s">
        <v>4918</v>
      </c>
      <c r="H2730" s="9" t="s">
        <v>4919</v>
      </c>
      <c r="I2730" s="3"/>
      <c r="J2730" s="3"/>
      <c r="K2730" s="9"/>
    </row>
    <row r="2731" ht="15.75" customHeight="1">
      <c r="A2731" s="10" t="s">
        <v>12</v>
      </c>
      <c r="B2731" s="10" t="s">
        <v>359</v>
      </c>
      <c r="C2731" s="10" t="s">
        <v>11138</v>
      </c>
      <c r="D2731" s="11" t="str">
        <f t="shared" si="1"/>
        <v>Abrir anúncio ↗</v>
      </c>
      <c r="E2731" s="12" t="s">
        <v>11139</v>
      </c>
      <c r="F2731" s="10" t="s">
        <v>29</v>
      </c>
      <c r="G2731" s="12" t="s">
        <v>9514</v>
      </c>
      <c r="H2731" s="12" t="s">
        <v>9515</v>
      </c>
      <c r="I2731" s="10"/>
      <c r="J2731" s="10"/>
      <c r="K2731" s="12"/>
    </row>
    <row r="2732" ht="15.75" customHeight="1">
      <c r="A2732" s="3" t="s">
        <v>12</v>
      </c>
      <c r="B2732" s="3" t="s">
        <v>359</v>
      </c>
      <c r="C2732" s="3" t="s">
        <v>11140</v>
      </c>
      <c r="D2732" s="8" t="str">
        <f t="shared" si="1"/>
        <v>Abrir anúncio ↗</v>
      </c>
      <c r="E2732" s="9" t="s">
        <v>11141</v>
      </c>
      <c r="F2732" s="3" t="s">
        <v>86</v>
      </c>
      <c r="G2732" s="9" t="s">
        <v>9514</v>
      </c>
      <c r="H2732" s="9" t="s">
        <v>9515</v>
      </c>
      <c r="I2732" s="3"/>
      <c r="J2732" s="3"/>
      <c r="K2732" s="9"/>
    </row>
    <row r="2733" ht="15.75" customHeight="1">
      <c r="A2733" s="10" t="s">
        <v>12</v>
      </c>
      <c r="B2733" s="10" t="s">
        <v>359</v>
      </c>
      <c r="C2733" s="10" t="s">
        <v>8511</v>
      </c>
      <c r="D2733" s="11" t="str">
        <f t="shared" si="1"/>
        <v>Abrir anúncio ↗</v>
      </c>
      <c r="E2733" s="12" t="s">
        <v>8508</v>
      </c>
      <c r="F2733" s="10" t="s">
        <v>29</v>
      </c>
      <c r="G2733" s="12" t="s">
        <v>5013</v>
      </c>
      <c r="H2733" s="12" t="s">
        <v>5015</v>
      </c>
      <c r="I2733" s="10"/>
      <c r="J2733" s="10"/>
      <c r="K2733" s="12"/>
    </row>
    <row r="2734" ht="15.75" customHeight="1">
      <c r="A2734" s="3" t="s">
        <v>12</v>
      </c>
      <c r="B2734" s="3" t="s">
        <v>359</v>
      </c>
      <c r="C2734" s="3" t="s">
        <v>11142</v>
      </c>
      <c r="D2734" s="8" t="str">
        <f t="shared" si="1"/>
        <v>Abrir anúncio ↗</v>
      </c>
      <c r="E2734" s="9" t="s">
        <v>11143</v>
      </c>
      <c r="F2734" s="3" t="s">
        <v>86</v>
      </c>
      <c r="G2734" s="9" t="s">
        <v>9514</v>
      </c>
      <c r="H2734" s="9" t="s">
        <v>9515</v>
      </c>
      <c r="I2734" s="3"/>
      <c r="J2734" s="3"/>
      <c r="K2734" s="9"/>
    </row>
    <row r="2735" ht="15.75" customHeight="1">
      <c r="A2735" s="10" t="s">
        <v>12</v>
      </c>
      <c r="B2735" s="10" t="s">
        <v>359</v>
      </c>
      <c r="C2735" s="10" t="s">
        <v>11144</v>
      </c>
      <c r="D2735" s="11" t="str">
        <f t="shared" si="1"/>
        <v>Abrir anúncio ↗</v>
      </c>
      <c r="E2735" s="12" t="s">
        <v>11145</v>
      </c>
      <c r="F2735" s="10" t="s">
        <v>86</v>
      </c>
      <c r="G2735" s="12" t="s">
        <v>9514</v>
      </c>
      <c r="H2735" s="12" t="s">
        <v>9515</v>
      </c>
      <c r="I2735" s="10"/>
      <c r="J2735" s="10"/>
      <c r="K2735" s="12"/>
    </row>
    <row r="2736" ht="15.75" customHeight="1">
      <c r="A2736" s="3" t="s">
        <v>12</v>
      </c>
      <c r="B2736" s="3" t="s">
        <v>359</v>
      </c>
      <c r="C2736" s="3" t="s">
        <v>11146</v>
      </c>
      <c r="D2736" s="8" t="str">
        <f t="shared" si="1"/>
        <v>Abrir anúncio ↗</v>
      </c>
      <c r="E2736" s="9" t="s">
        <v>11147</v>
      </c>
      <c r="F2736" s="3" t="s">
        <v>86</v>
      </c>
      <c r="G2736" s="9" t="s">
        <v>5013</v>
      </c>
      <c r="H2736" s="9" t="s">
        <v>5015</v>
      </c>
      <c r="I2736" s="3"/>
      <c r="J2736" s="3"/>
      <c r="K2736" s="9"/>
    </row>
    <row r="2737" ht="15.75" customHeight="1">
      <c r="A2737" s="10" t="s">
        <v>12</v>
      </c>
      <c r="B2737" s="10" t="s">
        <v>359</v>
      </c>
      <c r="C2737" s="10" t="s">
        <v>11148</v>
      </c>
      <c r="D2737" s="11" t="str">
        <f t="shared" si="1"/>
        <v>Abrir anúncio ↗</v>
      </c>
      <c r="E2737" s="12" t="s">
        <v>11149</v>
      </c>
      <c r="F2737" s="10" t="s">
        <v>86</v>
      </c>
      <c r="G2737" s="12" t="s">
        <v>9514</v>
      </c>
      <c r="H2737" s="12" t="s">
        <v>9515</v>
      </c>
      <c r="I2737" s="10"/>
      <c r="J2737" s="10"/>
      <c r="K2737" s="12"/>
    </row>
    <row r="2738" ht="15.75" customHeight="1">
      <c r="A2738" s="3" t="s">
        <v>12</v>
      </c>
      <c r="B2738" s="3" t="s">
        <v>359</v>
      </c>
      <c r="C2738" s="3" t="s">
        <v>11150</v>
      </c>
      <c r="D2738" s="8" t="str">
        <f t="shared" si="1"/>
        <v>Abrir anúncio ↗</v>
      </c>
      <c r="E2738" s="9" t="s">
        <v>11151</v>
      </c>
      <c r="F2738" s="3" t="s">
        <v>86</v>
      </c>
      <c r="G2738" s="9" t="s">
        <v>5013</v>
      </c>
      <c r="H2738" s="9" t="s">
        <v>5015</v>
      </c>
      <c r="I2738" s="3"/>
      <c r="J2738" s="3"/>
      <c r="K2738" s="9"/>
    </row>
    <row r="2739" ht="15.75" customHeight="1">
      <c r="A2739" s="10" t="s">
        <v>12</v>
      </c>
      <c r="B2739" s="10" t="s">
        <v>359</v>
      </c>
      <c r="C2739" s="10" t="s">
        <v>11152</v>
      </c>
      <c r="D2739" s="11" t="str">
        <f t="shared" si="1"/>
        <v>Abrir anúncio ↗</v>
      </c>
      <c r="E2739" s="12" t="s">
        <v>11153</v>
      </c>
      <c r="F2739" s="10" t="s">
        <v>29</v>
      </c>
      <c r="G2739" s="12" t="s">
        <v>4918</v>
      </c>
      <c r="H2739" s="12" t="s">
        <v>4919</v>
      </c>
      <c r="I2739" s="10"/>
      <c r="J2739" s="10"/>
      <c r="K2739" s="12"/>
    </row>
    <row r="2740" ht="15.75" customHeight="1">
      <c r="A2740" s="3" t="s">
        <v>12</v>
      </c>
      <c r="B2740" s="3" t="s">
        <v>359</v>
      </c>
      <c r="C2740" s="3" t="s">
        <v>8773</v>
      </c>
      <c r="D2740" s="8" t="str">
        <f t="shared" si="1"/>
        <v>Abrir anúncio ↗</v>
      </c>
      <c r="E2740" s="9" t="s">
        <v>8769</v>
      </c>
      <c r="F2740" s="3" t="s">
        <v>29</v>
      </c>
      <c r="G2740" s="9" t="s">
        <v>4918</v>
      </c>
      <c r="H2740" s="9" t="s">
        <v>4919</v>
      </c>
      <c r="I2740" s="3"/>
      <c r="J2740" s="3"/>
      <c r="K2740" s="9"/>
    </row>
    <row r="2741" ht="15.75" customHeight="1">
      <c r="A2741" s="10" t="s">
        <v>12</v>
      </c>
      <c r="B2741" s="10" t="s">
        <v>359</v>
      </c>
      <c r="C2741" s="10" t="s">
        <v>8886</v>
      </c>
      <c r="D2741" s="11" t="str">
        <f t="shared" si="1"/>
        <v>Abrir anúncio ↗</v>
      </c>
      <c r="E2741" s="12" t="s">
        <v>8884</v>
      </c>
      <c r="F2741" s="10" t="s">
        <v>29</v>
      </c>
      <c r="G2741" s="12" t="s">
        <v>4918</v>
      </c>
      <c r="H2741" s="12" t="s">
        <v>4919</v>
      </c>
      <c r="I2741" s="10"/>
      <c r="J2741" s="10"/>
      <c r="K2741" s="12"/>
    </row>
    <row r="2742" ht="15.75" customHeight="1">
      <c r="A2742" s="3" t="s">
        <v>12</v>
      </c>
      <c r="B2742" s="3" t="s">
        <v>359</v>
      </c>
      <c r="C2742" s="3" t="s">
        <v>11154</v>
      </c>
      <c r="D2742" s="8" t="str">
        <f t="shared" si="1"/>
        <v>Abrir anúncio ↗</v>
      </c>
      <c r="E2742" s="9" t="s">
        <v>11155</v>
      </c>
      <c r="F2742" s="3" t="s">
        <v>86</v>
      </c>
      <c r="G2742" s="9" t="s">
        <v>9514</v>
      </c>
      <c r="H2742" s="9" t="s">
        <v>9515</v>
      </c>
      <c r="I2742" s="3"/>
      <c r="J2742" s="3"/>
      <c r="K2742" s="9"/>
    </row>
    <row r="2743" ht="15.75" customHeight="1">
      <c r="A2743" s="10" t="s">
        <v>12</v>
      </c>
      <c r="B2743" s="10" t="s">
        <v>359</v>
      </c>
      <c r="C2743" s="10" t="s">
        <v>8370</v>
      </c>
      <c r="D2743" s="11" t="str">
        <f t="shared" si="1"/>
        <v>Abrir anúncio ↗</v>
      </c>
      <c r="E2743" s="12" t="s">
        <v>8368</v>
      </c>
      <c r="F2743" s="10" t="s">
        <v>29</v>
      </c>
      <c r="G2743" s="12" t="s">
        <v>4918</v>
      </c>
      <c r="H2743" s="12" t="s">
        <v>4919</v>
      </c>
      <c r="I2743" s="10"/>
      <c r="J2743" s="10"/>
      <c r="K2743" s="12"/>
    </row>
    <row r="2744" ht="15.75" customHeight="1">
      <c r="A2744" s="3" t="s">
        <v>12</v>
      </c>
      <c r="B2744" s="3" t="s">
        <v>359</v>
      </c>
      <c r="C2744" s="3" t="s">
        <v>11156</v>
      </c>
      <c r="D2744" s="8" t="str">
        <f t="shared" si="1"/>
        <v>Abrir anúncio ↗</v>
      </c>
      <c r="E2744" s="9" t="s">
        <v>11157</v>
      </c>
      <c r="F2744" s="3" t="s">
        <v>29</v>
      </c>
      <c r="G2744" s="9" t="s">
        <v>4918</v>
      </c>
      <c r="H2744" s="9" t="s">
        <v>4919</v>
      </c>
      <c r="I2744" s="3"/>
      <c r="J2744" s="3"/>
      <c r="K2744" s="9"/>
    </row>
    <row r="2745" ht="15.75" customHeight="1">
      <c r="A2745" s="10" t="s">
        <v>12</v>
      </c>
      <c r="B2745" s="10" t="s">
        <v>359</v>
      </c>
      <c r="C2745" s="10" t="s">
        <v>11158</v>
      </c>
      <c r="D2745" s="11" t="str">
        <f t="shared" si="1"/>
        <v>Abrir anúncio ↗</v>
      </c>
      <c r="E2745" s="12" t="s">
        <v>11159</v>
      </c>
      <c r="F2745" s="10" t="s">
        <v>29</v>
      </c>
      <c r="G2745" s="12" t="s">
        <v>4918</v>
      </c>
      <c r="H2745" s="12" t="s">
        <v>4919</v>
      </c>
      <c r="I2745" s="10"/>
      <c r="J2745" s="10"/>
      <c r="K2745" s="12"/>
    </row>
    <row r="2746" ht="15.75" customHeight="1">
      <c r="A2746" s="3" t="s">
        <v>12</v>
      </c>
      <c r="B2746" s="3" t="s">
        <v>359</v>
      </c>
      <c r="C2746" s="3" t="s">
        <v>11160</v>
      </c>
      <c r="D2746" s="8" t="str">
        <f t="shared" si="1"/>
        <v>Abrir anúncio ↗</v>
      </c>
      <c r="E2746" s="9" t="s">
        <v>11161</v>
      </c>
      <c r="F2746" s="3" t="s">
        <v>29</v>
      </c>
      <c r="G2746" s="9" t="s">
        <v>4918</v>
      </c>
      <c r="H2746" s="9" t="s">
        <v>4919</v>
      </c>
      <c r="I2746" s="3"/>
      <c r="J2746" s="3"/>
      <c r="K2746" s="9"/>
    </row>
    <row r="2747" ht="15.75" customHeight="1">
      <c r="A2747" s="10" t="s">
        <v>12</v>
      </c>
      <c r="B2747" s="10" t="s">
        <v>359</v>
      </c>
      <c r="C2747" s="10" t="s">
        <v>11162</v>
      </c>
      <c r="D2747" s="11" t="str">
        <f t="shared" si="1"/>
        <v>Abrir anúncio ↗</v>
      </c>
      <c r="E2747" s="12" t="s">
        <v>11163</v>
      </c>
      <c r="F2747" s="10" t="s">
        <v>29</v>
      </c>
      <c r="G2747" s="12" t="s">
        <v>4918</v>
      </c>
      <c r="H2747" s="12" t="s">
        <v>4919</v>
      </c>
      <c r="I2747" s="10"/>
      <c r="J2747" s="10"/>
      <c r="K2747" s="12"/>
    </row>
    <row r="2748" ht="15.75" customHeight="1">
      <c r="A2748" s="3" t="s">
        <v>12</v>
      </c>
      <c r="B2748" s="3" t="s">
        <v>359</v>
      </c>
      <c r="C2748" s="3" t="s">
        <v>11164</v>
      </c>
      <c r="D2748" s="8" t="str">
        <f t="shared" si="1"/>
        <v>Abrir anúncio ↗</v>
      </c>
      <c r="E2748" s="9" t="s">
        <v>11165</v>
      </c>
      <c r="F2748" s="3" t="s">
        <v>29</v>
      </c>
      <c r="G2748" s="9" t="s">
        <v>4918</v>
      </c>
      <c r="H2748" s="9" t="s">
        <v>4919</v>
      </c>
      <c r="I2748" s="3"/>
      <c r="J2748" s="3"/>
      <c r="K2748" s="9"/>
    </row>
    <row r="2749" ht="15.75" customHeight="1">
      <c r="A2749" s="10" t="s">
        <v>12</v>
      </c>
      <c r="B2749" s="10" t="s">
        <v>359</v>
      </c>
      <c r="C2749" s="10" t="s">
        <v>11166</v>
      </c>
      <c r="D2749" s="11" t="str">
        <f t="shared" si="1"/>
        <v>Abrir anúncio ↗</v>
      </c>
      <c r="E2749" s="12" t="s">
        <v>11167</v>
      </c>
      <c r="F2749" s="10" t="s">
        <v>29</v>
      </c>
      <c r="G2749" s="12" t="s">
        <v>4918</v>
      </c>
      <c r="H2749" s="12" t="s">
        <v>4919</v>
      </c>
      <c r="I2749" s="10"/>
      <c r="J2749" s="10"/>
      <c r="K2749" s="12"/>
    </row>
    <row r="2750" ht="15.75" customHeight="1">
      <c r="A2750" s="3" t="s">
        <v>12</v>
      </c>
      <c r="B2750" s="3" t="s">
        <v>359</v>
      </c>
      <c r="C2750" s="3" t="s">
        <v>7834</v>
      </c>
      <c r="D2750" s="8" t="str">
        <f t="shared" si="1"/>
        <v>Abrir anúncio ↗</v>
      </c>
      <c r="E2750" s="9" t="s">
        <v>7832</v>
      </c>
      <c r="F2750" s="3" t="s">
        <v>29</v>
      </c>
      <c r="G2750" s="9" t="s">
        <v>4918</v>
      </c>
      <c r="H2750" s="9" t="s">
        <v>4919</v>
      </c>
      <c r="I2750" s="3"/>
      <c r="J2750" s="3"/>
      <c r="K2750" s="9"/>
    </row>
    <row r="2751" ht="15.75" customHeight="1">
      <c r="A2751" s="10" t="s">
        <v>12</v>
      </c>
      <c r="B2751" s="10" t="s">
        <v>359</v>
      </c>
      <c r="C2751" s="10" t="s">
        <v>11168</v>
      </c>
      <c r="D2751" s="11" t="str">
        <f t="shared" si="1"/>
        <v>Abrir anúncio ↗</v>
      </c>
      <c r="E2751" s="12" t="s">
        <v>11169</v>
      </c>
      <c r="F2751" s="10" t="s">
        <v>29</v>
      </c>
      <c r="G2751" s="12" t="s">
        <v>4918</v>
      </c>
      <c r="H2751" s="12" t="s">
        <v>4919</v>
      </c>
      <c r="I2751" s="10"/>
      <c r="J2751" s="10"/>
      <c r="K2751" s="12"/>
    </row>
    <row r="2752" ht="15.75" customHeight="1">
      <c r="A2752" s="3" t="s">
        <v>12</v>
      </c>
      <c r="B2752" s="3" t="s">
        <v>359</v>
      </c>
      <c r="C2752" s="3" t="s">
        <v>11170</v>
      </c>
      <c r="D2752" s="8" t="str">
        <f t="shared" si="1"/>
        <v>Abrir anúncio ↗</v>
      </c>
      <c r="E2752" s="9" t="s">
        <v>11171</v>
      </c>
      <c r="F2752" s="3" t="s">
        <v>29</v>
      </c>
      <c r="G2752" s="9" t="s">
        <v>4918</v>
      </c>
      <c r="H2752" s="9" t="s">
        <v>4919</v>
      </c>
      <c r="I2752" s="3"/>
      <c r="J2752" s="3"/>
      <c r="K2752" s="9"/>
    </row>
    <row r="2753" ht="15.75" customHeight="1">
      <c r="A2753" s="10" t="s">
        <v>12</v>
      </c>
      <c r="B2753" s="10" t="s">
        <v>359</v>
      </c>
      <c r="C2753" s="10" t="s">
        <v>11172</v>
      </c>
      <c r="D2753" s="11" t="str">
        <f t="shared" si="1"/>
        <v>Abrir anúncio ↗</v>
      </c>
      <c r="E2753" s="12" t="s">
        <v>11173</v>
      </c>
      <c r="F2753" s="10" t="s">
        <v>29</v>
      </c>
      <c r="G2753" s="12" t="s">
        <v>4918</v>
      </c>
      <c r="H2753" s="12" t="s">
        <v>4919</v>
      </c>
      <c r="I2753" s="10"/>
      <c r="J2753" s="10"/>
      <c r="K2753" s="12"/>
    </row>
    <row r="2754" ht="15.75" customHeight="1">
      <c r="A2754" s="3" t="s">
        <v>12</v>
      </c>
      <c r="B2754" s="3" t="s">
        <v>359</v>
      </c>
      <c r="C2754" s="3" t="s">
        <v>11174</v>
      </c>
      <c r="D2754" s="8" t="str">
        <f t="shared" si="1"/>
        <v>Abrir anúncio ↗</v>
      </c>
      <c r="E2754" s="9" t="s">
        <v>11175</v>
      </c>
      <c r="F2754" s="3" t="s">
        <v>29</v>
      </c>
      <c r="G2754" s="9" t="s">
        <v>4918</v>
      </c>
      <c r="H2754" s="9" t="s">
        <v>4919</v>
      </c>
      <c r="I2754" s="3"/>
      <c r="J2754" s="3"/>
      <c r="K2754" s="9"/>
    </row>
    <row r="2755" ht="15.75" customHeight="1">
      <c r="A2755" s="10" t="s">
        <v>12</v>
      </c>
      <c r="B2755" s="10" t="s">
        <v>359</v>
      </c>
      <c r="C2755" s="10" t="s">
        <v>11176</v>
      </c>
      <c r="D2755" s="11" t="str">
        <f t="shared" si="1"/>
        <v>Abrir anúncio ↗</v>
      </c>
      <c r="E2755" s="12" t="s">
        <v>11177</v>
      </c>
      <c r="F2755" s="10" t="s">
        <v>29</v>
      </c>
      <c r="G2755" s="12" t="s">
        <v>4918</v>
      </c>
      <c r="H2755" s="12" t="s">
        <v>4919</v>
      </c>
      <c r="I2755" s="10"/>
      <c r="J2755" s="10"/>
      <c r="K2755" s="12"/>
    </row>
    <row r="2756" ht="15.75" customHeight="1">
      <c r="A2756" s="3" t="s">
        <v>12</v>
      </c>
      <c r="B2756" s="3" t="s">
        <v>359</v>
      </c>
      <c r="C2756" s="3" t="s">
        <v>11178</v>
      </c>
      <c r="D2756" s="8" t="str">
        <f t="shared" si="1"/>
        <v>Abrir anúncio ↗</v>
      </c>
      <c r="E2756" s="9" t="s">
        <v>11179</v>
      </c>
      <c r="F2756" s="3" t="s">
        <v>29</v>
      </c>
      <c r="G2756" s="9" t="s">
        <v>4918</v>
      </c>
      <c r="H2756" s="9" t="s">
        <v>4919</v>
      </c>
      <c r="I2756" s="3"/>
      <c r="J2756" s="3"/>
      <c r="K2756" s="9"/>
    </row>
    <row r="2757" ht="15.75" customHeight="1">
      <c r="A2757" s="10" t="s">
        <v>12</v>
      </c>
      <c r="B2757" s="10" t="s">
        <v>359</v>
      </c>
      <c r="C2757" s="10" t="s">
        <v>6811</v>
      </c>
      <c r="D2757" s="11" t="str">
        <f t="shared" si="1"/>
        <v>Abrir anúncio ↗</v>
      </c>
      <c r="E2757" s="12" t="s">
        <v>6805</v>
      </c>
      <c r="F2757" s="10" t="s">
        <v>29</v>
      </c>
      <c r="G2757" s="12" t="s">
        <v>4918</v>
      </c>
      <c r="H2757" s="12" t="s">
        <v>4919</v>
      </c>
      <c r="I2757" s="10"/>
      <c r="J2757" s="10"/>
      <c r="K2757" s="12"/>
    </row>
    <row r="2758" ht="15.75" customHeight="1">
      <c r="A2758" s="3" t="s">
        <v>12</v>
      </c>
      <c r="B2758" s="3" t="s">
        <v>359</v>
      </c>
      <c r="C2758" s="3" t="s">
        <v>11180</v>
      </c>
      <c r="D2758" s="8" t="str">
        <f t="shared" si="1"/>
        <v>Abrir anúncio ↗</v>
      </c>
      <c r="E2758" s="9" t="s">
        <v>11181</v>
      </c>
      <c r="F2758" s="3" t="s">
        <v>29</v>
      </c>
      <c r="G2758" s="9" t="s">
        <v>4918</v>
      </c>
      <c r="H2758" s="9" t="s">
        <v>4919</v>
      </c>
      <c r="I2758" s="3"/>
      <c r="J2758" s="3"/>
      <c r="K2758" s="9"/>
    </row>
    <row r="2759" ht="15.75" customHeight="1">
      <c r="A2759" s="10" t="s">
        <v>12</v>
      </c>
      <c r="B2759" s="10" t="s">
        <v>359</v>
      </c>
      <c r="C2759" s="10" t="s">
        <v>11182</v>
      </c>
      <c r="D2759" s="11" t="str">
        <f t="shared" si="1"/>
        <v>Abrir anúncio ↗</v>
      </c>
      <c r="E2759" s="12" t="s">
        <v>11183</v>
      </c>
      <c r="F2759" s="10" t="s">
        <v>29</v>
      </c>
      <c r="G2759" s="12" t="s">
        <v>4918</v>
      </c>
      <c r="H2759" s="12" t="s">
        <v>4919</v>
      </c>
      <c r="I2759" s="10"/>
      <c r="J2759" s="10"/>
      <c r="K2759" s="12"/>
    </row>
    <row r="2760" ht="15.75" customHeight="1">
      <c r="A2760" s="3" t="s">
        <v>12</v>
      </c>
      <c r="B2760" s="3" t="s">
        <v>359</v>
      </c>
      <c r="C2760" s="3" t="s">
        <v>11184</v>
      </c>
      <c r="D2760" s="8" t="str">
        <f t="shared" si="1"/>
        <v>Abrir anúncio ↗</v>
      </c>
      <c r="E2760" s="9" t="s">
        <v>11185</v>
      </c>
      <c r="F2760" s="3" t="s">
        <v>29</v>
      </c>
      <c r="G2760" s="9" t="s">
        <v>4918</v>
      </c>
      <c r="H2760" s="9" t="s">
        <v>4919</v>
      </c>
      <c r="I2760" s="3"/>
      <c r="J2760" s="3"/>
      <c r="K2760" s="9"/>
    </row>
    <row r="2761" ht="15.75" customHeight="1">
      <c r="A2761" s="10" t="s">
        <v>12</v>
      </c>
      <c r="B2761" s="10" t="s">
        <v>359</v>
      </c>
      <c r="C2761" s="10" t="s">
        <v>11186</v>
      </c>
      <c r="D2761" s="11" t="str">
        <f t="shared" si="1"/>
        <v>Abrir anúncio ↗</v>
      </c>
      <c r="E2761" s="12" t="s">
        <v>11187</v>
      </c>
      <c r="F2761" s="10" t="s">
        <v>29</v>
      </c>
      <c r="G2761" s="12" t="s">
        <v>4918</v>
      </c>
      <c r="H2761" s="12" t="s">
        <v>4919</v>
      </c>
      <c r="I2761" s="10"/>
      <c r="J2761" s="10"/>
      <c r="K2761" s="12"/>
    </row>
    <row r="2762" ht="15.75" customHeight="1">
      <c r="A2762" s="3" t="s">
        <v>12</v>
      </c>
      <c r="B2762" s="3" t="s">
        <v>359</v>
      </c>
      <c r="C2762" s="3" t="s">
        <v>11188</v>
      </c>
      <c r="D2762" s="8" t="str">
        <f t="shared" si="1"/>
        <v>Abrir anúncio ↗</v>
      </c>
      <c r="E2762" s="9" t="s">
        <v>11189</v>
      </c>
      <c r="F2762" s="3" t="s">
        <v>29</v>
      </c>
      <c r="G2762" s="9" t="s">
        <v>4918</v>
      </c>
      <c r="H2762" s="9" t="s">
        <v>4919</v>
      </c>
      <c r="I2762" s="3"/>
      <c r="J2762" s="3"/>
      <c r="K2762" s="9"/>
    </row>
    <row r="2763" ht="15.75" customHeight="1">
      <c r="A2763" s="10" t="s">
        <v>12</v>
      </c>
      <c r="B2763" s="10" t="s">
        <v>359</v>
      </c>
      <c r="C2763" s="10" t="s">
        <v>11190</v>
      </c>
      <c r="D2763" s="11" t="str">
        <f t="shared" si="1"/>
        <v>Abrir anúncio ↗</v>
      </c>
      <c r="E2763" s="12" t="s">
        <v>11191</v>
      </c>
      <c r="F2763" s="10" t="s">
        <v>29</v>
      </c>
      <c r="G2763" s="12" t="s">
        <v>4918</v>
      </c>
      <c r="H2763" s="12" t="s">
        <v>4919</v>
      </c>
      <c r="I2763" s="10"/>
      <c r="J2763" s="10"/>
      <c r="K2763" s="12"/>
    </row>
    <row r="2764" ht="15.75" customHeight="1">
      <c r="A2764" s="3" t="s">
        <v>12</v>
      </c>
      <c r="B2764" s="3" t="s">
        <v>359</v>
      </c>
      <c r="C2764" s="3" t="s">
        <v>11192</v>
      </c>
      <c r="D2764" s="8" t="str">
        <f t="shared" si="1"/>
        <v>Abrir anúncio ↗</v>
      </c>
      <c r="E2764" s="9" t="s">
        <v>11193</v>
      </c>
      <c r="F2764" s="3" t="s">
        <v>29</v>
      </c>
      <c r="G2764" s="9" t="s">
        <v>4918</v>
      </c>
      <c r="H2764" s="9" t="s">
        <v>4919</v>
      </c>
      <c r="I2764" s="3"/>
      <c r="J2764" s="3"/>
      <c r="K2764" s="9"/>
    </row>
    <row r="2765" ht="15.75" customHeight="1">
      <c r="A2765" s="10" t="s">
        <v>12</v>
      </c>
      <c r="B2765" s="10" t="s">
        <v>359</v>
      </c>
      <c r="C2765" s="10" t="s">
        <v>11194</v>
      </c>
      <c r="D2765" s="11" t="str">
        <f t="shared" si="1"/>
        <v>Abrir anúncio ↗</v>
      </c>
      <c r="E2765" s="12" t="s">
        <v>11195</v>
      </c>
      <c r="F2765" s="10" t="s">
        <v>29</v>
      </c>
      <c r="G2765" s="12" t="s">
        <v>4918</v>
      </c>
      <c r="H2765" s="12" t="s">
        <v>4919</v>
      </c>
      <c r="I2765" s="10"/>
      <c r="J2765" s="10"/>
      <c r="K2765" s="12"/>
    </row>
    <row r="2766" ht="15.75" customHeight="1">
      <c r="A2766" s="3" t="s">
        <v>12</v>
      </c>
      <c r="B2766" s="3" t="s">
        <v>359</v>
      </c>
      <c r="C2766" s="3" t="s">
        <v>11196</v>
      </c>
      <c r="D2766" s="8" t="str">
        <f t="shared" si="1"/>
        <v>Abrir anúncio ↗</v>
      </c>
      <c r="E2766" s="9" t="s">
        <v>11197</v>
      </c>
      <c r="F2766" s="3" t="s">
        <v>29</v>
      </c>
      <c r="G2766" s="9" t="s">
        <v>4918</v>
      </c>
      <c r="H2766" s="9" t="s">
        <v>4919</v>
      </c>
      <c r="I2766" s="3"/>
      <c r="J2766" s="3"/>
      <c r="K2766" s="9"/>
    </row>
    <row r="2767" ht="15.75" customHeight="1">
      <c r="A2767" s="10" t="s">
        <v>12</v>
      </c>
      <c r="B2767" s="10" t="s">
        <v>359</v>
      </c>
      <c r="C2767" s="10" t="s">
        <v>11198</v>
      </c>
      <c r="D2767" s="11" t="str">
        <f t="shared" si="1"/>
        <v>Abrir anúncio ↗</v>
      </c>
      <c r="E2767" s="12" t="s">
        <v>11199</v>
      </c>
      <c r="F2767" s="10" t="s">
        <v>29</v>
      </c>
      <c r="G2767" s="12" t="s">
        <v>4918</v>
      </c>
      <c r="H2767" s="12" t="s">
        <v>4919</v>
      </c>
      <c r="I2767" s="10"/>
      <c r="J2767" s="10"/>
      <c r="K2767" s="12"/>
    </row>
    <row r="2768" ht="15.75" customHeight="1">
      <c r="A2768" s="3" t="s">
        <v>12</v>
      </c>
      <c r="B2768" s="3" t="s">
        <v>359</v>
      </c>
      <c r="C2768" s="3" t="s">
        <v>11200</v>
      </c>
      <c r="D2768" s="8" t="str">
        <f t="shared" si="1"/>
        <v>Abrir anúncio ↗</v>
      </c>
      <c r="E2768" s="9" t="s">
        <v>11201</v>
      </c>
      <c r="F2768" s="3" t="s">
        <v>29</v>
      </c>
      <c r="G2768" s="9" t="s">
        <v>4918</v>
      </c>
      <c r="H2768" s="9" t="s">
        <v>4919</v>
      </c>
      <c r="I2768" s="3"/>
      <c r="J2768" s="3"/>
      <c r="K2768" s="9"/>
    </row>
    <row r="2769" ht="15.75" customHeight="1">
      <c r="A2769" s="10" t="s">
        <v>12</v>
      </c>
      <c r="B2769" s="10" t="s">
        <v>359</v>
      </c>
      <c r="C2769" s="10" t="s">
        <v>11202</v>
      </c>
      <c r="D2769" s="11" t="str">
        <f t="shared" si="1"/>
        <v>Abrir anúncio ↗</v>
      </c>
      <c r="E2769" s="12" t="s">
        <v>11203</v>
      </c>
      <c r="F2769" s="10" t="s">
        <v>29</v>
      </c>
      <c r="G2769" s="12" t="s">
        <v>4918</v>
      </c>
      <c r="H2769" s="12" t="s">
        <v>4919</v>
      </c>
      <c r="I2769" s="10"/>
      <c r="J2769" s="10"/>
      <c r="K2769" s="12"/>
    </row>
    <row r="2770" ht="15.75" customHeight="1">
      <c r="A2770" s="3" t="s">
        <v>12</v>
      </c>
      <c r="B2770" s="3" t="s">
        <v>359</v>
      </c>
      <c r="C2770" s="3" t="s">
        <v>11204</v>
      </c>
      <c r="D2770" s="8" t="str">
        <f t="shared" si="1"/>
        <v>Abrir anúncio ↗</v>
      </c>
      <c r="E2770" s="9" t="s">
        <v>11205</v>
      </c>
      <c r="F2770" s="3" t="s">
        <v>29</v>
      </c>
      <c r="G2770" s="9" t="s">
        <v>4918</v>
      </c>
      <c r="H2770" s="9" t="s">
        <v>4919</v>
      </c>
      <c r="I2770" s="3"/>
      <c r="J2770" s="3"/>
      <c r="K2770" s="9"/>
    </row>
    <row r="2771" ht="15.75" customHeight="1">
      <c r="A2771" s="10" t="s">
        <v>12</v>
      </c>
      <c r="B2771" s="10" t="s">
        <v>359</v>
      </c>
      <c r="C2771" s="10" t="s">
        <v>11206</v>
      </c>
      <c r="D2771" s="11" t="str">
        <f t="shared" si="1"/>
        <v>Abrir anúncio ↗</v>
      </c>
      <c r="E2771" s="12" t="s">
        <v>11207</v>
      </c>
      <c r="F2771" s="10" t="s">
        <v>29</v>
      </c>
      <c r="G2771" s="12" t="s">
        <v>4918</v>
      </c>
      <c r="H2771" s="12" t="s">
        <v>4919</v>
      </c>
      <c r="I2771" s="10"/>
      <c r="J2771" s="10"/>
      <c r="K2771" s="12"/>
    </row>
    <row r="2772" ht="15.75" customHeight="1">
      <c r="A2772" s="3" t="s">
        <v>12</v>
      </c>
      <c r="B2772" s="3" t="s">
        <v>359</v>
      </c>
      <c r="C2772" s="3" t="s">
        <v>11208</v>
      </c>
      <c r="D2772" s="8" t="str">
        <f t="shared" si="1"/>
        <v>Abrir anúncio ↗</v>
      </c>
      <c r="E2772" s="9" t="s">
        <v>11209</v>
      </c>
      <c r="F2772" s="3" t="s">
        <v>29</v>
      </c>
      <c r="G2772" s="9" t="s">
        <v>4918</v>
      </c>
      <c r="H2772" s="9" t="s">
        <v>4919</v>
      </c>
      <c r="I2772" s="3"/>
      <c r="J2772" s="3"/>
      <c r="K2772" s="9"/>
    </row>
    <row r="2773" ht="15.75" customHeight="1">
      <c r="A2773" s="10" t="s">
        <v>12</v>
      </c>
      <c r="B2773" s="10" t="s">
        <v>359</v>
      </c>
      <c r="C2773" s="10" t="s">
        <v>11210</v>
      </c>
      <c r="D2773" s="11" t="str">
        <f t="shared" si="1"/>
        <v>Abrir anúncio ↗</v>
      </c>
      <c r="E2773" s="12" t="s">
        <v>11211</v>
      </c>
      <c r="F2773" s="10" t="s">
        <v>29</v>
      </c>
      <c r="G2773" s="12" t="s">
        <v>4918</v>
      </c>
      <c r="H2773" s="12" t="s">
        <v>4919</v>
      </c>
      <c r="I2773" s="10"/>
      <c r="J2773" s="10"/>
      <c r="K2773" s="12"/>
    </row>
    <row r="2774" ht="15.75" customHeight="1">
      <c r="A2774" s="3" t="s">
        <v>12</v>
      </c>
      <c r="B2774" s="3" t="s">
        <v>359</v>
      </c>
      <c r="C2774" s="3" t="s">
        <v>11212</v>
      </c>
      <c r="D2774" s="8" t="str">
        <f t="shared" si="1"/>
        <v>Abrir anúncio ↗</v>
      </c>
      <c r="E2774" s="9" t="s">
        <v>11213</v>
      </c>
      <c r="F2774" s="3" t="s">
        <v>29</v>
      </c>
      <c r="G2774" s="9" t="s">
        <v>4918</v>
      </c>
      <c r="H2774" s="9" t="s">
        <v>4919</v>
      </c>
      <c r="I2774" s="3"/>
      <c r="J2774" s="3"/>
      <c r="K2774" s="9"/>
    </row>
    <row r="2775" ht="15.75" customHeight="1">
      <c r="A2775" s="10" t="s">
        <v>12</v>
      </c>
      <c r="B2775" s="10" t="s">
        <v>359</v>
      </c>
      <c r="C2775" s="10" t="s">
        <v>11214</v>
      </c>
      <c r="D2775" s="11" t="str">
        <f t="shared" si="1"/>
        <v>Abrir anúncio ↗</v>
      </c>
      <c r="E2775" s="12" t="s">
        <v>11215</v>
      </c>
      <c r="F2775" s="10" t="s">
        <v>29</v>
      </c>
      <c r="G2775" s="12" t="s">
        <v>4918</v>
      </c>
      <c r="H2775" s="12" t="s">
        <v>4919</v>
      </c>
      <c r="I2775" s="10"/>
      <c r="J2775" s="10"/>
      <c r="K2775" s="12"/>
    </row>
    <row r="2776" ht="15.75" customHeight="1">
      <c r="A2776" s="3" t="s">
        <v>12</v>
      </c>
      <c r="B2776" s="3" t="s">
        <v>359</v>
      </c>
      <c r="C2776" s="3" t="s">
        <v>11216</v>
      </c>
      <c r="D2776" s="8" t="str">
        <f t="shared" si="1"/>
        <v>Abrir anúncio ↗</v>
      </c>
      <c r="E2776" s="9" t="s">
        <v>11217</v>
      </c>
      <c r="F2776" s="3" t="s">
        <v>29</v>
      </c>
      <c r="G2776" s="9" t="s">
        <v>4918</v>
      </c>
      <c r="H2776" s="9" t="s">
        <v>4919</v>
      </c>
      <c r="I2776" s="3"/>
      <c r="J2776" s="3"/>
      <c r="K2776" s="9"/>
    </row>
    <row r="2777" ht="15.75" customHeight="1">
      <c r="A2777" s="10" t="s">
        <v>12</v>
      </c>
      <c r="B2777" s="10" t="s">
        <v>359</v>
      </c>
      <c r="C2777" s="10" t="s">
        <v>11218</v>
      </c>
      <c r="D2777" s="11" t="str">
        <f t="shared" si="1"/>
        <v>Abrir anúncio ↗</v>
      </c>
      <c r="E2777" s="12" t="s">
        <v>11219</v>
      </c>
      <c r="F2777" s="10" t="s">
        <v>29</v>
      </c>
      <c r="G2777" s="12" t="s">
        <v>4918</v>
      </c>
      <c r="H2777" s="12" t="s">
        <v>4919</v>
      </c>
      <c r="I2777" s="10"/>
      <c r="J2777" s="10"/>
      <c r="K2777" s="12"/>
    </row>
    <row r="2778" ht="15.75" customHeight="1">
      <c r="A2778" s="3" t="s">
        <v>12</v>
      </c>
      <c r="B2778" s="3" t="s">
        <v>359</v>
      </c>
      <c r="C2778" s="3" t="s">
        <v>11220</v>
      </c>
      <c r="D2778" s="8" t="str">
        <f t="shared" si="1"/>
        <v>Abrir anúncio ↗</v>
      </c>
      <c r="E2778" s="9" t="s">
        <v>11221</v>
      </c>
      <c r="F2778" s="3" t="s">
        <v>29</v>
      </c>
      <c r="G2778" s="9" t="s">
        <v>4918</v>
      </c>
      <c r="H2778" s="9" t="s">
        <v>4919</v>
      </c>
      <c r="I2778" s="3"/>
      <c r="J2778" s="3"/>
      <c r="K2778" s="9"/>
    </row>
    <row r="2779" ht="15.75" customHeight="1">
      <c r="A2779" s="10" t="s">
        <v>12</v>
      </c>
      <c r="B2779" s="10" t="s">
        <v>359</v>
      </c>
      <c r="C2779" s="10" t="s">
        <v>11222</v>
      </c>
      <c r="D2779" s="11" t="str">
        <f t="shared" si="1"/>
        <v>Abrir anúncio ↗</v>
      </c>
      <c r="E2779" s="12" t="s">
        <v>11223</v>
      </c>
      <c r="F2779" s="10" t="s">
        <v>29</v>
      </c>
      <c r="G2779" s="12" t="s">
        <v>4918</v>
      </c>
      <c r="H2779" s="12" t="s">
        <v>4919</v>
      </c>
      <c r="I2779" s="10"/>
      <c r="J2779" s="10"/>
      <c r="K2779" s="12"/>
    </row>
    <row r="2780" ht="15.75" customHeight="1">
      <c r="A2780" s="3" t="s">
        <v>12</v>
      </c>
      <c r="B2780" s="3" t="s">
        <v>359</v>
      </c>
      <c r="C2780" s="3" t="s">
        <v>11224</v>
      </c>
      <c r="D2780" s="8" t="str">
        <f t="shared" si="1"/>
        <v>Abrir anúncio ↗</v>
      </c>
      <c r="E2780" s="9" t="s">
        <v>11225</v>
      </c>
      <c r="F2780" s="3" t="s">
        <v>29</v>
      </c>
      <c r="G2780" s="9" t="s">
        <v>5013</v>
      </c>
      <c r="H2780" s="9" t="s">
        <v>5015</v>
      </c>
      <c r="I2780" s="3"/>
      <c r="J2780" s="3"/>
      <c r="K2780" s="9"/>
    </row>
    <row r="2781" ht="15.75" customHeight="1">
      <c r="A2781" s="10" t="s">
        <v>12</v>
      </c>
      <c r="B2781" s="10" t="s">
        <v>359</v>
      </c>
      <c r="C2781" s="10" t="s">
        <v>8045</v>
      </c>
      <c r="D2781" s="11" t="str">
        <f t="shared" si="1"/>
        <v>Abrir anúncio ↗</v>
      </c>
      <c r="E2781" s="12" t="s">
        <v>4018</v>
      </c>
      <c r="F2781" s="10" t="s">
        <v>29</v>
      </c>
      <c r="G2781" s="12" t="s">
        <v>4918</v>
      </c>
      <c r="H2781" s="12" t="s">
        <v>4919</v>
      </c>
      <c r="I2781" s="10"/>
      <c r="J2781" s="10"/>
      <c r="K2781" s="12"/>
    </row>
    <row r="2782" ht="15.75" customHeight="1">
      <c r="A2782" s="3" t="s">
        <v>12</v>
      </c>
      <c r="B2782" s="3" t="s">
        <v>359</v>
      </c>
      <c r="C2782" s="3" t="s">
        <v>11226</v>
      </c>
      <c r="D2782" s="8" t="str">
        <f t="shared" si="1"/>
        <v>Abrir anúncio ↗</v>
      </c>
      <c r="E2782" s="9" t="s">
        <v>11227</v>
      </c>
      <c r="F2782" s="3" t="s">
        <v>29</v>
      </c>
      <c r="G2782" s="9" t="s">
        <v>4918</v>
      </c>
      <c r="H2782" s="9" t="s">
        <v>4919</v>
      </c>
      <c r="I2782" s="3"/>
      <c r="J2782" s="3"/>
      <c r="K2782" s="9"/>
    </row>
    <row r="2783" ht="15.75" customHeight="1">
      <c r="A2783" s="10" t="s">
        <v>12</v>
      </c>
      <c r="B2783" s="10" t="s">
        <v>359</v>
      </c>
      <c r="C2783" s="10" t="s">
        <v>11228</v>
      </c>
      <c r="D2783" s="11" t="str">
        <f t="shared" si="1"/>
        <v>Abrir anúncio ↗</v>
      </c>
      <c r="E2783" s="12" t="s">
        <v>11229</v>
      </c>
      <c r="F2783" s="10" t="s">
        <v>29</v>
      </c>
      <c r="G2783" s="12" t="s">
        <v>9253</v>
      </c>
      <c r="H2783" s="12" t="s">
        <v>9254</v>
      </c>
      <c r="I2783" s="10"/>
      <c r="J2783" s="10"/>
      <c r="K2783" s="12"/>
    </row>
    <row r="2784" ht="15.75" customHeight="1">
      <c r="A2784" s="3" t="s">
        <v>12</v>
      </c>
      <c r="B2784" s="3" t="s">
        <v>359</v>
      </c>
      <c r="C2784" s="3" t="s">
        <v>8598</v>
      </c>
      <c r="D2784" s="8" t="str">
        <f t="shared" si="1"/>
        <v>Abrir anúncio ↗</v>
      </c>
      <c r="E2784" s="9" t="s">
        <v>8595</v>
      </c>
      <c r="F2784" s="3" t="s">
        <v>29</v>
      </c>
      <c r="G2784" s="9" t="s">
        <v>9253</v>
      </c>
      <c r="H2784" s="9" t="s">
        <v>9254</v>
      </c>
      <c r="I2784" s="3"/>
      <c r="J2784" s="3"/>
      <c r="K2784" s="9"/>
    </row>
    <row r="2785" ht="15.75" customHeight="1">
      <c r="A2785" s="10" t="s">
        <v>12</v>
      </c>
      <c r="B2785" s="10" t="s">
        <v>359</v>
      </c>
      <c r="C2785" s="10" t="s">
        <v>7775</v>
      </c>
      <c r="D2785" s="11" t="str">
        <f t="shared" si="1"/>
        <v>Abrir anúncio ↗</v>
      </c>
      <c r="E2785" s="12" t="s">
        <v>969</v>
      </c>
      <c r="F2785" s="10" t="s">
        <v>29</v>
      </c>
      <c r="G2785" s="12" t="s">
        <v>9253</v>
      </c>
      <c r="H2785" s="12" t="s">
        <v>9254</v>
      </c>
      <c r="I2785" s="10"/>
      <c r="J2785" s="10"/>
      <c r="K2785" s="12"/>
    </row>
    <row r="2786" ht="15.75" customHeight="1">
      <c r="A2786" s="3" t="s">
        <v>12</v>
      </c>
      <c r="B2786" s="3" t="s">
        <v>359</v>
      </c>
      <c r="C2786" s="3" t="s">
        <v>8231</v>
      </c>
      <c r="D2786" s="8" t="str">
        <f t="shared" si="1"/>
        <v>Abrir anúncio ↗</v>
      </c>
      <c r="E2786" s="9" t="s">
        <v>8227</v>
      </c>
      <c r="F2786" s="3" t="s">
        <v>29</v>
      </c>
      <c r="G2786" s="9" t="s">
        <v>9253</v>
      </c>
      <c r="H2786" s="9" t="s">
        <v>9254</v>
      </c>
      <c r="I2786" s="3"/>
      <c r="J2786" s="3"/>
      <c r="K2786" s="9"/>
    </row>
    <row r="2787" ht="15.75" customHeight="1">
      <c r="A2787" s="10" t="s">
        <v>12</v>
      </c>
      <c r="B2787" s="10" t="s">
        <v>359</v>
      </c>
      <c r="C2787" s="10" t="s">
        <v>8551</v>
      </c>
      <c r="D2787" s="11" t="str">
        <f t="shared" si="1"/>
        <v>Abrir anúncio ↗</v>
      </c>
      <c r="E2787" s="12" t="s">
        <v>8548</v>
      </c>
      <c r="F2787" s="10" t="s">
        <v>29</v>
      </c>
      <c r="G2787" s="12" t="s">
        <v>9253</v>
      </c>
      <c r="H2787" s="12" t="s">
        <v>9254</v>
      </c>
      <c r="I2787" s="10"/>
      <c r="J2787" s="10"/>
      <c r="K2787" s="12"/>
    </row>
    <row r="2788" ht="15.75" customHeight="1">
      <c r="A2788" s="3" t="s">
        <v>12</v>
      </c>
      <c r="B2788" s="3" t="s">
        <v>359</v>
      </c>
      <c r="C2788" s="3" t="s">
        <v>8574</v>
      </c>
      <c r="D2788" s="8" t="str">
        <f t="shared" si="1"/>
        <v>Abrir anúncio ↗</v>
      </c>
      <c r="E2788" s="9" t="s">
        <v>8570</v>
      </c>
      <c r="F2788" s="3" t="s">
        <v>29</v>
      </c>
      <c r="G2788" s="9" t="s">
        <v>9253</v>
      </c>
      <c r="H2788" s="9" t="s">
        <v>9254</v>
      </c>
      <c r="I2788" s="3"/>
      <c r="J2788" s="3"/>
      <c r="K2788" s="9"/>
    </row>
    <row r="2789" ht="15.75" customHeight="1">
      <c r="A2789" s="10" t="s">
        <v>12</v>
      </c>
      <c r="B2789" s="10" t="s">
        <v>359</v>
      </c>
      <c r="C2789" s="10" t="s">
        <v>7401</v>
      </c>
      <c r="D2789" s="11" t="str">
        <f t="shared" si="1"/>
        <v>Abrir anúncio ↗</v>
      </c>
      <c r="E2789" s="12" t="s">
        <v>7396</v>
      </c>
      <c r="F2789" s="10" t="s">
        <v>29</v>
      </c>
      <c r="G2789" s="12" t="s">
        <v>4918</v>
      </c>
      <c r="H2789" s="12" t="s">
        <v>4919</v>
      </c>
      <c r="I2789" s="10"/>
      <c r="J2789" s="10"/>
      <c r="K2789" s="12"/>
    </row>
    <row r="2790" ht="15.75" customHeight="1">
      <c r="A2790" s="3" t="s">
        <v>12</v>
      </c>
      <c r="B2790" s="3" t="s">
        <v>359</v>
      </c>
      <c r="C2790" s="3" t="s">
        <v>8875</v>
      </c>
      <c r="D2790" s="8" t="str">
        <f t="shared" si="1"/>
        <v>Abrir anúncio ↗</v>
      </c>
      <c r="E2790" s="9" t="s">
        <v>8871</v>
      </c>
      <c r="F2790" s="3" t="s">
        <v>29</v>
      </c>
      <c r="G2790" s="9" t="s">
        <v>4918</v>
      </c>
      <c r="H2790" s="9" t="s">
        <v>4919</v>
      </c>
      <c r="I2790" s="3"/>
      <c r="J2790" s="3"/>
      <c r="K2790" s="9"/>
    </row>
    <row r="2791" ht="15.75" customHeight="1">
      <c r="A2791" s="10" t="s">
        <v>12</v>
      </c>
      <c r="B2791" s="10" t="s">
        <v>359</v>
      </c>
      <c r="C2791" s="10" t="s">
        <v>8816</v>
      </c>
      <c r="D2791" s="11" t="str">
        <f t="shared" si="1"/>
        <v>Abrir anúncio ↗</v>
      </c>
      <c r="E2791" s="12" t="s">
        <v>8812</v>
      </c>
      <c r="F2791" s="10" t="s">
        <v>29</v>
      </c>
      <c r="G2791" s="12" t="s">
        <v>4918</v>
      </c>
      <c r="H2791" s="12" t="s">
        <v>4919</v>
      </c>
      <c r="I2791" s="10"/>
      <c r="J2791" s="10"/>
      <c r="K2791" s="12"/>
    </row>
    <row r="2792" ht="15.75" customHeight="1">
      <c r="A2792" s="3" t="s">
        <v>12</v>
      </c>
      <c r="B2792" s="3" t="s">
        <v>359</v>
      </c>
      <c r="C2792" s="3" t="s">
        <v>7866</v>
      </c>
      <c r="D2792" s="8" t="str">
        <f t="shared" si="1"/>
        <v>Abrir anúncio ↗</v>
      </c>
      <c r="E2792" s="9" t="s">
        <v>7865</v>
      </c>
      <c r="F2792" s="3" t="s">
        <v>29</v>
      </c>
      <c r="G2792" s="9" t="s">
        <v>9253</v>
      </c>
      <c r="H2792" s="9" t="s">
        <v>9254</v>
      </c>
      <c r="I2792" s="3"/>
      <c r="J2792" s="3"/>
      <c r="K2792" s="9"/>
    </row>
    <row r="2793" ht="15.75" customHeight="1">
      <c r="A2793" s="10" t="s">
        <v>12</v>
      </c>
      <c r="B2793" s="10" t="s">
        <v>359</v>
      </c>
      <c r="C2793" s="10" t="s">
        <v>11230</v>
      </c>
      <c r="D2793" s="11" t="str">
        <f t="shared" si="1"/>
        <v>Abrir anúncio ↗</v>
      </c>
      <c r="E2793" s="12" t="s">
        <v>11231</v>
      </c>
      <c r="F2793" s="10" t="s">
        <v>29</v>
      </c>
      <c r="G2793" s="12" t="s">
        <v>4918</v>
      </c>
      <c r="H2793" s="12" t="s">
        <v>4919</v>
      </c>
      <c r="I2793" s="10"/>
      <c r="J2793" s="10"/>
      <c r="K2793" s="12"/>
    </row>
    <row r="2794" ht="15.75" customHeight="1">
      <c r="A2794" s="3" t="s">
        <v>12</v>
      </c>
      <c r="B2794" s="3" t="s">
        <v>359</v>
      </c>
      <c r="C2794" s="3" t="s">
        <v>11232</v>
      </c>
      <c r="D2794" s="8" t="str">
        <f t="shared" si="1"/>
        <v>Abrir anúncio ↗</v>
      </c>
      <c r="E2794" s="9" t="s">
        <v>11233</v>
      </c>
      <c r="F2794" s="3" t="s">
        <v>29</v>
      </c>
      <c r="G2794" s="9" t="s">
        <v>4918</v>
      </c>
      <c r="H2794" s="9" t="s">
        <v>4919</v>
      </c>
      <c r="I2794" s="3"/>
      <c r="J2794" s="3"/>
      <c r="K2794" s="9"/>
    </row>
    <row r="2795" ht="15.75" customHeight="1">
      <c r="A2795" s="10" t="s">
        <v>12</v>
      </c>
      <c r="B2795" s="10" t="s">
        <v>359</v>
      </c>
      <c r="C2795" s="10" t="s">
        <v>11234</v>
      </c>
      <c r="D2795" s="11" t="str">
        <f t="shared" si="1"/>
        <v>Abrir anúncio ↗</v>
      </c>
      <c r="E2795" s="12" t="s">
        <v>11235</v>
      </c>
      <c r="F2795" s="10" t="s">
        <v>29</v>
      </c>
      <c r="G2795" s="12" t="s">
        <v>4918</v>
      </c>
      <c r="H2795" s="12" t="s">
        <v>4919</v>
      </c>
      <c r="I2795" s="10"/>
      <c r="J2795" s="10"/>
      <c r="K2795" s="12"/>
    </row>
    <row r="2796" ht="15.75" customHeight="1">
      <c r="A2796" s="3" t="s">
        <v>12</v>
      </c>
      <c r="B2796" s="3" t="s">
        <v>359</v>
      </c>
      <c r="C2796" s="3" t="s">
        <v>11236</v>
      </c>
      <c r="D2796" s="8" t="str">
        <f t="shared" si="1"/>
        <v>Abrir anúncio ↗</v>
      </c>
      <c r="E2796" s="9" t="s">
        <v>11237</v>
      </c>
      <c r="F2796" s="3" t="s">
        <v>29</v>
      </c>
      <c r="G2796" s="9" t="s">
        <v>4918</v>
      </c>
      <c r="H2796" s="9" t="s">
        <v>4919</v>
      </c>
      <c r="I2796" s="3"/>
      <c r="J2796" s="3"/>
      <c r="K2796" s="9"/>
    </row>
    <row r="2797" ht="15.75" customHeight="1">
      <c r="A2797" s="10" t="s">
        <v>12</v>
      </c>
      <c r="B2797" s="10" t="s">
        <v>359</v>
      </c>
      <c r="C2797" s="10" t="s">
        <v>11238</v>
      </c>
      <c r="D2797" s="11" t="str">
        <f t="shared" si="1"/>
        <v>Abrir anúncio ↗</v>
      </c>
      <c r="E2797" s="12" t="s">
        <v>11239</v>
      </c>
      <c r="F2797" s="10" t="s">
        <v>29</v>
      </c>
      <c r="G2797" s="12" t="s">
        <v>4918</v>
      </c>
      <c r="H2797" s="12" t="s">
        <v>4919</v>
      </c>
      <c r="I2797" s="10"/>
      <c r="J2797" s="10"/>
      <c r="K2797" s="12"/>
    </row>
    <row r="2798" ht="15.75" customHeight="1">
      <c r="A2798" s="3" t="s">
        <v>12</v>
      </c>
      <c r="B2798" s="3" t="s">
        <v>359</v>
      </c>
      <c r="C2798" s="3" t="s">
        <v>11240</v>
      </c>
      <c r="D2798" s="8" t="str">
        <f t="shared" si="1"/>
        <v>Abrir anúncio ↗</v>
      </c>
      <c r="E2798" s="9" t="s">
        <v>11241</v>
      </c>
      <c r="F2798" s="3" t="s">
        <v>29</v>
      </c>
      <c r="G2798" s="9" t="s">
        <v>4918</v>
      </c>
      <c r="H2798" s="9" t="s">
        <v>4919</v>
      </c>
      <c r="I2798" s="3"/>
      <c r="J2798" s="3"/>
      <c r="K2798" s="9"/>
    </row>
    <row r="2799" ht="15.75" customHeight="1">
      <c r="A2799" s="10" t="s">
        <v>12</v>
      </c>
      <c r="B2799" s="10" t="s">
        <v>359</v>
      </c>
      <c r="C2799" s="10" t="s">
        <v>11242</v>
      </c>
      <c r="D2799" s="11" t="str">
        <f t="shared" si="1"/>
        <v>Abrir anúncio ↗</v>
      </c>
      <c r="E2799" s="12" t="s">
        <v>11243</v>
      </c>
      <c r="F2799" s="10" t="s">
        <v>29</v>
      </c>
      <c r="G2799" s="12" t="s">
        <v>4918</v>
      </c>
      <c r="H2799" s="12" t="s">
        <v>4919</v>
      </c>
      <c r="I2799" s="10"/>
      <c r="J2799" s="10"/>
      <c r="K2799" s="12"/>
    </row>
    <row r="2800" ht="15.75" customHeight="1">
      <c r="A2800" s="3" t="s">
        <v>12</v>
      </c>
      <c r="B2800" s="3" t="s">
        <v>359</v>
      </c>
      <c r="C2800" s="3" t="s">
        <v>11244</v>
      </c>
      <c r="D2800" s="8" t="str">
        <f t="shared" si="1"/>
        <v>Abrir anúncio ↗</v>
      </c>
      <c r="E2800" s="9" t="s">
        <v>11245</v>
      </c>
      <c r="F2800" s="3" t="s">
        <v>29</v>
      </c>
      <c r="G2800" s="9" t="s">
        <v>4918</v>
      </c>
      <c r="H2800" s="9" t="s">
        <v>4919</v>
      </c>
      <c r="I2800" s="3"/>
      <c r="J2800" s="3"/>
      <c r="K2800" s="9"/>
    </row>
    <row r="2801" ht="15.75" customHeight="1">
      <c r="A2801" s="10" t="s">
        <v>12</v>
      </c>
      <c r="B2801" s="10" t="s">
        <v>359</v>
      </c>
      <c r="C2801" s="10" t="s">
        <v>11246</v>
      </c>
      <c r="D2801" s="11" t="str">
        <f t="shared" si="1"/>
        <v>Abrir anúncio ↗</v>
      </c>
      <c r="E2801" s="12" t="s">
        <v>11247</v>
      </c>
      <c r="F2801" s="10" t="s">
        <v>29</v>
      </c>
      <c r="G2801" s="12" t="s">
        <v>4918</v>
      </c>
      <c r="H2801" s="12" t="s">
        <v>4919</v>
      </c>
      <c r="I2801" s="10"/>
      <c r="J2801" s="10"/>
      <c r="K2801" s="12"/>
    </row>
    <row r="2802" ht="15.75" customHeight="1">
      <c r="A2802" s="3" t="s">
        <v>12</v>
      </c>
      <c r="B2802" s="3" t="s">
        <v>359</v>
      </c>
      <c r="C2802" s="3" t="s">
        <v>11248</v>
      </c>
      <c r="D2802" s="8" t="str">
        <f t="shared" si="1"/>
        <v>Abrir anúncio ↗</v>
      </c>
      <c r="E2802" s="9" t="s">
        <v>11249</v>
      </c>
      <c r="F2802" s="3" t="s">
        <v>29</v>
      </c>
      <c r="G2802" s="9" t="s">
        <v>4918</v>
      </c>
      <c r="H2802" s="9" t="s">
        <v>4919</v>
      </c>
      <c r="I2802" s="3"/>
      <c r="J2802" s="3"/>
      <c r="K2802" s="9"/>
    </row>
    <row r="2803" ht="15.75" customHeight="1">
      <c r="A2803" s="10" t="s">
        <v>12</v>
      </c>
      <c r="B2803" s="10" t="s">
        <v>359</v>
      </c>
      <c r="C2803" s="10" t="s">
        <v>11250</v>
      </c>
      <c r="D2803" s="11" t="str">
        <f t="shared" si="1"/>
        <v>Abrir anúncio ↗</v>
      </c>
      <c r="E2803" s="12" t="s">
        <v>11251</v>
      </c>
      <c r="F2803" s="10" t="s">
        <v>29</v>
      </c>
      <c r="G2803" s="12" t="s">
        <v>4918</v>
      </c>
      <c r="H2803" s="12" t="s">
        <v>4919</v>
      </c>
      <c r="I2803" s="10"/>
      <c r="J2803" s="10"/>
      <c r="K2803" s="12"/>
    </row>
    <row r="2804" ht="15.75" customHeight="1">
      <c r="A2804" s="3" t="s">
        <v>12</v>
      </c>
      <c r="B2804" s="3" t="s">
        <v>359</v>
      </c>
      <c r="C2804" s="3" t="s">
        <v>11252</v>
      </c>
      <c r="D2804" s="8" t="str">
        <f t="shared" si="1"/>
        <v>Abrir anúncio ↗</v>
      </c>
      <c r="E2804" s="9" t="s">
        <v>11253</v>
      </c>
      <c r="F2804" s="3" t="s">
        <v>29</v>
      </c>
      <c r="G2804" s="9" t="s">
        <v>4918</v>
      </c>
      <c r="H2804" s="9" t="s">
        <v>4919</v>
      </c>
      <c r="I2804" s="3"/>
      <c r="J2804" s="3"/>
      <c r="K2804" s="9"/>
    </row>
    <row r="2805" ht="15.75" customHeight="1">
      <c r="A2805" s="10" t="s">
        <v>12</v>
      </c>
      <c r="B2805" s="10" t="s">
        <v>359</v>
      </c>
      <c r="C2805" s="10" t="s">
        <v>11254</v>
      </c>
      <c r="D2805" s="11" t="str">
        <f t="shared" si="1"/>
        <v>Abrir anúncio ↗</v>
      </c>
      <c r="E2805" s="12" t="s">
        <v>11255</v>
      </c>
      <c r="F2805" s="10" t="s">
        <v>29</v>
      </c>
      <c r="G2805" s="12" t="s">
        <v>4918</v>
      </c>
      <c r="H2805" s="12" t="s">
        <v>4919</v>
      </c>
      <c r="I2805" s="10"/>
      <c r="J2805" s="10"/>
      <c r="K2805" s="12"/>
    </row>
    <row r="2806" ht="15.75" customHeight="1">
      <c r="A2806" s="3" t="s">
        <v>12</v>
      </c>
      <c r="B2806" s="3" t="s">
        <v>359</v>
      </c>
      <c r="C2806" s="3" t="s">
        <v>11256</v>
      </c>
      <c r="D2806" s="8" t="str">
        <f t="shared" si="1"/>
        <v>Abrir anúncio ↗</v>
      </c>
      <c r="E2806" s="9" t="s">
        <v>11257</v>
      </c>
      <c r="F2806" s="3" t="s">
        <v>29</v>
      </c>
      <c r="G2806" s="9" t="s">
        <v>4918</v>
      </c>
      <c r="H2806" s="9" t="s">
        <v>4919</v>
      </c>
      <c r="I2806" s="3"/>
      <c r="J2806" s="3"/>
      <c r="K2806" s="9"/>
    </row>
    <row r="2807" ht="15.75" customHeight="1">
      <c r="A2807" s="10" t="s">
        <v>12</v>
      </c>
      <c r="B2807" s="10" t="s">
        <v>359</v>
      </c>
      <c r="C2807" s="10" t="s">
        <v>11258</v>
      </c>
      <c r="D2807" s="11" t="str">
        <f t="shared" si="1"/>
        <v>Abrir anúncio ↗</v>
      </c>
      <c r="E2807" s="12" t="s">
        <v>11259</v>
      </c>
      <c r="F2807" s="10" t="s">
        <v>29</v>
      </c>
      <c r="G2807" s="12" t="s">
        <v>4918</v>
      </c>
      <c r="H2807" s="12" t="s">
        <v>4919</v>
      </c>
      <c r="I2807" s="10"/>
      <c r="J2807" s="10"/>
      <c r="K2807" s="12"/>
    </row>
    <row r="2808" ht="15.75" customHeight="1">
      <c r="A2808" s="3" t="s">
        <v>12</v>
      </c>
      <c r="B2808" s="3" t="s">
        <v>359</v>
      </c>
      <c r="C2808" s="3" t="s">
        <v>11260</v>
      </c>
      <c r="D2808" s="8" t="str">
        <f t="shared" si="1"/>
        <v>Abrir anúncio ↗</v>
      </c>
      <c r="E2808" s="9" t="s">
        <v>11261</v>
      </c>
      <c r="F2808" s="3" t="s">
        <v>29</v>
      </c>
      <c r="G2808" s="9" t="s">
        <v>4918</v>
      </c>
      <c r="H2808" s="9" t="s">
        <v>4919</v>
      </c>
      <c r="I2808" s="3"/>
      <c r="J2808" s="3"/>
      <c r="K2808" s="9"/>
    </row>
    <row r="2809" ht="15.75" customHeight="1">
      <c r="A2809" s="10" t="s">
        <v>12</v>
      </c>
      <c r="B2809" s="10" t="s">
        <v>359</v>
      </c>
      <c r="C2809" s="10" t="s">
        <v>11262</v>
      </c>
      <c r="D2809" s="11" t="str">
        <f t="shared" si="1"/>
        <v>Abrir anúncio ↗</v>
      </c>
      <c r="E2809" s="12" t="s">
        <v>11263</v>
      </c>
      <c r="F2809" s="10" t="s">
        <v>29</v>
      </c>
      <c r="G2809" s="12" t="s">
        <v>4918</v>
      </c>
      <c r="H2809" s="12" t="s">
        <v>4919</v>
      </c>
      <c r="I2809" s="10"/>
      <c r="J2809" s="10"/>
      <c r="K2809" s="12"/>
    </row>
    <row r="2810" ht="15.75" customHeight="1">
      <c r="A2810" s="3" t="s">
        <v>12</v>
      </c>
      <c r="B2810" s="3" t="s">
        <v>359</v>
      </c>
      <c r="C2810" s="3" t="s">
        <v>11264</v>
      </c>
      <c r="D2810" s="8" t="str">
        <f t="shared" si="1"/>
        <v>Abrir anúncio ↗</v>
      </c>
      <c r="E2810" s="9" t="s">
        <v>11265</v>
      </c>
      <c r="F2810" s="3" t="s">
        <v>29</v>
      </c>
      <c r="G2810" s="9" t="s">
        <v>4918</v>
      </c>
      <c r="H2810" s="9" t="s">
        <v>4919</v>
      </c>
      <c r="I2810" s="3"/>
      <c r="J2810" s="3"/>
      <c r="K2810" s="9"/>
    </row>
    <row r="2811" ht="15.75" customHeight="1">
      <c r="A2811" s="10" t="s">
        <v>12</v>
      </c>
      <c r="B2811" s="10" t="s">
        <v>359</v>
      </c>
      <c r="C2811" s="10" t="s">
        <v>11266</v>
      </c>
      <c r="D2811" s="11" t="str">
        <f t="shared" si="1"/>
        <v>Abrir anúncio ↗</v>
      </c>
      <c r="E2811" s="12" t="s">
        <v>11267</v>
      </c>
      <c r="F2811" s="10" t="s">
        <v>29</v>
      </c>
      <c r="G2811" s="12" t="s">
        <v>4918</v>
      </c>
      <c r="H2811" s="12" t="s">
        <v>4919</v>
      </c>
      <c r="I2811" s="10"/>
      <c r="J2811" s="10"/>
      <c r="K2811" s="12"/>
    </row>
    <row r="2812" ht="15.75" customHeight="1">
      <c r="A2812" s="3" t="s">
        <v>12</v>
      </c>
      <c r="B2812" s="3" t="s">
        <v>359</v>
      </c>
      <c r="C2812" s="3" t="s">
        <v>11268</v>
      </c>
      <c r="D2812" s="8" t="str">
        <f t="shared" si="1"/>
        <v>Abrir anúncio ↗</v>
      </c>
      <c r="E2812" s="9" t="s">
        <v>11269</v>
      </c>
      <c r="F2812" s="3" t="s">
        <v>29</v>
      </c>
      <c r="G2812" s="9" t="s">
        <v>4918</v>
      </c>
      <c r="H2812" s="9" t="s">
        <v>4919</v>
      </c>
      <c r="I2812" s="3"/>
      <c r="J2812" s="3"/>
      <c r="K2812" s="9"/>
    </row>
    <row r="2813" ht="15.75" customHeight="1">
      <c r="A2813" s="10" t="s">
        <v>12</v>
      </c>
      <c r="B2813" s="10" t="s">
        <v>359</v>
      </c>
      <c r="C2813" s="10" t="s">
        <v>11270</v>
      </c>
      <c r="D2813" s="11" t="str">
        <f t="shared" si="1"/>
        <v>Abrir anúncio ↗</v>
      </c>
      <c r="E2813" s="12" t="s">
        <v>11271</v>
      </c>
      <c r="F2813" s="10" t="s">
        <v>29</v>
      </c>
      <c r="G2813" s="12" t="s">
        <v>4918</v>
      </c>
      <c r="H2813" s="12" t="s">
        <v>4919</v>
      </c>
      <c r="I2813" s="10"/>
      <c r="J2813" s="10"/>
      <c r="K2813" s="12"/>
    </row>
    <row r="2814" ht="15.75" customHeight="1">
      <c r="A2814" s="3" t="s">
        <v>12</v>
      </c>
      <c r="B2814" s="3" t="s">
        <v>359</v>
      </c>
      <c r="C2814" s="3" t="s">
        <v>11272</v>
      </c>
      <c r="D2814" s="8" t="str">
        <f t="shared" si="1"/>
        <v>Abrir anúncio ↗</v>
      </c>
      <c r="E2814" s="9" t="s">
        <v>11273</v>
      </c>
      <c r="F2814" s="3" t="s">
        <v>29</v>
      </c>
      <c r="G2814" s="9" t="s">
        <v>4918</v>
      </c>
      <c r="H2814" s="9" t="s">
        <v>4919</v>
      </c>
      <c r="I2814" s="3"/>
      <c r="J2814" s="3"/>
      <c r="K2814" s="9"/>
    </row>
    <row r="2815" ht="15.75" customHeight="1">
      <c r="A2815" s="10" t="s">
        <v>12</v>
      </c>
      <c r="B2815" s="10" t="s">
        <v>359</v>
      </c>
      <c r="C2815" s="10" t="s">
        <v>11274</v>
      </c>
      <c r="D2815" s="11" t="str">
        <f t="shared" si="1"/>
        <v>Abrir anúncio ↗</v>
      </c>
      <c r="E2815" s="12" t="s">
        <v>11275</v>
      </c>
      <c r="F2815" s="10" t="s">
        <v>29</v>
      </c>
      <c r="G2815" s="12" t="s">
        <v>4918</v>
      </c>
      <c r="H2815" s="12" t="s">
        <v>4919</v>
      </c>
      <c r="I2815" s="10"/>
      <c r="J2815" s="10"/>
      <c r="K2815" s="12"/>
    </row>
    <row r="2816" ht="15.75" customHeight="1">
      <c r="A2816" s="3" t="s">
        <v>12</v>
      </c>
      <c r="B2816" s="3" t="s">
        <v>359</v>
      </c>
      <c r="C2816" s="3" t="s">
        <v>11276</v>
      </c>
      <c r="D2816" s="8" t="str">
        <f t="shared" si="1"/>
        <v>Abrir anúncio ↗</v>
      </c>
      <c r="E2816" s="9" t="s">
        <v>11277</v>
      </c>
      <c r="F2816" s="3" t="s">
        <v>29</v>
      </c>
      <c r="G2816" s="9" t="s">
        <v>4918</v>
      </c>
      <c r="H2816" s="9" t="s">
        <v>4919</v>
      </c>
      <c r="I2816" s="3"/>
      <c r="J2816" s="3"/>
      <c r="K2816" s="9"/>
    </row>
    <row r="2817" ht="15.75" customHeight="1">
      <c r="A2817" s="10" t="s">
        <v>12</v>
      </c>
      <c r="B2817" s="10" t="s">
        <v>359</v>
      </c>
      <c r="C2817" s="10" t="s">
        <v>11278</v>
      </c>
      <c r="D2817" s="11" t="str">
        <f t="shared" si="1"/>
        <v>Abrir anúncio ↗</v>
      </c>
      <c r="E2817" s="12" t="s">
        <v>11279</v>
      </c>
      <c r="F2817" s="10" t="s">
        <v>29</v>
      </c>
      <c r="G2817" s="12" t="s">
        <v>4918</v>
      </c>
      <c r="H2817" s="12" t="s">
        <v>4919</v>
      </c>
      <c r="I2817" s="10"/>
      <c r="J2817" s="10"/>
      <c r="K2817" s="12"/>
    </row>
    <row r="2818" ht="15.75" customHeight="1">
      <c r="A2818" s="3" t="s">
        <v>12</v>
      </c>
      <c r="B2818" s="3" t="s">
        <v>359</v>
      </c>
      <c r="C2818" s="3" t="s">
        <v>11280</v>
      </c>
      <c r="D2818" s="8" t="str">
        <f t="shared" si="1"/>
        <v>Abrir anúncio ↗</v>
      </c>
      <c r="E2818" s="9" t="s">
        <v>11281</v>
      </c>
      <c r="F2818" s="3" t="s">
        <v>29</v>
      </c>
      <c r="G2818" s="9" t="s">
        <v>4918</v>
      </c>
      <c r="H2818" s="9" t="s">
        <v>4919</v>
      </c>
      <c r="I2818" s="3"/>
      <c r="J2818" s="3"/>
      <c r="K2818" s="9"/>
    </row>
    <row r="2819" ht="15.75" customHeight="1">
      <c r="A2819" s="10" t="s">
        <v>12</v>
      </c>
      <c r="B2819" s="10" t="s">
        <v>359</v>
      </c>
      <c r="C2819" s="10" t="s">
        <v>11282</v>
      </c>
      <c r="D2819" s="11" t="str">
        <f t="shared" si="1"/>
        <v>Abrir anúncio ↗</v>
      </c>
      <c r="E2819" s="12" t="s">
        <v>11283</v>
      </c>
      <c r="F2819" s="10" t="s">
        <v>29</v>
      </c>
      <c r="G2819" s="12" t="s">
        <v>4918</v>
      </c>
      <c r="H2819" s="12" t="s">
        <v>4919</v>
      </c>
      <c r="I2819" s="10"/>
      <c r="J2819" s="10"/>
      <c r="K2819" s="12"/>
    </row>
    <row r="2820" ht="15.75" customHeight="1">
      <c r="A2820" s="3" t="s">
        <v>12</v>
      </c>
      <c r="B2820" s="3" t="s">
        <v>359</v>
      </c>
      <c r="C2820" s="3" t="s">
        <v>11284</v>
      </c>
      <c r="D2820" s="8" t="str">
        <f t="shared" si="1"/>
        <v>Abrir anúncio ↗</v>
      </c>
      <c r="E2820" s="9" t="s">
        <v>11285</v>
      </c>
      <c r="F2820" s="3" t="s">
        <v>29</v>
      </c>
      <c r="G2820" s="9" t="s">
        <v>4918</v>
      </c>
      <c r="H2820" s="9" t="s">
        <v>4919</v>
      </c>
      <c r="I2820" s="3"/>
      <c r="J2820" s="3"/>
      <c r="K2820" s="9"/>
    </row>
    <row r="2821" ht="15.75" customHeight="1">
      <c r="A2821" s="10" t="s">
        <v>12</v>
      </c>
      <c r="B2821" s="10" t="s">
        <v>359</v>
      </c>
      <c r="C2821" s="10" t="s">
        <v>11286</v>
      </c>
      <c r="D2821" s="11" t="str">
        <f t="shared" si="1"/>
        <v>Abrir anúncio ↗</v>
      </c>
      <c r="E2821" s="12" t="s">
        <v>11287</v>
      </c>
      <c r="F2821" s="10" t="s">
        <v>29</v>
      </c>
      <c r="G2821" s="12" t="s">
        <v>4918</v>
      </c>
      <c r="H2821" s="12" t="s">
        <v>4919</v>
      </c>
      <c r="I2821" s="10"/>
      <c r="J2821" s="10"/>
      <c r="K2821" s="12"/>
    </row>
    <row r="2822" ht="15.75" customHeight="1">
      <c r="A2822" s="3" t="s">
        <v>12</v>
      </c>
      <c r="B2822" s="3" t="s">
        <v>359</v>
      </c>
      <c r="C2822" s="3" t="s">
        <v>11288</v>
      </c>
      <c r="D2822" s="8" t="str">
        <f t="shared" si="1"/>
        <v>Abrir anúncio ↗</v>
      </c>
      <c r="E2822" s="9" t="s">
        <v>11289</v>
      </c>
      <c r="F2822" s="3" t="s">
        <v>29</v>
      </c>
      <c r="G2822" s="9" t="s">
        <v>4918</v>
      </c>
      <c r="H2822" s="9" t="s">
        <v>4919</v>
      </c>
      <c r="I2822" s="3"/>
      <c r="J2822" s="3"/>
      <c r="K2822" s="9"/>
    </row>
    <row r="2823" ht="15.75" customHeight="1">
      <c r="A2823" s="10" t="s">
        <v>12</v>
      </c>
      <c r="B2823" s="10" t="s">
        <v>359</v>
      </c>
      <c r="C2823" s="10" t="s">
        <v>11290</v>
      </c>
      <c r="D2823" s="11" t="str">
        <f t="shared" si="1"/>
        <v>Abrir anúncio ↗</v>
      </c>
      <c r="E2823" s="12" t="s">
        <v>11291</v>
      </c>
      <c r="F2823" s="10" t="s">
        <v>29</v>
      </c>
      <c r="G2823" s="12" t="s">
        <v>9253</v>
      </c>
      <c r="H2823" s="12" t="s">
        <v>10808</v>
      </c>
      <c r="I2823" s="10"/>
      <c r="J2823" s="10"/>
      <c r="K2823" s="12"/>
    </row>
    <row r="2824" ht="15.75" customHeight="1">
      <c r="A2824" s="3" t="s">
        <v>12</v>
      </c>
      <c r="B2824" s="3" t="s">
        <v>359</v>
      </c>
      <c r="C2824" s="3" t="s">
        <v>11292</v>
      </c>
      <c r="D2824" s="8" t="str">
        <f t="shared" si="1"/>
        <v>Abrir anúncio ↗</v>
      </c>
      <c r="E2824" s="9" t="s">
        <v>11293</v>
      </c>
      <c r="F2824" s="3" t="s">
        <v>29</v>
      </c>
      <c r="G2824" s="9" t="s">
        <v>4918</v>
      </c>
      <c r="H2824" s="9" t="s">
        <v>4919</v>
      </c>
      <c r="I2824" s="3"/>
      <c r="J2824" s="3"/>
      <c r="K2824" s="9"/>
    </row>
    <row r="2825" ht="15.75" customHeight="1">
      <c r="A2825" s="10" t="s">
        <v>12</v>
      </c>
      <c r="B2825" s="10" t="s">
        <v>359</v>
      </c>
      <c r="C2825" s="10" t="s">
        <v>8369</v>
      </c>
      <c r="D2825" s="11" t="str">
        <f t="shared" si="1"/>
        <v>Abrir anúncio ↗</v>
      </c>
      <c r="E2825" s="12" t="s">
        <v>8368</v>
      </c>
      <c r="F2825" s="10" t="s">
        <v>29</v>
      </c>
      <c r="G2825" s="12" t="s">
        <v>4918</v>
      </c>
      <c r="H2825" s="12" t="s">
        <v>4919</v>
      </c>
      <c r="I2825" s="10"/>
      <c r="J2825" s="10"/>
      <c r="K2825" s="12"/>
    </row>
    <row r="2826" ht="15.75" customHeight="1">
      <c r="A2826" s="3" t="s">
        <v>12</v>
      </c>
      <c r="B2826" s="3" t="s">
        <v>359</v>
      </c>
      <c r="C2826" s="3" t="s">
        <v>8056</v>
      </c>
      <c r="D2826" s="8" t="str">
        <f t="shared" si="1"/>
        <v>Abrir anúncio ↗</v>
      </c>
      <c r="E2826" s="9" t="s">
        <v>8055</v>
      </c>
      <c r="F2826" s="3" t="s">
        <v>29</v>
      </c>
      <c r="G2826" s="9" t="s">
        <v>9253</v>
      </c>
      <c r="H2826" s="9" t="s">
        <v>9254</v>
      </c>
      <c r="I2826" s="3"/>
      <c r="J2826" s="3"/>
      <c r="K2826" s="9"/>
    </row>
    <row r="2827" ht="15.75" customHeight="1">
      <c r="A2827" s="10" t="s">
        <v>12</v>
      </c>
      <c r="B2827" s="10" t="s">
        <v>359</v>
      </c>
      <c r="C2827" s="10" t="s">
        <v>8564</v>
      </c>
      <c r="D2827" s="11" t="str">
        <f t="shared" si="1"/>
        <v>Abrir anúncio ↗</v>
      </c>
      <c r="E2827" s="12" t="s">
        <v>8562</v>
      </c>
      <c r="F2827" s="10" t="s">
        <v>29</v>
      </c>
      <c r="G2827" s="12" t="s">
        <v>9253</v>
      </c>
      <c r="H2827" s="12" t="s">
        <v>9254</v>
      </c>
      <c r="I2827" s="10"/>
      <c r="J2827" s="10"/>
      <c r="K2827" s="12"/>
    </row>
    <row r="2828" ht="15.75" customHeight="1">
      <c r="A2828" s="3" t="s">
        <v>12</v>
      </c>
      <c r="B2828" s="3" t="s">
        <v>359</v>
      </c>
      <c r="C2828" s="3" t="s">
        <v>11294</v>
      </c>
      <c r="D2828" s="8" t="str">
        <f t="shared" si="1"/>
        <v>Abrir anúncio ↗</v>
      </c>
      <c r="E2828" s="9" t="s">
        <v>11295</v>
      </c>
      <c r="F2828" s="3" t="s">
        <v>29</v>
      </c>
      <c r="G2828" s="9" t="s">
        <v>4918</v>
      </c>
      <c r="H2828" s="9" t="s">
        <v>4919</v>
      </c>
      <c r="I2828" s="3"/>
      <c r="J2828" s="3"/>
      <c r="K2828" s="9"/>
    </row>
    <row r="2829" ht="15.75" customHeight="1">
      <c r="A2829" s="10" t="s">
        <v>12</v>
      </c>
      <c r="B2829" s="10" t="s">
        <v>359</v>
      </c>
      <c r="C2829" s="10" t="s">
        <v>11296</v>
      </c>
      <c r="D2829" s="11" t="str">
        <f t="shared" si="1"/>
        <v>Abrir anúncio ↗</v>
      </c>
      <c r="E2829" s="12" t="s">
        <v>11297</v>
      </c>
      <c r="F2829" s="10" t="s">
        <v>29</v>
      </c>
      <c r="G2829" s="12" t="s">
        <v>4918</v>
      </c>
      <c r="H2829" s="12" t="s">
        <v>4919</v>
      </c>
      <c r="I2829" s="10"/>
      <c r="J2829" s="10"/>
      <c r="K2829" s="12"/>
    </row>
    <row r="2830" ht="15.75" customHeight="1">
      <c r="A2830" s="3" t="s">
        <v>12</v>
      </c>
      <c r="B2830" s="3" t="s">
        <v>359</v>
      </c>
      <c r="C2830" s="3" t="s">
        <v>8376</v>
      </c>
      <c r="D2830" s="8" t="str">
        <f t="shared" si="1"/>
        <v>Abrir anúncio ↗</v>
      </c>
      <c r="E2830" s="9" t="s">
        <v>8375</v>
      </c>
      <c r="F2830" s="3" t="s">
        <v>29</v>
      </c>
      <c r="G2830" s="9" t="s">
        <v>4918</v>
      </c>
      <c r="H2830" s="9" t="s">
        <v>4919</v>
      </c>
      <c r="I2830" s="3"/>
      <c r="J2830" s="3"/>
      <c r="K2830" s="9"/>
    </row>
    <row r="2831" ht="15.75" customHeight="1">
      <c r="A2831" s="10" t="s">
        <v>12</v>
      </c>
      <c r="B2831" s="10" t="s">
        <v>359</v>
      </c>
      <c r="C2831" s="10" t="s">
        <v>8587</v>
      </c>
      <c r="D2831" s="11" t="str">
        <f t="shared" si="1"/>
        <v>Abrir anúncio ↗</v>
      </c>
      <c r="E2831" s="12" t="s">
        <v>8584</v>
      </c>
      <c r="F2831" s="10" t="s">
        <v>29</v>
      </c>
      <c r="G2831" s="12" t="s">
        <v>9253</v>
      </c>
      <c r="H2831" s="12" t="s">
        <v>9254</v>
      </c>
      <c r="I2831" s="10"/>
      <c r="J2831" s="10"/>
      <c r="K2831" s="12"/>
    </row>
    <row r="2832" ht="15.75" customHeight="1">
      <c r="A2832" s="3" t="s">
        <v>12</v>
      </c>
      <c r="B2832" s="3" t="s">
        <v>359</v>
      </c>
      <c r="C2832" s="3" t="s">
        <v>8200</v>
      </c>
      <c r="D2832" s="8" t="str">
        <f t="shared" si="1"/>
        <v>Abrir anúncio ↗</v>
      </c>
      <c r="E2832" s="9" t="s">
        <v>8197</v>
      </c>
      <c r="F2832" s="3" t="s">
        <v>29</v>
      </c>
      <c r="G2832" s="9" t="s">
        <v>9253</v>
      </c>
      <c r="H2832" s="9" t="s">
        <v>9254</v>
      </c>
      <c r="I2832" s="3"/>
      <c r="J2832" s="3"/>
      <c r="K2832" s="9"/>
    </row>
    <row r="2833" ht="15.75" customHeight="1">
      <c r="A2833" s="10" t="s">
        <v>12</v>
      </c>
      <c r="B2833" s="10" t="s">
        <v>359</v>
      </c>
      <c r="C2833" s="10" t="s">
        <v>7299</v>
      </c>
      <c r="D2833" s="11" t="str">
        <f t="shared" si="1"/>
        <v>Abrir anúncio ↗</v>
      </c>
      <c r="E2833" s="12" t="s">
        <v>7295</v>
      </c>
      <c r="F2833" s="10" t="s">
        <v>29</v>
      </c>
      <c r="G2833" s="12" t="s">
        <v>9253</v>
      </c>
      <c r="H2833" s="12" t="s">
        <v>9254</v>
      </c>
      <c r="I2833" s="10"/>
      <c r="J2833" s="10"/>
      <c r="K2833" s="12"/>
    </row>
    <row r="2834" ht="15.75" customHeight="1">
      <c r="A2834" s="3" t="s">
        <v>12</v>
      </c>
      <c r="B2834" s="3" t="s">
        <v>359</v>
      </c>
      <c r="C2834" s="3" t="s">
        <v>8666</v>
      </c>
      <c r="D2834" s="8" t="str">
        <f t="shared" si="1"/>
        <v>Abrir anúncio ↗</v>
      </c>
      <c r="E2834" s="9" t="s">
        <v>8663</v>
      </c>
      <c r="F2834" s="3" t="s">
        <v>29</v>
      </c>
      <c r="G2834" s="9" t="s">
        <v>4918</v>
      </c>
      <c r="H2834" s="9" t="s">
        <v>4919</v>
      </c>
      <c r="I2834" s="3"/>
      <c r="J2834" s="3"/>
      <c r="K2834" s="9"/>
    </row>
    <row r="2835" ht="15.75" customHeight="1">
      <c r="A2835" s="10" t="s">
        <v>12</v>
      </c>
      <c r="B2835" s="10" t="s">
        <v>359</v>
      </c>
      <c r="C2835" s="10" t="s">
        <v>8242</v>
      </c>
      <c r="D2835" s="11" t="str">
        <f t="shared" si="1"/>
        <v>Abrir anúncio ↗</v>
      </c>
      <c r="E2835" s="12" t="s">
        <v>3753</v>
      </c>
      <c r="F2835" s="10" t="s">
        <v>29</v>
      </c>
      <c r="G2835" s="12" t="s">
        <v>4918</v>
      </c>
      <c r="H2835" s="12" t="s">
        <v>4919</v>
      </c>
      <c r="I2835" s="10"/>
      <c r="J2835" s="10"/>
      <c r="K2835" s="12"/>
    </row>
    <row r="2836" ht="15.75" customHeight="1">
      <c r="A2836" s="3" t="s">
        <v>12</v>
      </c>
      <c r="B2836" s="3" t="s">
        <v>359</v>
      </c>
      <c r="C2836" s="3" t="s">
        <v>11298</v>
      </c>
      <c r="D2836" s="8" t="str">
        <f t="shared" si="1"/>
        <v>Abrir anúncio ↗</v>
      </c>
      <c r="E2836" s="9" t="s">
        <v>11299</v>
      </c>
      <c r="F2836" s="3" t="s">
        <v>29</v>
      </c>
      <c r="G2836" s="9" t="s">
        <v>4918</v>
      </c>
      <c r="H2836" s="9" t="s">
        <v>4919</v>
      </c>
      <c r="I2836" s="3"/>
      <c r="J2836" s="3"/>
      <c r="K2836" s="9"/>
    </row>
    <row r="2837" ht="15.75" customHeight="1">
      <c r="A2837" s="10" t="s">
        <v>12</v>
      </c>
      <c r="B2837" s="10" t="s">
        <v>359</v>
      </c>
      <c r="C2837" s="10" t="s">
        <v>8633</v>
      </c>
      <c r="D2837" s="11" t="str">
        <f t="shared" si="1"/>
        <v>Abrir anúncio ↗</v>
      </c>
      <c r="E2837" s="12" t="s">
        <v>8630</v>
      </c>
      <c r="F2837" s="10" t="s">
        <v>29</v>
      </c>
      <c r="G2837" s="12" t="s">
        <v>4918</v>
      </c>
      <c r="H2837" s="12" t="s">
        <v>4919</v>
      </c>
      <c r="I2837" s="10"/>
      <c r="J2837" s="10"/>
      <c r="K2837" s="12"/>
    </row>
    <row r="2838" ht="15.75" customHeight="1">
      <c r="A2838" s="3" t="s">
        <v>12</v>
      </c>
      <c r="B2838" s="3" t="s">
        <v>359</v>
      </c>
      <c r="C2838" s="3" t="s">
        <v>8639</v>
      </c>
      <c r="D2838" s="8" t="str">
        <f t="shared" si="1"/>
        <v>Abrir anúncio ↗</v>
      </c>
      <c r="E2838" s="9" t="s">
        <v>8636</v>
      </c>
      <c r="F2838" s="3" t="s">
        <v>29</v>
      </c>
      <c r="G2838" s="9" t="s">
        <v>4918</v>
      </c>
      <c r="H2838" s="9" t="s">
        <v>4919</v>
      </c>
      <c r="I2838" s="3"/>
      <c r="J2838" s="3"/>
      <c r="K2838" s="9"/>
    </row>
    <row r="2839" ht="15.75" customHeight="1">
      <c r="A2839" s="10" t="s">
        <v>12</v>
      </c>
      <c r="B2839" s="10" t="s">
        <v>359</v>
      </c>
      <c r="C2839" s="10" t="s">
        <v>8515</v>
      </c>
      <c r="D2839" s="11" t="str">
        <f t="shared" si="1"/>
        <v>Abrir anúncio ↗</v>
      </c>
      <c r="E2839" s="12" t="s">
        <v>2503</v>
      </c>
      <c r="F2839" s="10" t="s">
        <v>29</v>
      </c>
      <c r="G2839" s="12" t="s">
        <v>5013</v>
      </c>
      <c r="H2839" s="12" t="s">
        <v>5015</v>
      </c>
      <c r="I2839" s="10"/>
      <c r="J2839" s="10"/>
      <c r="K2839" s="12"/>
    </row>
    <row r="2840" ht="15.75" customHeight="1">
      <c r="A2840" s="3" t="s">
        <v>12</v>
      </c>
      <c r="B2840" s="3" t="s">
        <v>359</v>
      </c>
      <c r="C2840" s="3" t="s">
        <v>11300</v>
      </c>
      <c r="D2840" s="8" t="str">
        <f t="shared" si="1"/>
        <v>Abrir anúncio ↗</v>
      </c>
      <c r="E2840" s="9" t="s">
        <v>11301</v>
      </c>
      <c r="F2840" s="3" t="s">
        <v>29</v>
      </c>
      <c r="G2840" s="9" t="s">
        <v>4918</v>
      </c>
      <c r="H2840" s="9" t="s">
        <v>4919</v>
      </c>
      <c r="I2840" s="3"/>
      <c r="J2840" s="3"/>
      <c r="K2840" s="9"/>
    </row>
    <row r="2841" ht="15.75" customHeight="1">
      <c r="A2841" s="10" t="s">
        <v>12</v>
      </c>
      <c r="B2841" s="10" t="s">
        <v>359</v>
      </c>
      <c r="C2841" s="10" t="s">
        <v>11302</v>
      </c>
      <c r="D2841" s="11" t="str">
        <f t="shared" si="1"/>
        <v>Abrir anúncio ↗</v>
      </c>
      <c r="E2841" s="12" t="s">
        <v>11303</v>
      </c>
      <c r="F2841" s="10" t="s">
        <v>29</v>
      </c>
      <c r="G2841" s="12" t="s">
        <v>4918</v>
      </c>
      <c r="H2841" s="12" t="s">
        <v>4919</v>
      </c>
      <c r="I2841" s="10"/>
      <c r="J2841" s="10"/>
      <c r="K2841" s="12"/>
    </row>
    <row r="2842" ht="15.75" customHeight="1">
      <c r="A2842" s="3" t="s">
        <v>12</v>
      </c>
      <c r="B2842" s="3" t="s">
        <v>359</v>
      </c>
      <c r="C2842" s="3" t="s">
        <v>11304</v>
      </c>
      <c r="D2842" s="8" t="str">
        <f t="shared" si="1"/>
        <v>Abrir anúncio ↗</v>
      </c>
      <c r="E2842" s="9" t="s">
        <v>11305</v>
      </c>
      <c r="F2842" s="3" t="s">
        <v>29</v>
      </c>
      <c r="G2842" s="9" t="s">
        <v>4918</v>
      </c>
      <c r="H2842" s="9" t="s">
        <v>4919</v>
      </c>
      <c r="I2842" s="3"/>
      <c r="J2842" s="3"/>
      <c r="K2842" s="9"/>
    </row>
    <row r="2843" ht="15.75" customHeight="1">
      <c r="A2843" s="10" t="s">
        <v>12</v>
      </c>
      <c r="B2843" s="10" t="s">
        <v>359</v>
      </c>
      <c r="C2843" s="10" t="s">
        <v>11306</v>
      </c>
      <c r="D2843" s="11" t="str">
        <f t="shared" si="1"/>
        <v>Abrir anúncio ↗</v>
      </c>
      <c r="E2843" s="12" t="s">
        <v>11307</v>
      </c>
      <c r="F2843" s="10" t="s">
        <v>29</v>
      </c>
      <c r="G2843" s="12" t="s">
        <v>4918</v>
      </c>
      <c r="H2843" s="12" t="s">
        <v>4919</v>
      </c>
      <c r="I2843" s="10"/>
      <c r="J2843" s="10"/>
      <c r="K2843" s="12"/>
    </row>
    <row r="2844" ht="15.75" customHeight="1">
      <c r="A2844" s="3" t="s">
        <v>12</v>
      </c>
      <c r="B2844" s="3" t="s">
        <v>359</v>
      </c>
      <c r="C2844" s="3" t="s">
        <v>11308</v>
      </c>
      <c r="D2844" s="8" t="str">
        <f t="shared" si="1"/>
        <v>Abrir anúncio ↗</v>
      </c>
      <c r="E2844" s="9" t="s">
        <v>11309</v>
      </c>
      <c r="F2844" s="3" t="s">
        <v>29</v>
      </c>
      <c r="G2844" s="9" t="s">
        <v>4918</v>
      </c>
      <c r="H2844" s="9" t="s">
        <v>4919</v>
      </c>
      <c r="I2844" s="3"/>
      <c r="J2844" s="3"/>
      <c r="K2844" s="9"/>
    </row>
    <row r="2845" ht="15.75" customHeight="1">
      <c r="A2845" s="10" t="s">
        <v>12</v>
      </c>
      <c r="B2845" s="10" t="s">
        <v>359</v>
      </c>
      <c r="C2845" s="10" t="s">
        <v>6476</v>
      </c>
      <c r="D2845" s="11" t="str">
        <f t="shared" si="1"/>
        <v>Abrir anúncio ↗</v>
      </c>
      <c r="E2845" s="12" t="s">
        <v>6474</v>
      </c>
      <c r="F2845" s="10" t="s">
        <v>29</v>
      </c>
      <c r="G2845" s="12" t="s">
        <v>4918</v>
      </c>
      <c r="H2845" s="12" t="s">
        <v>4919</v>
      </c>
      <c r="I2845" s="10"/>
      <c r="J2845" s="10"/>
      <c r="K2845" s="12"/>
    </row>
    <row r="2846" ht="15.75" customHeight="1">
      <c r="A2846" s="3" t="s">
        <v>12</v>
      </c>
      <c r="B2846" s="3" t="s">
        <v>359</v>
      </c>
      <c r="C2846" s="3" t="s">
        <v>7892</v>
      </c>
      <c r="D2846" s="8" t="str">
        <f t="shared" si="1"/>
        <v>Abrir anúncio ↗</v>
      </c>
      <c r="E2846" s="9" t="s">
        <v>7889</v>
      </c>
      <c r="F2846" s="3" t="s">
        <v>29</v>
      </c>
      <c r="G2846" s="9" t="s">
        <v>4918</v>
      </c>
      <c r="H2846" s="9" t="s">
        <v>4919</v>
      </c>
      <c r="I2846" s="3"/>
      <c r="J2846" s="3"/>
      <c r="K2846" s="9"/>
    </row>
    <row r="2847" ht="15.75" customHeight="1">
      <c r="A2847" s="10" t="s">
        <v>12</v>
      </c>
      <c r="B2847" s="10" t="s">
        <v>359</v>
      </c>
      <c r="C2847" s="10" t="s">
        <v>6822</v>
      </c>
      <c r="D2847" s="11" t="str">
        <f t="shared" si="1"/>
        <v>Abrir anúncio ↗</v>
      </c>
      <c r="E2847" s="12" t="s">
        <v>6821</v>
      </c>
      <c r="F2847" s="10" t="s">
        <v>29</v>
      </c>
      <c r="G2847" s="12" t="s">
        <v>4918</v>
      </c>
      <c r="H2847" s="12" t="s">
        <v>4919</v>
      </c>
      <c r="I2847" s="10"/>
      <c r="J2847" s="10"/>
      <c r="K2847" s="12"/>
    </row>
    <row r="2848" ht="15.75" customHeight="1">
      <c r="A2848" s="3" t="s">
        <v>12</v>
      </c>
      <c r="B2848" s="3" t="s">
        <v>359</v>
      </c>
      <c r="C2848" s="3" t="s">
        <v>11310</v>
      </c>
      <c r="D2848" s="8" t="str">
        <f t="shared" si="1"/>
        <v>Abrir anúncio ↗</v>
      </c>
      <c r="E2848" s="9" t="s">
        <v>11311</v>
      </c>
      <c r="F2848" s="3" t="s">
        <v>29</v>
      </c>
      <c r="G2848" s="9" t="s">
        <v>4918</v>
      </c>
      <c r="H2848" s="9" t="s">
        <v>4919</v>
      </c>
      <c r="I2848" s="3"/>
      <c r="J2848" s="3"/>
      <c r="K2848" s="9"/>
    </row>
    <row r="2849" ht="15.75" customHeight="1">
      <c r="A2849" s="10" t="s">
        <v>12</v>
      </c>
      <c r="B2849" s="10" t="s">
        <v>359</v>
      </c>
      <c r="C2849" s="10" t="s">
        <v>7167</v>
      </c>
      <c r="D2849" s="11" t="str">
        <f t="shared" si="1"/>
        <v>Abrir anúncio ↗</v>
      </c>
      <c r="E2849" s="12" t="s">
        <v>7165</v>
      </c>
      <c r="F2849" s="10" t="s">
        <v>29</v>
      </c>
      <c r="G2849" s="12" t="s">
        <v>4918</v>
      </c>
      <c r="H2849" s="12" t="s">
        <v>4919</v>
      </c>
      <c r="I2849" s="10"/>
      <c r="J2849" s="10"/>
      <c r="K2849" s="12"/>
    </row>
    <row r="2850" ht="15.75" customHeight="1">
      <c r="A2850" s="3" t="s">
        <v>12</v>
      </c>
      <c r="B2850" s="3" t="s">
        <v>359</v>
      </c>
      <c r="C2850" s="3" t="s">
        <v>6849</v>
      </c>
      <c r="D2850" s="8" t="str">
        <f t="shared" si="1"/>
        <v>Abrir anúncio ↗</v>
      </c>
      <c r="E2850" s="9" t="s">
        <v>6847</v>
      </c>
      <c r="F2850" s="3" t="s">
        <v>29</v>
      </c>
      <c r="G2850" s="9" t="s">
        <v>4918</v>
      </c>
      <c r="H2850" s="9" t="s">
        <v>4919</v>
      </c>
      <c r="I2850" s="3"/>
      <c r="J2850" s="3"/>
      <c r="K2850" s="9"/>
    </row>
    <row r="2851" ht="15.75" customHeight="1">
      <c r="A2851" s="10" t="s">
        <v>12</v>
      </c>
      <c r="B2851" s="10" t="s">
        <v>359</v>
      </c>
      <c r="C2851" s="10" t="s">
        <v>11312</v>
      </c>
      <c r="D2851" s="11" t="str">
        <f t="shared" si="1"/>
        <v>Abrir anúncio ↗</v>
      </c>
      <c r="E2851" s="12" t="s">
        <v>11313</v>
      </c>
      <c r="F2851" s="10" t="s">
        <v>29</v>
      </c>
      <c r="G2851" s="12" t="s">
        <v>4918</v>
      </c>
      <c r="H2851" s="12" t="s">
        <v>4919</v>
      </c>
      <c r="I2851" s="10"/>
      <c r="J2851" s="10"/>
      <c r="K2851" s="12"/>
    </row>
    <row r="2852" ht="15.75" customHeight="1">
      <c r="A2852" s="3" t="s">
        <v>12</v>
      </c>
      <c r="B2852" s="3" t="s">
        <v>359</v>
      </c>
      <c r="C2852" s="3" t="s">
        <v>11314</v>
      </c>
      <c r="D2852" s="8" t="str">
        <f t="shared" si="1"/>
        <v>Abrir anúncio ↗</v>
      </c>
      <c r="E2852" s="9" t="s">
        <v>11315</v>
      </c>
      <c r="F2852" s="3" t="s">
        <v>29</v>
      </c>
      <c r="G2852" s="9" t="s">
        <v>9514</v>
      </c>
      <c r="H2852" s="9" t="s">
        <v>9515</v>
      </c>
      <c r="I2852" s="3"/>
      <c r="J2852" s="3"/>
      <c r="K2852" s="9"/>
    </row>
    <row r="2853" ht="15.75" customHeight="1">
      <c r="A2853" s="10" t="s">
        <v>12</v>
      </c>
      <c r="B2853" s="10" t="s">
        <v>359</v>
      </c>
      <c r="C2853" s="10" t="s">
        <v>11316</v>
      </c>
      <c r="D2853" s="11" t="str">
        <f t="shared" si="1"/>
        <v>Abrir anúncio ↗</v>
      </c>
      <c r="E2853" s="12" t="s">
        <v>11317</v>
      </c>
      <c r="F2853" s="10" t="s">
        <v>29</v>
      </c>
      <c r="G2853" s="12" t="s">
        <v>4918</v>
      </c>
      <c r="H2853" s="12" t="s">
        <v>4919</v>
      </c>
      <c r="I2853" s="10"/>
      <c r="J2853" s="10"/>
      <c r="K2853" s="12"/>
    </row>
    <row r="2854" ht="15.75" customHeight="1">
      <c r="A2854" s="3" t="s">
        <v>12</v>
      </c>
      <c r="B2854" s="3" t="s">
        <v>359</v>
      </c>
      <c r="C2854" s="3" t="s">
        <v>6694</v>
      </c>
      <c r="D2854" s="8" t="str">
        <f t="shared" si="1"/>
        <v>Abrir anúncio ↗</v>
      </c>
      <c r="E2854" s="9" t="s">
        <v>6693</v>
      </c>
      <c r="F2854" s="3" t="s">
        <v>29</v>
      </c>
      <c r="G2854" s="9" t="s">
        <v>4918</v>
      </c>
      <c r="H2854" s="9" t="s">
        <v>4919</v>
      </c>
      <c r="I2854" s="3"/>
      <c r="J2854" s="3"/>
      <c r="K2854" s="9"/>
    </row>
    <row r="2855" ht="15.75" customHeight="1">
      <c r="A2855" s="10" t="s">
        <v>12</v>
      </c>
      <c r="B2855" s="10" t="s">
        <v>359</v>
      </c>
      <c r="C2855" s="10" t="s">
        <v>11318</v>
      </c>
      <c r="D2855" s="11" t="str">
        <f t="shared" si="1"/>
        <v>Abrir anúncio ↗</v>
      </c>
      <c r="E2855" s="12" t="s">
        <v>11319</v>
      </c>
      <c r="F2855" s="10" t="s">
        <v>29</v>
      </c>
      <c r="G2855" s="12" t="s">
        <v>4918</v>
      </c>
      <c r="H2855" s="12" t="s">
        <v>4919</v>
      </c>
      <c r="I2855" s="10"/>
      <c r="J2855" s="10"/>
      <c r="K2855" s="12"/>
    </row>
    <row r="2856" ht="15.75" customHeight="1">
      <c r="A2856" s="3" t="s">
        <v>12</v>
      </c>
      <c r="B2856" s="3" t="s">
        <v>359</v>
      </c>
      <c r="C2856" s="3" t="s">
        <v>11320</v>
      </c>
      <c r="D2856" s="8" t="str">
        <f t="shared" si="1"/>
        <v>Abrir anúncio ↗</v>
      </c>
      <c r="E2856" s="9" t="s">
        <v>11321</v>
      </c>
      <c r="F2856" s="3" t="s">
        <v>29</v>
      </c>
      <c r="G2856" s="9" t="s">
        <v>4918</v>
      </c>
      <c r="H2856" s="9" t="s">
        <v>4919</v>
      </c>
      <c r="I2856" s="3"/>
      <c r="J2856" s="3"/>
      <c r="K2856" s="9"/>
    </row>
    <row r="2857" ht="15.75" customHeight="1">
      <c r="A2857" s="10" t="s">
        <v>12</v>
      </c>
      <c r="B2857" s="10" t="s">
        <v>359</v>
      </c>
      <c r="C2857" s="10" t="s">
        <v>8384</v>
      </c>
      <c r="D2857" s="11" t="str">
        <f t="shared" si="1"/>
        <v>Abrir anúncio ↗</v>
      </c>
      <c r="E2857" s="12" t="s">
        <v>7853</v>
      </c>
      <c r="F2857" s="10" t="s">
        <v>29</v>
      </c>
      <c r="G2857" s="12" t="s">
        <v>4918</v>
      </c>
      <c r="H2857" s="12" t="s">
        <v>4919</v>
      </c>
      <c r="I2857" s="10"/>
      <c r="J2857" s="10"/>
      <c r="K2857" s="12"/>
    </row>
    <row r="2858" ht="15.75" customHeight="1">
      <c r="A2858" s="3" t="s">
        <v>12</v>
      </c>
      <c r="B2858" s="3" t="s">
        <v>359</v>
      </c>
      <c r="C2858" s="3" t="s">
        <v>8917</v>
      </c>
      <c r="D2858" s="8" t="str">
        <f t="shared" si="1"/>
        <v>Abrir anúncio ↗</v>
      </c>
      <c r="E2858" s="9" t="s">
        <v>8916</v>
      </c>
      <c r="F2858" s="3" t="s">
        <v>29</v>
      </c>
      <c r="G2858" s="9" t="s">
        <v>4918</v>
      </c>
      <c r="H2858" s="9" t="s">
        <v>4919</v>
      </c>
      <c r="I2858" s="3"/>
      <c r="J2858" s="3"/>
      <c r="K2858" s="9"/>
    </row>
    <row r="2859" ht="15.75" customHeight="1">
      <c r="A2859" s="10" t="s">
        <v>12</v>
      </c>
      <c r="B2859" s="10" t="s">
        <v>359</v>
      </c>
      <c r="C2859" s="10" t="s">
        <v>8923</v>
      </c>
      <c r="D2859" s="11" t="str">
        <f t="shared" si="1"/>
        <v>Abrir anúncio ↗</v>
      </c>
      <c r="E2859" s="12" t="s">
        <v>7855</v>
      </c>
      <c r="F2859" s="10" t="s">
        <v>29</v>
      </c>
      <c r="G2859" s="12" t="s">
        <v>4918</v>
      </c>
      <c r="H2859" s="12" t="s">
        <v>4919</v>
      </c>
      <c r="I2859" s="10"/>
      <c r="J2859" s="10"/>
      <c r="K2859" s="12"/>
    </row>
    <row r="2860" ht="15.75" customHeight="1">
      <c r="A2860" s="3" t="s">
        <v>12</v>
      </c>
      <c r="B2860" s="3" t="s">
        <v>359</v>
      </c>
      <c r="C2860" s="3" t="s">
        <v>7872</v>
      </c>
      <c r="D2860" s="8" t="str">
        <f t="shared" si="1"/>
        <v>Abrir anúncio ↗</v>
      </c>
      <c r="E2860" s="9" t="s">
        <v>7851</v>
      </c>
      <c r="F2860" s="3" t="s">
        <v>29</v>
      </c>
      <c r="G2860" s="9" t="s">
        <v>4918</v>
      </c>
      <c r="H2860" s="9" t="s">
        <v>4919</v>
      </c>
      <c r="I2860" s="3"/>
      <c r="J2860" s="3"/>
      <c r="K2860" s="9"/>
    </row>
    <row r="2861" ht="15.75" customHeight="1">
      <c r="A2861" s="10" t="s">
        <v>12</v>
      </c>
      <c r="B2861" s="10" t="s">
        <v>359</v>
      </c>
      <c r="C2861" s="10" t="s">
        <v>8927</v>
      </c>
      <c r="D2861" s="11" t="str">
        <f t="shared" si="1"/>
        <v>Abrir anúncio ↗</v>
      </c>
      <c r="E2861" s="12" t="s">
        <v>8926</v>
      </c>
      <c r="F2861" s="10" t="s">
        <v>29</v>
      </c>
      <c r="G2861" s="12" t="s">
        <v>4918</v>
      </c>
      <c r="H2861" s="12" t="s">
        <v>4919</v>
      </c>
      <c r="I2861" s="10"/>
      <c r="J2861" s="10"/>
      <c r="K2861" s="12"/>
    </row>
    <row r="2862" ht="15.75" customHeight="1">
      <c r="A2862" s="3" t="s">
        <v>12</v>
      </c>
      <c r="B2862" s="3" t="s">
        <v>359</v>
      </c>
      <c r="C2862" s="3" t="s">
        <v>8390</v>
      </c>
      <c r="D2862" s="8" t="str">
        <f t="shared" si="1"/>
        <v>Abrir anúncio ↗</v>
      </c>
      <c r="E2862" s="9" t="s">
        <v>8389</v>
      </c>
      <c r="F2862" s="3" t="s">
        <v>29</v>
      </c>
      <c r="G2862" s="9" t="s">
        <v>4918</v>
      </c>
      <c r="H2862" s="9" t="s">
        <v>4919</v>
      </c>
      <c r="I2862" s="3"/>
      <c r="J2862" s="3"/>
      <c r="K2862" s="9"/>
    </row>
    <row r="2863" ht="15.75" customHeight="1">
      <c r="A2863" s="10" t="s">
        <v>12</v>
      </c>
      <c r="B2863" s="10" t="s">
        <v>359</v>
      </c>
      <c r="C2863" s="10" t="s">
        <v>8403</v>
      </c>
      <c r="D2863" s="11" t="str">
        <f t="shared" si="1"/>
        <v>Abrir anúncio ↗</v>
      </c>
      <c r="E2863" s="12" t="s">
        <v>8399</v>
      </c>
      <c r="F2863" s="10" t="s">
        <v>29</v>
      </c>
      <c r="G2863" s="12" t="s">
        <v>4918</v>
      </c>
      <c r="H2863" s="12" t="s">
        <v>4919</v>
      </c>
      <c r="I2863" s="10"/>
      <c r="J2863" s="10"/>
      <c r="K2863" s="12"/>
    </row>
    <row r="2864" ht="15.75" customHeight="1">
      <c r="A2864" s="3" t="s">
        <v>12</v>
      </c>
      <c r="B2864" s="3" t="s">
        <v>359</v>
      </c>
      <c r="C2864" s="3" t="s">
        <v>8395</v>
      </c>
      <c r="D2864" s="8" t="str">
        <f t="shared" si="1"/>
        <v>Abrir anúncio ↗</v>
      </c>
      <c r="E2864" s="9" t="s">
        <v>8394</v>
      </c>
      <c r="F2864" s="3" t="s">
        <v>29</v>
      </c>
      <c r="G2864" s="9" t="s">
        <v>4918</v>
      </c>
      <c r="H2864" s="9" t="s">
        <v>4919</v>
      </c>
      <c r="I2864" s="3"/>
      <c r="J2864" s="3"/>
      <c r="K2864" s="9"/>
    </row>
    <row r="2865" ht="15.75" customHeight="1">
      <c r="A2865" s="10" t="s">
        <v>12</v>
      </c>
      <c r="B2865" s="10" t="s">
        <v>359</v>
      </c>
      <c r="C2865" s="10" t="s">
        <v>7902</v>
      </c>
      <c r="D2865" s="11" t="str">
        <f t="shared" si="1"/>
        <v>Abrir anúncio ↗</v>
      </c>
      <c r="E2865" s="12" t="s">
        <v>7898</v>
      </c>
      <c r="F2865" s="10" t="s">
        <v>29</v>
      </c>
      <c r="G2865" s="12" t="s">
        <v>9253</v>
      </c>
      <c r="H2865" s="12" t="s">
        <v>9254</v>
      </c>
      <c r="I2865" s="10"/>
      <c r="J2865" s="10"/>
      <c r="K2865" s="12"/>
    </row>
    <row r="2866" ht="15.75" customHeight="1">
      <c r="A2866" s="3" t="s">
        <v>12</v>
      </c>
      <c r="B2866" s="3" t="s">
        <v>359</v>
      </c>
      <c r="C2866" s="3" t="s">
        <v>11322</v>
      </c>
      <c r="D2866" s="8" t="str">
        <f t="shared" si="1"/>
        <v>Abrir anúncio ↗</v>
      </c>
      <c r="E2866" s="9" t="s">
        <v>11323</v>
      </c>
      <c r="F2866" s="3" t="s">
        <v>29</v>
      </c>
      <c r="G2866" s="9" t="s">
        <v>9253</v>
      </c>
      <c r="H2866" s="9" t="s">
        <v>9254</v>
      </c>
      <c r="I2866" s="3"/>
      <c r="J2866" s="3"/>
      <c r="K2866" s="9"/>
    </row>
    <row r="2867" ht="15.75" customHeight="1">
      <c r="A2867" s="10" t="s">
        <v>12</v>
      </c>
      <c r="B2867" s="10" t="s">
        <v>359</v>
      </c>
      <c r="C2867" s="10" t="s">
        <v>8392</v>
      </c>
      <c r="D2867" s="11" t="str">
        <f t="shared" si="1"/>
        <v>Abrir anúncio ↗</v>
      </c>
      <c r="E2867" s="12" t="s">
        <v>8389</v>
      </c>
      <c r="F2867" s="10" t="s">
        <v>29</v>
      </c>
      <c r="G2867" s="12" t="s">
        <v>4918</v>
      </c>
      <c r="H2867" s="12" t="s">
        <v>4919</v>
      </c>
      <c r="I2867" s="10"/>
      <c r="J2867" s="10"/>
      <c r="K2867" s="12"/>
    </row>
    <row r="2868" ht="15.75" customHeight="1">
      <c r="A2868" s="3" t="s">
        <v>12</v>
      </c>
      <c r="B2868" s="3" t="s">
        <v>359</v>
      </c>
      <c r="C2868" s="3" t="s">
        <v>8920</v>
      </c>
      <c r="D2868" s="8" t="str">
        <f t="shared" si="1"/>
        <v>Abrir anúncio ↗</v>
      </c>
      <c r="E2868" s="9" t="s">
        <v>8916</v>
      </c>
      <c r="F2868" s="3" t="s">
        <v>29</v>
      </c>
      <c r="G2868" s="9" t="s">
        <v>4918</v>
      </c>
      <c r="H2868" s="9" t="s">
        <v>4919</v>
      </c>
      <c r="I2868" s="3"/>
      <c r="J2868" s="3"/>
      <c r="K2868" s="9"/>
    </row>
    <row r="2869" ht="15.75" customHeight="1">
      <c r="A2869" s="10" t="s">
        <v>12</v>
      </c>
      <c r="B2869" s="10" t="s">
        <v>359</v>
      </c>
      <c r="C2869" s="10" t="s">
        <v>8400</v>
      </c>
      <c r="D2869" s="11" t="str">
        <f t="shared" si="1"/>
        <v>Abrir anúncio ↗</v>
      </c>
      <c r="E2869" s="12" t="s">
        <v>8399</v>
      </c>
      <c r="F2869" s="10" t="s">
        <v>29</v>
      </c>
      <c r="G2869" s="12" t="s">
        <v>4918</v>
      </c>
      <c r="H2869" s="12" t="s">
        <v>4919</v>
      </c>
      <c r="I2869" s="10"/>
      <c r="J2869" s="10"/>
      <c r="K2869" s="12"/>
    </row>
    <row r="2870" ht="15.75" customHeight="1">
      <c r="A2870" s="3" t="s">
        <v>12</v>
      </c>
      <c r="B2870" s="3" t="s">
        <v>359</v>
      </c>
      <c r="C2870" s="3" t="s">
        <v>8938</v>
      </c>
      <c r="D2870" s="8" t="str">
        <f t="shared" si="1"/>
        <v>Abrir anúncio ↗</v>
      </c>
      <c r="E2870" s="9" t="s">
        <v>8937</v>
      </c>
      <c r="F2870" s="3" t="s">
        <v>29</v>
      </c>
      <c r="G2870" s="9" t="s">
        <v>4918</v>
      </c>
      <c r="H2870" s="9" t="s">
        <v>4919</v>
      </c>
      <c r="I2870" s="3"/>
      <c r="J2870" s="3"/>
      <c r="K2870" s="9"/>
    </row>
    <row r="2871" ht="15.75" customHeight="1">
      <c r="A2871" s="10" t="s">
        <v>12</v>
      </c>
      <c r="B2871" s="10" t="s">
        <v>359</v>
      </c>
      <c r="C2871" s="10" t="s">
        <v>11324</v>
      </c>
      <c r="D2871" s="11" t="str">
        <f t="shared" si="1"/>
        <v>Abrir anúncio ↗</v>
      </c>
      <c r="E2871" s="12" t="s">
        <v>11325</v>
      </c>
      <c r="F2871" s="10" t="s">
        <v>29</v>
      </c>
      <c r="G2871" s="12" t="s">
        <v>9514</v>
      </c>
      <c r="H2871" s="12" t="s">
        <v>9515</v>
      </c>
      <c r="I2871" s="10"/>
      <c r="J2871" s="10"/>
      <c r="K2871" s="12"/>
    </row>
    <row r="2872" ht="15.75" customHeight="1">
      <c r="A2872" s="3" t="s">
        <v>12</v>
      </c>
      <c r="B2872" s="3" t="s">
        <v>359</v>
      </c>
      <c r="C2872" s="3" t="s">
        <v>11326</v>
      </c>
      <c r="D2872" s="8" t="str">
        <f t="shared" si="1"/>
        <v>Abrir anúncio ↗</v>
      </c>
      <c r="E2872" s="9" t="s">
        <v>11327</v>
      </c>
      <c r="F2872" s="3" t="s">
        <v>29</v>
      </c>
      <c r="G2872" s="9" t="s">
        <v>9514</v>
      </c>
      <c r="H2872" s="9" t="s">
        <v>9515</v>
      </c>
      <c r="I2872" s="3"/>
      <c r="J2872" s="3"/>
      <c r="K2872" s="9"/>
    </row>
    <row r="2873" ht="15.75" customHeight="1">
      <c r="A2873" s="10" t="s">
        <v>12</v>
      </c>
      <c r="B2873" s="10" t="s">
        <v>359</v>
      </c>
      <c r="C2873" s="10" t="s">
        <v>11328</v>
      </c>
      <c r="D2873" s="11" t="str">
        <f t="shared" si="1"/>
        <v>Abrir anúncio ↗</v>
      </c>
      <c r="E2873" s="12" t="s">
        <v>11329</v>
      </c>
      <c r="F2873" s="10" t="s">
        <v>29</v>
      </c>
      <c r="G2873" s="12" t="s">
        <v>9514</v>
      </c>
      <c r="H2873" s="12" t="s">
        <v>9515</v>
      </c>
      <c r="I2873" s="10"/>
      <c r="J2873" s="10"/>
      <c r="K2873" s="12"/>
    </row>
    <row r="2874" ht="15.75" customHeight="1">
      <c r="A2874" s="3" t="s">
        <v>12</v>
      </c>
      <c r="B2874" s="3" t="s">
        <v>359</v>
      </c>
      <c r="C2874" s="3" t="s">
        <v>11330</v>
      </c>
      <c r="D2874" s="8" t="str">
        <f t="shared" si="1"/>
        <v>Abrir anúncio ↗</v>
      </c>
      <c r="E2874" s="9" t="s">
        <v>11331</v>
      </c>
      <c r="F2874" s="3" t="s">
        <v>29</v>
      </c>
      <c r="G2874" s="9" t="s">
        <v>9514</v>
      </c>
      <c r="H2874" s="9" t="s">
        <v>9515</v>
      </c>
      <c r="I2874" s="3"/>
      <c r="J2874" s="3"/>
      <c r="K2874" s="9"/>
    </row>
    <row r="2875" ht="15.75" customHeight="1">
      <c r="A2875" s="10" t="s">
        <v>12</v>
      </c>
      <c r="B2875" s="10" t="s">
        <v>359</v>
      </c>
      <c r="C2875" s="10" t="s">
        <v>11332</v>
      </c>
      <c r="D2875" s="11" t="str">
        <f t="shared" si="1"/>
        <v>Abrir anúncio ↗</v>
      </c>
      <c r="E2875" s="12" t="s">
        <v>11333</v>
      </c>
      <c r="F2875" s="10" t="s">
        <v>29</v>
      </c>
      <c r="G2875" s="12" t="s">
        <v>9514</v>
      </c>
      <c r="H2875" s="12" t="s">
        <v>9515</v>
      </c>
      <c r="I2875" s="10"/>
      <c r="J2875" s="10"/>
      <c r="K2875" s="12"/>
    </row>
    <row r="2876" ht="15.75" customHeight="1">
      <c r="A2876" s="3" t="s">
        <v>12</v>
      </c>
      <c r="B2876" s="3" t="s">
        <v>359</v>
      </c>
      <c r="C2876" s="3" t="s">
        <v>11334</v>
      </c>
      <c r="D2876" s="8" t="str">
        <f t="shared" si="1"/>
        <v>Abrir anúncio ↗</v>
      </c>
      <c r="E2876" s="9" t="s">
        <v>11335</v>
      </c>
      <c r="F2876" s="3" t="s">
        <v>29</v>
      </c>
      <c r="G2876" s="9" t="s">
        <v>9514</v>
      </c>
      <c r="H2876" s="9" t="s">
        <v>9515</v>
      </c>
      <c r="I2876" s="3"/>
      <c r="J2876" s="3"/>
      <c r="K2876" s="9"/>
    </row>
    <row r="2877" ht="15.75" customHeight="1">
      <c r="A2877" s="10" t="s">
        <v>12</v>
      </c>
      <c r="B2877" s="10" t="s">
        <v>359</v>
      </c>
      <c r="C2877" s="10" t="s">
        <v>11336</v>
      </c>
      <c r="D2877" s="11" t="str">
        <f t="shared" si="1"/>
        <v>Abrir anúncio ↗</v>
      </c>
      <c r="E2877" s="12" t="s">
        <v>11337</v>
      </c>
      <c r="F2877" s="10" t="s">
        <v>29</v>
      </c>
      <c r="G2877" s="12" t="s">
        <v>9514</v>
      </c>
      <c r="H2877" s="12" t="s">
        <v>9515</v>
      </c>
      <c r="I2877" s="10"/>
      <c r="J2877" s="10"/>
      <c r="K2877" s="12"/>
    </row>
    <row r="2878" ht="15.75" customHeight="1">
      <c r="A2878" s="3" t="s">
        <v>12</v>
      </c>
      <c r="B2878" s="3" t="s">
        <v>359</v>
      </c>
      <c r="C2878" s="3" t="s">
        <v>11338</v>
      </c>
      <c r="D2878" s="8" t="str">
        <f t="shared" si="1"/>
        <v>Abrir anúncio ↗</v>
      </c>
      <c r="E2878" s="9" t="s">
        <v>11339</v>
      </c>
      <c r="F2878" s="3" t="s">
        <v>29</v>
      </c>
      <c r="G2878" s="9" t="s">
        <v>9514</v>
      </c>
      <c r="H2878" s="9" t="s">
        <v>9515</v>
      </c>
      <c r="I2878" s="3"/>
      <c r="J2878" s="3"/>
      <c r="K2878" s="9"/>
    </row>
    <row r="2879" ht="15.75" customHeight="1">
      <c r="A2879" s="10" t="s">
        <v>12</v>
      </c>
      <c r="B2879" s="10" t="s">
        <v>359</v>
      </c>
      <c r="C2879" s="10" t="s">
        <v>11340</v>
      </c>
      <c r="D2879" s="11" t="str">
        <f t="shared" si="1"/>
        <v>Abrir anúncio ↗</v>
      </c>
      <c r="E2879" s="12" t="s">
        <v>11341</v>
      </c>
      <c r="F2879" s="10" t="s">
        <v>29</v>
      </c>
      <c r="G2879" s="12" t="s">
        <v>9514</v>
      </c>
      <c r="H2879" s="12" t="s">
        <v>9515</v>
      </c>
      <c r="I2879" s="10"/>
      <c r="J2879" s="10"/>
      <c r="K2879" s="12"/>
    </row>
    <row r="2880" ht="15.75" customHeight="1">
      <c r="A2880" s="3" t="s">
        <v>12</v>
      </c>
      <c r="B2880" s="3" t="s">
        <v>359</v>
      </c>
      <c r="C2880" s="3" t="s">
        <v>11342</v>
      </c>
      <c r="D2880" s="8" t="str">
        <f t="shared" si="1"/>
        <v>Abrir anúncio ↗</v>
      </c>
      <c r="E2880" s="9" t="s">
        <v>11343</v>
      </c>
      <c r="F2880" s="3" t="s">
        <v>29</v>
      </c>
      <c r="G2880" s="9" t="s">
        <v>4918</v>
      </c>
      <c r="H2880" s="9" t="s">
        <v>4919</v>
      </c>
      <c r="I2880" s="3"/>
      <c r="J2880" s="3"/>
      <c r="K2880" s="9"/>
    </row>
    <row r="2881" ht="15.75" customHeight="1">
      <c r="A2881" s="10" t="s">
        <v>12</v>
      </c>
      <c r="B2881" s="10" t="s">
        <v>359</v>
      </c>
      <c r="C2881" s="10" t="s">
        <v>8142</v>
      </c>
      <c r="D2881" s="11" t="str">
        <f t="shared" si="1"/>
        <v>Abrir anúncio ↗</v>
      </c>
      <c r="E2881" s="12" t="s">
        <v>8137</v>
      </c>
      <c r="F2881" s="10" t="s">
        <v>29</v>
      </c>
      <c r="G2881" s="12" t="s">
        <v>4918</v>
      </c>
      <c r="H2881" s="12" t="s">
        <v>4919</v>
      </c>
      <c r="I2881" s="10"/>
      <c r="J2881" s="10"/>
      <c r="K2881" s="12"/>
    </row>
    <row r="2882" ht="15.75" customHeight="1">
      <c r="A2882" s="3" t="s">
        <v>12</v>
      </c>
      <c r="B2882" s="3" t="s">
        <v>359</v>
      </c>
      <c r="C2882" s="3" t="s">
        <v>7508</v>
      </c>
      <c r="D2882" s="8" t="str">
        <f t="shared" si="1"/>
        <v>Abrir anúncio ↗</v>
      </c>
      <c r="E2882" s="9" t="s">
        <v>7507</v>
      </c>
      <c r="F2882" s="3" t="s">
        <v>29</v>
      </c>
      <c r="G2882" s="9" t="s">
        <v>4918</v>
      </c>
      <c r="H2882" s="9" t="s">
        <v>4919</v>
      </c>
      <c r="I2882" s="3"/>
      <c r="J2882" s="3"/>
      <c r="K2882" s="9"/>
    </row>
    <row r="2883" ht="15.75" customHeight="1">
      <c r="A2883" s="10" t="s">
        <v>12</v>
      </c>
      <c r="B2883" s="10" t="s">
        <v>359</v>
      </c>
      <c r="C2883" s="10" t="s">
        <v>11344</v>
      </c>
      <c r="D2883" s="11" t="str">
        <f t="shared" si="1"/>
        <v>Abrir anúncio ↗</v>
      </c>
      <c r="E2883" s="12" t="s">
        <v>11345</v>
      </c>
      <c r="F2883" s="10" t="s">
        <v>29</v>
      </c>
      <c r="G2883" s="12" t="s">
        <v>4918</v>
      </c>
      <c r="H2883" s="12" t="s">
        <v>4919</v>
      </c>
      <c r="I2883" s="10"/>
      <c r="J2883" s="10"/>
      <c r="K2883" s="12"/>
    </row>
    <row r="2884" ht="15.75" customHeight="1">
      <c r="A2884" s="3" t="s">
        <v>12</v>
      </c>
      <c r="B2884" s="3" t="s">
        <v>359</v>
      </c>
      <c r="C2884" s="3" t="s">
        <v>11346</v>
      </c>
      <c r="D2884" s="8" t="str">
        <f t="shared" si="1"/>
        <v>Abrir anúncio ↗</v>
      </c>
      <c r="E2884" s="9" t="s">
        <v>11347</v>
      </c>
      <c r="F2884" s="3" t="s">
        <v>86</v>
      </c>
      <c r="G2884" s="9" t="s">
        <v>9514</v>
      </c>
      <c r="H2884" s="9" t="s">
        <v>9515</v>
      </c>
      <c r="I2884" s="3"/>
      <c r="J2884" s="3"/>
      <c r="K2884" s="9"/>
    </row>
    <row r="2885" ht="15.75" customHeight="1">
      <c r="A2885" s="10" t="s">
        <v>12</v>
      </c>
      <c r="B2885" s="10" t="s">
        <v>359</v>
      </c>
      <c r="C2885" s="10" t="s">
        <v>11348</v>
      </c>
      <c r="D2885" s="11" t="str">
        <f t="shared" si="1"/>
        <v>Abrir anúncio ↗</v>
      </c>
      <c r="E2885" s="12" t="s">
        <v>11349</v>
      </c>
      <c r="F2885" s="10" t="s">
        <v>86</v>
      </c>
      <c r="G2885" s="12" t="s">
        <v>9514</v>
      </c>
      <c r="H2885" s="12" t="s">
        <v>9515</v>
      </c>
      <c r="I2885" s="10"/>
      <c r="J2885" s="10"/>
      <c r="K2885" s="12"/>
    </row>
    <row r="2886" ht="15.75" customHeight="1">
      <c r="A2886" s="3" t="s">
        <v>12</v>
      </c>
      <c r="B2886" s="3" t="s">
        <v>359</v>
      </c>
      <c r="C2886" s="3" t="s">
        <v>11350</v>
      </c>
      <c r="D2886" s="8" t="str">
        <f t="shared" si="1"/>
        <v>Abrir anúncio ↗</v>
      </c>
      <c r="E2886" s="9" t="s">
        <v>11351</v>
      </c>
      <c r="F2886" s="3" t="s">
        <v>86</v>
      </c>
      <c r="G2886" s="9" t="s">
        <v>5013</v>
      </c>
      <c r="H2886" s="9" t="s">
        <v>5015</v>
      </c>
      <c r="I2886" s="3"/>
      <c r="J2886" s="3"/>
      <c r="K2886" s="9"/>
    </row>
    <row r="2887" ht="15.75" customHeight="1">
      <c r="A2887" s="10" t="s">
        <v>12</v>
      </c>
      <c r="B2887" s="10" t="s">
        <v>359</v>
      </c>
      <c r="C2887" s="10" t="s">
        <v>11352</v>
      </c>
      <c r="D2887" s="11" t="str">
        <f t="shared" si="1"/>
        <v>Abrir anúncio ↗</v>
      </c>
      <c r="E2887" s="12" t="s">
        <v>11353</v>
      </c>
      <c r="F2887" s="10" t="s">
        <v>86</v>
      </c>
      <c r="G2887" s="12" t="s">
        <v>9514</v>
      </c>
      <c r="H2887" s="12" t="s">
        <v>9515</v>
      </c>
      <c r="I2887" s="10"/>
      <c r="J2887" s="10"/>
      <c r="K2887" s="12"/>
    </row>
    <row r="2888" ht="15.75" customHeight="1">
      <c r="A2888" s="3" t="s">
        <v>12</v>
      </c>
      <c r="B2888" s="3" t="s">
        <v>359</v>
      </c>
      <c r="C2888" s="3" t="s">
        <v>11354</v>
      </c>
      <c r="D2888" s="8" t="str">
        <f t="shared" si="1"/>
        <v>Abrir anúncio ↗</v>
      </c>
      <c r="E2888" s="9" t="s">
        <v>11355</v>
      </c>
      <c r="F2888" s="3" t="s">
        <v>29</v>
      </c>
      <c r="G2888" s="9" t="s">
        <v>9253</v>
      </c>
      <c r="H2888" s="9" t="s">
        <v>9254</v>
      </c>
      <c r="I2888" s="3"/>
      <c r="J2888" s="3"/>
      <c r="K2888" s="9"/>
    </row>
    <row r="2889" ht="15.75" customHeight="1">
      <c r="A2889" s="10" t="s">
        <v>12</v>
      </c>
      <c r="B2889" s="10" t="s">
        <v>359</v>
      </c>
      <c r="C2889" s="10" t="s">
        <v>11356</v>
      </c>
      <c r="D2889" s="11" t="str">
        <f t="shared" si="1"/>
        <v>Abrir anúncio ↗</v>
      </c>
      <c r="E2889" s="12" t="s">
        <v>11357</v>
      </c>
      <c r="F2889" s="10" t="s">
        <v>29</v>
      </c>
      <c r="G2889" s="12" t="s">
        <v>9514</v>
      </c>
      <c r="H2889" s="12" t="s">
        <v>9515</v>
      </c>
      <c r="I2889" s="10"/>
      <c r="J2889" s="10"/>
      <c r="K2889" s="12"/>
    </row>
    <row r="2890" ht="15.75" customHeight="1">
      <c r="A2890" s="3" t="s">
        <v>12</v>
      </c>
      <c r="B2890" s="3" t="s">
        <v>359</v>
      </c>
      <c r="C2890" s="3" t="s">
        <v>11358</v>
      </c>
      <c r="D2890" s="8" t="str">
        <f t="shared" si="1"/>
        <v>Abrir anúncio ↗</v>
      </c>
      <c r="E2890" s="9" t="s">
        <v>11359</v>
      </c>
      <c r="F2890" s="3" t="s">
        <v>86</v>
      </c>
      <c r="G2890" s="9" t="s">
        <v>9253</v>
      </c>
      <c r="H2890" s="9" t="s">
        <v>9254</v>
      </c>
      <c r="I2890" s="3"/>
      <c r="J2890" s="3"/>
      <c r="K2890" s="9"/>
    </row>
    <row r="2891" ht="15.75" customHeight="1">
      <c r="A2891" s="10" t="s">
        <v>12</v>
      </c>
      <c r="B2891" s="10" t="s">
        <v>359</v>
      </c>
      <c r="C2891" s="10" t="s">
        <v>11360</v>
      </c>
      <c r="D2891" s="11" t="str">
        <f t="shared" si="1"/>
        <v>Abrir anúncio ↗</v>
      </c>
      <c r="E2891" s="12" t="s">
        <v>11361</v>
      </c>
      <c r="F2891" s="10" t="s">
        <v>86</v>
      </c>
      <c r="G2891" s="12" t="s">
        <v>9514</v>
      </c>
      <c r="H2891" s="12" t="s">
        <v>9515</v>
      </c>
      <c r="I2891" s="10"/>
      <c r="J2891" s="10"/>
      <c r="K2891" s="12"/>
    </row>
    <row r="2892" ht="15.75" customHeight="1">
      <c r="A2892" s="3" t="s">
        <v>12</v>
      </c>
      <c r="B2892" s="3" t="s">
        <v>359</v>
      </c>
      <c r="C2892" s="3" t="s">
        <v>11362</v>
      </c>
      <c r="D2892" s="8" t="str">
        <f t="shared" si="1"/>
        <v>Abrir anúncio ↗</v>
      </c>
      <c r="E2892" s="9" t="s">
        <v>11363</v>
      </c>
      <c r="F2892" s="3" t="s">
        <v>86</v>
      </c>
      <c r="G2892" s="9" t="s">
        <v>9514</v>
      </c>
      <c r="H2892" s="9" t="s">
        <v>9515</v>
      </c>
      <c r="I2892" s="3"/>
      <c r="J2892" s="3"/>
      <c r="K2892" s="9"/>
    </row>
    <row r="2893" ht="15.75" customHeight="1">
      <c r="A2893" s="10" t="s">
        <v>12</v>
      </c>
      <c r="B2893" s="10" t="s">
        <v>359</v>
      </c>
      <c r="C2893" s="10" t="s">
        <v>11364</v>
      </c>
      <c r="D2893" s="11" t="str">
        <f t="shared" si="1"/>
        <v>Abrir anúncio ↗</v>
      </c>
      <c r="E2893" s="12" t="s">
        <v>11365</v>
      </c>
      <c r="F2893" s="10" t="s">
        <v>29</v>
      </c>
      <c r="G2893" s="12" t="s">
        <v>4918</v>
      </c>
      <c r="H2893" s="12" t="s">
        <v>4919</v>
      </c>
      <c r="I2893" s="10"/>
      <c r="J2893" s="10"/>
      <c r="K2893" s="12"/>
    </row>
    <row r="2894" ht="15.75" customHeight="1">
      <c r="A2894" s="3" t="s">
        <v>12</v>
      </c>
      <c r="B2894" s="3" t="s">
        <v>359</v>
      </c>
      <c r="C2894" s="3" t="s">
        <v>11366</v>
      </c>
      <c r="D2894" s="8" t="str">
        <f t="shared" si="1"/>
        <v>Abrir anúncio ↗</v>
      </c>
      <c r="E2894" s="9" t="s">
        <v>11367</v>
      </c>
      <c r="F2894" s="3" t="s">
        <v>29</v>
      </c>
      <c r="G2894" s="9" t="s">
        <v>9253</v>
      </c>
      <c r="H2894" s="9" t="s">
        <v>9254</v>
      </c>
      <c r="I2894" s="3"/>
      <c r="J2894" s="3"/>
      <c r="K2894" s="9"/>
    </row>
    <row r="2895" ht="15.75" customHeight="1">
      <c r="A2895" s="10" t="s">
        <v>12</v>
      </c>
      <c r="B2895" s="10" t="s">
        <v>359</v>
      </c>
      <c r="C2895" s="10" t="s">
        <v>11368</v>
      </c>
      <c r="D2895" s="11" t="str">
        <f t="shared" si="1"/>
        <v>Abrir anúncio ↗</v>
      </c>
      <c r="E2895" s="12" t="s">
        <v>11369</v>
      </c>
      <c r="F2895" s="10" t="s">
        <v>86</v>
      </c>
      <c r="G2895" s="12" t="s">
        <v>9514</v>
      </c>
      <c r="H2895" s="12" t="s">
        <v>9515</v>
      </c>
      <c r="I2895" s="10"/>
      <c r="J2895" s="10"/>
      <c r="K2895" s="12"/>
    </row>
    <row r="2896" ht="15.75" customHeight="1">
      <c r="A2896" s="3" t="s">
        <v>12</v>
      </c>
      <c r="B2896" s="3" t="s">
        <v>359</v>
      </c>
      <c r="C2896" s="3" t="s">
        <v>11370</v>
      </c>
      <c r="D2896" s="8" t="str">
        <f t="shared" si="1"/>
        <v>Abrir anúncio ↗</v>
      </c>
      <c r="E2896" s="9" t="s">
        <v>11371</v>
      </c>
      <c r="F2896" s="3" t="s">
        <v>86</v>
      </c>
      <c r="G2896" s="9" t="s">
        <v>9514</v>
      </c>
      <c r="H2896" s="9" t="s">
        <v>9515</v>
      </c>
      <c r="I2896" s="3"/>
      <c r="J2896" s="3"/>
      <c r="K2896" s="9"/>
    </row>
    <row r="2897" ht="15.75" customHeight="1">
      <c r="A2897" s="10" t="s">
        <v>12</v>
      </c>
      <c r="B2897" s="10" t="s">
        <v>359</v>
      </c>
      <c r="C2897" s="10" t="s">
        <v>11372</v>
      </c>
      <c r="D2897" s="11" t="str">
        <f t="shared" si="1"/>
        <v>Abrir anúncio ↗</v>
      </c>
      <c r="E2897" s="12" t="s">
        <v>11373</v>
      </c>
      <c r="F2897" s="10" t="s">
        <v>29</v>
      </c>
      <c r="G2897" s="12" t="s">
        <v>5013</v>
      </c>
      <c r="H2897" s="12" t="s">
        <v>5015</v>
      </c>
      <c r="I2897" s="10"/>
      <c r="J2897" s="10"/>
      <c r="K2897" s="12"/>
    </row>
    <row r="2898" ht="15.75" customHeight="1">
      <c r="A2898" s="3" t="s">
        <v>12</v>
      </c>
      <c r="B2898" s="3" t="s">
        <v>359</v>
      </c>
      <c r="C2898" s="3" t="s">
        <v>11374</v>
      </c>
      <c r="D2898" s="8" t="str">
        <f t="shared" si="1"/>
        <v>Abrir anúncio ↗</v>
      </c>
      <c r="E2898" s="9" t="s">
        <v>11375</v>
      </c>
      <c r="F2898" s="3" t="s">
        <v>29</v>
      </c>
      <c r="G2898" s="9" t="s">
        <v>9253</v>
      </c>
      <c r="H2898" s="9" t="s">
        <v>9254</v>
      </c>
      <c r="I2898" s="3"/>
      <c r="J2898" s="3"/>
      <c r="K2898" s="9"/>
    </row>
    <row r="2899" ht="15.75" customHeight="1">
      <c r="A2899" s="10" t="s">
        <v>12</v>
      </c>
      <c r="B2899" s="10" t="s">
        <v>359</v>
      </c>
      <c r="C2899" s="10" t="s">
        <v>11376</v>
      </c>
      <c r="D2899" s="11" t="str">
        <f t="shared" si="1"/>
        <v>Abrir anúncio ↗</v>
      </c>
      <c r="E2899" s="12" t="s">
        <v>11377</v>
      </c>
      <c r="F2899" s="10" t="s">
        <v>86</v>
      </c>
      <c r="G2899" s="12" t="s">
        <v>9514</v>
      </c>
      <c r="H2899" s="12" t="s">
        <v>9515</v>
      </c>
      <c r="I2899" s="10"/>
      <c r="J2899" s="10"/>
      <c r="K2899" s="12"/>
    </row>
    <row r="2900" ht="15.75" customHeight="1">
      <c r="A2900" s="3" t="s">
        <v>12</v>
      </c>
      <c r="B2900" s="3" t="s">
        <v>359</v>
      </c>
      <c r="C2900" s="3" t="s">
        <v>11378</v>
      </c>
      <c r="D2900" s="8" t="str">
        <f t="shared" si="1"/>
        <v>Abrir anúncio ↗</v>
      </c>
      <c r="E2900" s="9" t="s">
        <v>11379</v>
      </c>
      <c r="F2900" s="3" t="s">
        <v>86</v>
      </c>
      <c r="G2900" s="9" t="s">
        <v>9514</v>
      </c>
      <c r="H2900" s="9" t="s">
        <v>9515</v>
      </c>
      <c r="I2900" s="3"/>
      <c r="J2900" s="3"/>
      <c r="K2900" s="9"/>
    </row>
    <row r="2901" ht="15.75" customHeight="1">
      <c r="A2901" s="10" t="s">
        <v>12</v>
      </c>
      <c r="B2901" s="10" t="s">
        <v>359</v>
      </c>
      <c r="C2901" s="10" t="s">
        <v>11380</v>
      </c>
      <c r="D2901" s="11" t="str">
        <f t="shared" si="1"/>
        <v>Abrir anúncio ↗</v>
      </c>
      <c r="E2901" s="12" t="s">
        <v>11381</v>
      </c>
      <c r="F2901" s="10" t="s">
        <v>86</v>
      </c>
      <c r="G2901" s="12" t="s">
        <v>9514</v>
      </c>
      <c r="H2901" s="12" t="s">
        <v>9515</v>
      </c>
      <c r="I2901" s="10"/>
      <c r="J2901" s="10"/>
      <c r="K2901" s="12"/>
    </row>
    <row r="2902" ht="15.75" customHeight="1">
      <c r="A2902" s="3" t="s">
        <v>12</v>
      </c>
      <c r="B2902" s="3" t="s">
        <v>359</v>
      </c>
      <c r="C2902" s="3" t="s">
        <v>11382</v>
      </c>
      <c r="D2902" s="8" t="str">
        <f t="shared" si="1"/>
        <v>Abrir anúncio ↗</v>
      </c>
      <c r="E2902" s="9" t="s">
        <v>11383</v>
      </c>
      <c r="F2902" s="3" t="s">
        <v>86</v>
      </c>
      <c r="G2902" s="9" t="s">
        <v>5013</v>
      </c>
      <c r="H2902" s="9" t="s">
        <v>5015</v>
      </c>
      <c r="I2902" s="3"/>
      <c r="J2902" s="3"/>
      <c r="K2902" s="9"/>
    </row>
    <row r="2903" ht="15.75" customHeight="1">
      <c r="A2903" s="10" t="s">
        <v>12</v>
      </c>
      <c r="B2903" s="10" t="s">
        <v>359</v>
      </c>
      <c r="C2903" s="10" t="s">
        <v>11384</v>
      </c>
      <c r="D2903" s="11" t="str">
        <f t="shared" si="1"/>
        <v>Abrir anúncio ↗</v>
      </c>
      <c r="E2903" s="12" t="s">
        <v>11385</v>
      </c>
      <c r="F2903" s="10" t="s">
        <v>86</v>
      </c>
      <c r="G2903" s="12" t="s">
        <v>9514</v>
      </c>
      <c r="H2903" s="12" t="s">
        <v>9515</v>
      </c>
      <c r="I2903" s="10"/>
      <c r="J2903" s="10"/>
      <c r="K2903" s="12"/>
    </row>
    <row r="2904" ht="15.75" customHeight="1">
      <c r="A2904" s="3" t="s">
        <v>12</v>
      </c>
      <c r="B2904" s="3" t="s">
        <v>359</v>
      </c>
      <c r="C2904" s="3" t="s">
        <v>11386</v>
      </c>
      <c r="D2904" s="8" t="str">
        <f t="shared" si="1"/>
        <v>Abrir anúncio ↗</v>
      </c>
      <c r="E2904" s="9" t="s">
        <v>11387</v>
      </c>
      <c r="F2904" s="3" t="s">
        <v>86</v>
      </c>
      <c r="G2904" s="9" t="s">
        <v>9514</v>
      </c>
      <c r="H2904" s="9" t="s">
        <v>9515</v>
      </c>
      <c r="I2904" s="3"/>
      <c r="J2904" s="3"/>
      <c r="K2904" s="9"/>
    </row>
    <row r="2905" ht="15.75" customHeight="1">
      <c r="A2905" s="10" t="s">
        <v>12</v>
      </c>
      <c r="B2905" s="10" t="s">
        <v>359</v>
      </c>
      <c r="C2905" s="10" t="s">
        <v>11388</v>
      </c>
      <c r="D2905" s="11" t="str">
        <f t="shared" si="1"/>
        <v>Abrir anúncio ↗</v>
      </c>
      <c r="E2905" s="12" t="s">
        <v>11389</v>
      </c>
      <c r="F2905" s="10" t="s">
        <v>86</v>
      </c>
      <c r="G2905" s="12" t="s">
        <v>9514</v>
      </c>
      <c r="H2905" s="12" t="s">
        <v>9515</v>
      </c>
      <c r="I2905" s="10"/>
      <c r="J2905" s="10"/>
      <c r="K2905" s="12"/>
    </row>
    <row r="2906" ht="15.75" customHeight="1">
      <c r="A2906" s="3" t="s">
        <v>12</v>
      </c>
      <c r="B2906" s="3" t="s">
        <v>359</v>
      </c>
      <c r="C2906" s="3" t="s">
        <v>11390</v>
      </c>
      <c r="D2906" s="8" t="str">
        <f t="shared" si="1"/>
        <v>Abrir anúncio ↗</v>
      </c>
      <c r="E2906" s="9" t="s">
        <v>11391</v>
      </c>
      <c r="F2906" s="3" t="s">
        <v>29</v>
      </c>
      <c r="G2906" s="9" t="s">
        <v>9253</v>
      </c>
      <c r="H2906" s="9" t="s">
        <v>9254</v>
      </c>
      <c r="I2906" s="3"/>
      <c r="J2906" s="3"/>
      <c r="K2906" s="9"/>
    </row>
    <row r="2907" ht="15.75" customHeight="1">
      <c r="A2907" s="10" t="s">
        <v>12</v>
      </c>
      <c r="B2907" s="10" t="s">
        <v>359</v>
      </c>
      <c r="C2907" s="10" t="s">
        <v>11392</v>
      </c>
      <c r="D2907" s="11" t="str">
        <f t="shared" si="1"/>
        <v>Abrir anúncio ↗</v>
      </c>
      <c r="E2907" s="12" t="s">
        <v>11393</v>
      </c>
      <c r="F2907" s="10" t="s">
        <v>86</v>
      </c>
      <c r="G2907" s="12" t="s">
        <v>5013</v>
      </c>
      <c r="H2907" s="12" t="s">
        <v>5015</v>
      </c>
      <c r="I2907" s="10"/>
      <c r="J2907" s="10"/>
      <c r="K2907" s="12"/>
    </row>
    <row r="2908" ht="15.75" customHeight="1">
      <c r="A2908" s="3" t="s">
        <v>12</v>
      </c>
      <c r="B2908" s="3" t="s">
        <v>359</v>
      </c>
      <c r="C2908" s="3" t="s">
        <v>11394</v>
      </c>
      <c r="D2908" s="8" t="str">
        <f t="shared" si="1"/>
        <v>Abrir anúncio ↗</v>
      </c>
      <c r="E2908" s="9" t="s">
        <v>11395</v>
      </c>
      <c r="F2908" s="3" t="s">
        <v>86</v>
      </c>
      <c r="G2908" s="9" t="s">
        <v>9514</v>
      </c>
      <c r="H2908" s="9" t="s">
        <v>9515</v>
      </c>
      <c r="I2908" s="3"/>
      <c r="J2908" s="3"/>
      <c r="K2908" s="9"/>
    </row>
    <row r="2909" ht="15.75" customHeight="1">
      <c r="A2909" s="10" t="s">
        <v>12</v>
      </c>
      <c r="B2909" s="10" t="s">
        <v>359</v>
      </c>
      <c r="C2909" s="10" t="s">
        <v>11396</v>
      </c>
      <c r="D2909" s="11" t="str">
        <f t="shared" si="1"/>
        <v>Abrir anúncio ↗</v>
      </c>
      <c r="E2909" s="12" t="s">
        <v>11397</v>
      </c>
      <c r="F2909" s="10" t="s">
        <v>86</v>
      </c>
      <c r="G2909" s="12" t="s">
        <v>9514</v>
      </c>
      <c r="H2909" s="12" t="s">
        <v>9515</v>
      </c>
      <c r="I2909" s="10"/>
      <c r="J2909" s="10"/>
      <c r="K2909" s="12"/>
    </row>
    <row r="2910" ht="15.75" customHeight="1">
      <c r="A2910" s="3" t="s">
        <v>12</v>
      </c>
      <c r="B2910" s="3" t="s">
        <v>359</v>
      </c>
      <c r="C2910" s="3" t="s">
        <v>11398</v>
      </c>
      <c r="D2910" s="8" t="str">
        <f t="shared" si="1"/>
        <v>Abrir anúncio ↗</v>
      </c>
      <c r="E2910" s="9" t="s">
        <v>11399</v>
      </c>
      <c r="F2910" s="3" t="s">
        <v>86</v>
      </c>
      <c r="G2910" s="9" t="s">
        <v>9514</v>
      </c>
      <c r="H2910" s="9" t="s">
        <v>9515</v>
      </c>
      <c r="I2910" s="3"/>
      <c r="J2910" s="3"/>
      <c r="K2910" s="9"/>
    </row>
    <row r="2911" ht="15.75" customHeight="1">
      <c r="A2911" s="10" t="s">
        <v>12</v>
      </c>
      <c r="B2911" s="10" t="s">
        <v>359</v>
      </c>
      <c r="C2911" s="10" t="s">
        <v>11400</v>
      </c>
      <c r="D2911" s="11" t="str">
        <f t="shared" si="1"/>
        <v>Abrir anúncio ↗</v>
      </c>
      <c r="E2911" s="12" t="s">
        <v>11401</v>
      </c>
      <c r="F2911" s="10" t="s">
        <v>86</v>
      </c>
      <c r="G2911" s="12" t="s">
        <v>9514</v>
      </c>
      <c r="H2911" s="12" t="s">
        <v>9515</v>
      </c>
      <c r="I2911" s="10"/>
      <c r="J2911" s="10"/>
      <c r="K2911" s="12"/>
    </row>
    <row r="2912" ht="15.75" customHeight="1">
      <c r="A2912" s="3" t="s">
        <v>12</v>
      </c>
      <c r="B2912" s="3" t="s">
        <v>359</v>
      </c>
      <c r="C2912" s="3" t="s">
        <v>11402</v>
      </c>
      <c r="D2912" s="8" t="str">
        <f t="shared" si="1"/>
        <v>Abrir anúncio ↗</v>
      </c>
      <c r="E2912" s="9" t="s">
        <v>11403</v>
      </c>
      <c r="F2912" s="3" t="s">
        <v>86</v>
      </c>
      <c r="G2912" s="9" t="s">
        <v>5013</v>
      </c>
      <c r="H2912" s="9" t="s">
        <v>5015</v>
      </c>
      <c r="I2912" s="3"/>
      <c r="J2912" s="3"/>
      <c r="K2912" s="9"/>
    </row>
    <row r="2913" ht="15.75" customHeight="1">
      <c r="A2913" s="10" t="s">
        <v>12</v>
      </c>
      <c r="B2913" s="10" t="s">
        <v>359</v>
      </c>
      <c r="C2913" s="10" t="s">
        <v>11404</v>
      </c>
      <c r="D2913" s="11" t="str">
        <f t="shared" si="1"/>
        <v>Abrir anúncio ↗</v>
      </c>
      <c r="E2913" s="12" t="s">
        <v>11405</v>
      </c>
      <c r="F2913" s="10" t="s">
        <v>86</v>
      </c>
      <c r="G2913" s="12" t="s">
        <v>9514</v>
      </c>
      <c r="H2913" s="12" t="s">
        <v>9515</v>
      </c>
      <c r="I2913" s="10"/>
      <c r="J2913" s="10"/>
      <c r="K2913" s="12"/>
    </row>
    <row r="2914" ht="15.75" customHeight="1">
      <c r="A2914" s="3" t="s">
        <v>12</v>
      </c>
      <c r="B2914" s="3" t="s">
        <v>359</v>
      </c>
      <c r="C2914" s="3" t="s">
        <v>11406</v>
      </c>
      <c r="D2914" s="8" t="str">
        <f t="shared" si="1"/>
        <v>Abrir anúncio ↗</v>
      </c>
      <c r="E2914" s="9" t="s">
        <v>11407</v>
      </c>
      <c r="F2914" s="3" t="s">
        <v>86</v>
      </c>
      <c r="G2914" s="9" t="s">
        <v>9514</v>
      </c>
      <c r="H2914" s="9" t="s">
        <v>9515</v>
      </c>
      <c r="I2914" s="3"/>
      <c r="J2914" s="3"/>
      <c r="K2914" s="9"/>
    </row>
    <row r="2915" ht="15.75" customHeight="1">
      <c r="A2915" s="10" t="s">
        <v>12</v>
      </c>
      <c r="B2915" s="10" t="s">
        <v>359</v>
      </c>
      <c r="C2915" s="10" t="s">
        <v>11408</v>
      </c>
      <c r="D2915" s="11" t="str">
        <f t="shared" si="1"/>
        <v>Abrir anúncio ↗</v>
      </c>
      <c r="E2915" s="12" t="s">
        <v>11409</v>
      </c>
      <c r="F2915" s="10" t="s">
        <v>86</v>
      </c>
      <c r="G2915" s="12" t="s">
        <v>9514</v>
      </c>
      <c r="H2915" s="12" t="s">
        <v>9515</v>
      </c>
      <c r="I2915" s="10"/>
      <c r="J2915" s="10"/>
      <c r="K2915" s="12"/>
    </row>
    <row r="2916" ht="15.75" customHeight="1">
      <c r="A2916" s="3" t="s">
        <v>12</v>
      </c>
      <c r="B2916" s="3" t="s">
        <v>359</v>
      </c>
      <c r="C2916" s="3" t="s">
        <v>11410</v>
      </c>
      <c r="D2916" s="8" t="str">
        <f t="shared" si="1"/>
        <v>Abrir anúncio ↗</v>
      </c>
      <c r="E2916" s="9" t="s">
        <v>11411</v>
      </c>
      <c r="F2916" s="3" t="s">
        <v>29</v>
      </c>
      <c r="G2916" s="9" t="s">
        <v>4918</v>
      </c>
      <c r="H2916" s="9" t="s">
        <v>4919</v>
      </c>
      <c r="I2916" s="3"/>
      <c r="J2916" s="3"/>
      <c r="K2916" s="9"/>
    </row>
    <row r="2917" ht="15.75" customHeight="1">
      <c r="A2917" s="10" t="s">
        <v>12</v>
      </c>
      <c r="B2917" s="10" t="s">
        <v>359</v>
      </c>
      <c r="C2917" s="10" t="s">
        <v>8888</v>
      </c>
      <c r="D2917" s="11" t="str">
        <f t="shared" si="1"/>
        <v>Abrir anúncio ↗</v>
      </c>
      <c r="E2917" s="12" t="s">
        <v>8884</v>
      </c>
      <c r="F2917" s="10" t="s">
        <v>29</v>
      </c>
      <c r="G2917" s="12" t="s">
        <v>4918</v>
      </c>
      <c r="H2917" s="12" t="s">
        <v>4919</v>
      </c>
      <c r="I2917" s="10"/>
      <c r="J2917" s="10"/>
      <c r="K2917" s="12"/>
    </row>
    <row r="2918" ht="15.75" customHeight="1">
      <c r="A2918" s="3" t="s">
        <v>12</v>
      </c>
      <c r="B2918" s="3" t="s">
        <v>359</v>
      </c>
      <c r="C2918" s="3" t="s">
        <v>8970</v>
      </c>
      <c r="D2918" s="8" t="str">
        <f t="shared" si="1"/>
        <v>Abrir anúncio ↗</v>
      </c>
      <c r="E2918" s="9" t="s">
        <v>8969</v>
      </c>
      <c r="F2918" s="3" t="s">
        <v>29</v>
      </c>
      <c r="G2918" s="9" t="s">
        <v>4918</v>
      </c>
      <c r="H2918" s="9" t="s">
        <v>4919</v>
      </c>
      <c r="I2918" s="3"/>
      <c r="J2918" s="3"/>
      <c r="K2918" s="9"/>
    </row>
    <row r="2919" ht="15.75" customHeight="1">
      <c r="A2919" s="10" t="s">
        <v>12</v>
      </c>
      <c r="B2919" s="10" t="s">
        <v>359</v>
      </c>
      <c r="C2919" s="10" t="s">
        <v>11412</v>
      </c>
      <c r="D2919" s="11" t="str">
        <f t="shared" si="1"/>
        <v>Abrir anúncio ↗</v>
      </c>
      <c r="E2919" s="12" t="s">
        <v>11413</v>
      </c>
      <c r="F2919" s="10" t="s">
        <v>29</v>
      </c>
      <c r="G2919" s="12" t="s">
        <v>4918</v>
      </c>
      <c r="H2919" s="12" t="s">
        <v>4919</v>
      </c>
      <c r="I2919" s="10"/>
      <c r="J2919" s="10"/>
      <c r="K2919" s="12"/>
    </row>
    <row r="2920" ht="15.75" customHeight="1">
      <c r="A2920" s="3" t="s">
        <v>12</v>
      </c>
      <c r="B2920" s="3" t="s">
        <v>359</v>
      </c>
      <c r="C2920" s="3" t="s">
        <v>11414</v>
      </c>
      <c r="D2920" s="8" t="str">
        <f t="shared" si="1"/>
        <v>Abrir anúncio ↗</v>
      </c>
      <c r="E2920" s="9" t="s">
        <v>11415</v>
      </c>
      <c r="F2920" s="3" t="s">
        <v>29</v>
      </c>
      <c r="G2920" s="9" t="s">
        <v>4918</v>
      </c>
      <c r="H2920" s="9" t="s">
        <v>4919</v>
      </c>
      <c r="I2920" s="3"/>
      <c r="J2920" s="3"/>
      <c r="K2920" s="9"/>
    </row>
    <row r="2921" ht="15.75" customHeight="1">
      <c r="A2921" s="10" t="s">
        <v>12</v>
      </c>
      <c r="B2921" s="10" t="s">
        <v>359</v>
      </c>
      <c r="C2921" s="10" t="s">
        <v>11416</v>
      </c>
      <c r="D2921" s="11" t="str">
        <f t="shared" si="1"/>
        <v>Abrir anúncio ↗</v>
      </c>
      <c r="E2921" s="12" t="s">
        <v>11417</v>
      </c>
      <c r="F2921" s="10" t="s">
        <v>29</v>
      </c>
      <c r="G2921" s="12" t="s">
        <v>4918</v>
      </c>
      <c r="H2921" s="12" t="s">
        <v>4919</v>
      </c>
      <c r="I2921" s="10"/>
      <c r="J2921" s="10"/>
      <c r="K2921" s="12"/>
    </row>
    <row r="2922" ht="15.75" customHeight="1">
      <c r="A2922" s="3" t="s">
        <v>12</v>
      </c>
      <c r="B2922" s="3" t="s">
        <v>359</v>
      </c>
      <c r="C2922" s="3" t="s">
        <v>8421</v>
      </c>
      <c r="D2922" s="8" t="str">
        <f t="shared" si="1"/>
        <v>Abrir anúncio ↗</v>
      </c>
      <c r="E2922" s="9" t="s">
        <v>8420</v>
      </c>
      <c r="F2922" s="3" t="s">
        <v>29</v>
      </c>
      <c r="G2922" s="9" t="s">
        <v>4918</v>
      </c>
      <c r="H2922" s="9" t="s">
        <v>4919</v>
      </c>
      <c r="I2922" s="3"/>
      <c r="J2922" s="3"/>
      <c r="K2922" s="9"/>
    </row>
    <row r="2923" ht="15.75" customHeight="1">
      <c r="A2923" s="10" t="s">
        <v>12</v>
      </c>
      <c r="B2923" s="10" t="s">
        <v>359</v>
      </c>
      <c r="C2923" s="10" t="s">
        <v>11418</v>
      </c>
      <c r="D2923" s="11" t="str">
        <f t="shared" si="1"/>
        <v>Abrir anúncio ↗</v>
      </c>
      <c r="E2923" s="12" t="s">
        <v>11419</v>
      </c>
      <c r="F2923" s="10" t="s">
        <v>29</v>
      </c>
      <c r="G2923" s="12" t="s">
        <v>4918</v>
      </c>
      <c r="H2923" s="12" t="s">
        <v>4919</v>
      </c>
      <c r="I2923" s="10"/>
      <c r="J2923" s="10"/>
      <c r="K2923" s="12"/>
    </row>
    <row r="2924" ht="15.75" customHeight="1">
      <c r="A2924" s="3" t="s">
        <v>12</v>
      </c>
      <c r="B2924" s="3" t="s">
        <v>359</v>
      </c>
      <c r="C2924" s="3" t="s">
        <v>11420</v>
      </c>
      <c r="D2924" s="8" t="str">
        <f t="shared" si="1"/>
        <v>Abrir anúncio ↗</v>
      </c>
      <c r="E2924" s="9" t="s">
        <v>11421</v>
      </c>
      <c r="F2924" s="3" t="s">
        <v>29</v>
      </c>
      <c r="G2924" s="9" t="s">
        <v>4918</v>
      </c>
      <c r="H2924" s="9" t="s">
        <v>4919</v>
      </c>
      <c r="I2924" s="3"/>
      <c r="J2924" s="3"/>
      <c r="K2924" s="9"/>
    </row>
    <row r="2925" ht="15.75" customHeight="1">
      <c r="A2925" s="10" t="s">
        <v>12</v>
      </c>
      <c r="B2925" s="10" t="s">
        <v>359</v>
      </c>
      <c r="C2925" s="10" t="s">
        <v>11422</v>
      </c>
      <c r="D2925" s="11" t="str">
        <f t="shared" si="1"/>
        <v>Abrir anúncio ↗</v>
      </c>
      <c r="E2925" s="12" t="s">
        <v>11423</v>
      </c>
      <c r="F2925" s="10" t="s">
        <v>29</v>
      </c>
      <c r="G2925" s="12" t="s">
        <v>4918</v>
      </c>
      <c r="H2925" s="12" t="s">
        <v>4919</v>
      </c>
      <c r="I2925" s="10"/>
      <c r="J2925" s="10"/>
      <c r="K2925" s="12"/>
    </row>
    <row r="2926" ht="15.75" customHeight="1">
      <c r="A2926" s="3" t="s">
        <v>12</v>
      </c>
      <c r="B2926" s="3" t="s">
        <v>359</v>
      </c>
      <c r="C2926" s="3" t="s">
        <v>11424</v>
      </c>
      <c r="D2926" s="8" t="str">
        <f t="shared" si="1"/>
        <v>Abrir anúncio ↗</v>
      </c>
      <c r="E2926" s="9" t="s">
        <v>11425</v>
      </c>
      <c r="F2926" s="3" t="s">
        <v>29</v>
      </c>
      <c r="G2926" s="9" t="s">
        <v>4918</v>
      </c>
      <c r="H2926" s="9" t="s">
        <v>4919</v>
      </c>
      <c r="I2926" s="3"/>
      <c r="J2926" s="3"/>
      <c r="K2926" s="9"/>
    </row>
    <row r="2927" ht="15.75" customHeight="1">
      <c r="A2927" s="10" t="s">
        <v>12</v>
      </c>
      <c r="B2927" s="10" t="s">
        <v>359</v>
      </c>
      <c r="C2927" s="10" t="s">
        <v>11426</v>
      </c>
      <c r="D2927" s="11" t="str">
        <f t="shared" si="1"/>
        <v>Abrir anúncio ↗</v>
      </c>
      <c r="E2927" s="12" t="s">
        <v>11427</v>
      </c>
      <c r="F2927" s="10" t="s">
        <v>29</v>
      </c>
      <c r="G2927" s="12" t="s">
        <v>4918</v>
      </c>
      <c r="H2927" s="12" t="s">
        <v>4919</v>
      </c>
      <c r="I2927" s="10"/>
      <c r="J2927" s="10"/>
      <c r="K2927" s="12"/>
    </row>
    <row r="2928" ht="15.75" customHeight="1">
      <c r="A2928" s="3" t="s">
        <v>12</v>
      </c>
      <c r="B2928" s="3" t="s">
        <v>359</v>
      </c>
      <c r="C2928" s="3" t="s">
        <v>11428</v>
      </c>
      <c r="D2928" s="8" t="str">
        <f t="shared" si="1"/>
        <v>Abrir anúncio ↗</v>
      </c>
      <c r="E2928" s="9" t="s">
        <v>11429</v>
      </c>
      <c r="F2928" s="3" t="s">
        <v>29</v>
      </c>
      <c r="G2928" s="9" t="s">
        <v>4918</v>
      </c>
      <c r="H2928" s="9" t="s">
        <v>4919</v>
      </c>
      <c r="I2928" s="3"/>
      <c r="J2928" s="3"/>
      <c r="K2928" s="9"/>
    </row>
    <row r="2929" ht="15.75" customHeight="1">
      <c r="A2929" s="10" t="s">
        <v>12</v>
      </c>
      <c r="B2929" s="10" t="s">
        <v>359</v>
      </c>
      <c r="C2929" s="10" t="s">
        <v>8427</v>
      </c>
      <c r="D2929" s="11" t="str">
        <f t="shared" si="1"/>
        <v>Abrir anúncio ↗</v>
      </c>
      <c r="E2929" s="12" t="s">
        <v>8425</v>
      </c>
      <c r="F2929" s="10" t="s">
        <v>29</v>
      </c>
      <c r="G2929" s="12" t="s">
        <v>4918</v>
      </c>
      <c r="H2929" s="12" t="s">
        <v>4919</v>
      </c>
      <c r="I2929" s="10"/>
      <c r="J2929" s="10"/>
      <c r="K2929" s="12"/>
    </row>
    <row r="2930" ht="15.75" customHeight="1">
      <c r="A2930" s="3" t="s">
        <v>12</v>
      </c>
      <c r="B2930" s="3" t="s">
        <v>359</v>
      </c>
      <c r="C2930" s="3" t="s">
        <v>11430</v>
      </c>
      <c r="D2930" s="8" t="str">
        <f t="shared" si="1"/>
        <v>Abrir anúncio ↗</v>
      </c>
      <c r="E2930" s="9" t="s">
        <v>11431</v>
      </c>
      <c r="F2930" s="3" t="s">
        <v>29</v>
      </c>
      <c r="G2930" s="9" t="s">
        <v>4918</v>
      </c>
      <c r="H2930" s="9" t="s">
        <v>4919</v>
      </c>
      <c r="I2930" s="3"/>
      <c r="J2930" s="3"/>
      <c r="K2930" s="9"/>
    </row>
    <row r="2931" ht="15.75" customHeight="1">
      <c r="A2931" s="10" t="s">
        <v>12</v>
      </c>
      <c r="B2931" s="10" t="s">
        <v>359</v>
      </c>
      <c r="C2931" s="10" t="s">
        <v>11432</v>
      </c>
      <c r="D2931" s="11" t="str">
        <f t="shared" si="1"/>
        <v>Abrir anúncio ↗</v>
      </c>
      <c r="E2931" s="12" t="s">
        <v>11433</v>
      </c>
      <c r="F2931" s="10" t="s">
        <v>29</v>
      </c>
      <c r="G2931" s="12" t="s">
        <v>4918</v>
      </c>
      <c r="H2931" s="12" t="s">
        <v>4919</v>
      </c>
      <c r="I2931" s="10"/>
      <c r="J2931" s="10"/>
      <c r="K2931" s="12"/>
    </row>
    <row r="2932" ht="15.75" customHeight="1">
      <c r="A2932" s="3" t="s">
        <v>12</v>
      </c>
      <c r="B2932" s="3" t="s">
        <v>359</v>
      </c>
      <c r="C2932" s="3" t="s">
        <v>8975</v>
      </c>
      <c r="D2932" s="8" t="str">
        <f t="shared" si="1"/>
        <v>Abrir anúncio ↗</v>
      </c>
      <c r="E2932" s="9" t="s">
        <v>8974</v>
      </c>
      <c r="F2932" s="3" t="s">
        <v>29</v>
      </c>
      <c r="G2932" s="9" t="s">
        <v>4918</v>
      </c>
      <c r="H2932" s="9" t="s">
        <v>4919</v>
      </c>
      <c r="I2932" s="3"/>
      <c r="J2932" s="3"/>
      <c r="K2932" s="9"/>
    </row>
    <row r="2933" ht="15.75" customHeight="1">
      <c r="A2933" s="10" t="s">
        <v>12</v>
      </c>
      <c r="B2933" s="10" t="s">
        <v>359</v>
      </c>
      <c r="C2933" s="10" t="s">
        <v>11434</v>
      </c>
      <c r="D2933" s="11" t="str">
        <f t="shared" si="1"/>
        <v>Abrir anúncio ↗</v>
      </c>
      <c r="E2933" s="12" t="s">
        <v>11435</v>
      </c>
      <c r="F2933" s="10" t="s">
        <v>29</v>
      </c>
      <c r="G2933" s="12" t="s">
        <v>4918</v>
      </c>
      <c r="H2933" s="12" t="s">
        <v>4919</v>
      </c>
      <c r="I2933" s="10"/>
      <c r="J2933" s="10"/>
      <c r="K2933" s="12"/>
    </row>
    <row r="2934" ht="15.75" customHeight="1">
      <c r="A2934" s="3" t="s">
        <v>12</v>
      </c>
      <c r="B2934" s="3" t="s">
        <v>359</v>
      </c>
      <c r="C2934" s="3" t="s">
        <v>11436</v>
      </c>
      <c r="D2934" s="8" t="str">
        <f t="shared" si="1"/>
        <v>Abrir anúncio ↗</v>
      </c>
      <c r="E2934" s="9" t="s">
        <v>11437</v>
      </c>
      <c r="F2934" s="3" t="s">
        <v>29</v>
      </c>
      <c r="G2934" s="9" t="s">
        <v>4918</v>
      </c>
      <c r="H2934" s="9" t="s">
        <v>4919</v>
      </c>
      <c r="I2934" s="3"/>
      <c r="J2934" s="3"/>
      <c r="K2934" s="9"/>
    </row>
    <row r="2935" ht="15.75" customHeight="1">
      <c r="A2935" s="10" t="s">
        <v>12</v>
      </c>
      <c r="B2935" s="10" t="s">
        <v>359</v>
      </c>
      <c r="C2935" s="10" t="s">
        <v>11438</v>
      </c>
      <c r="D2935" s="11" t="str">
        <f t="shared" si="1"/>
        <v>Abrir anúncio ↗</v>
      </c>
      <c r="E2935" s="12" t="s">
        <v>11439</v>
      </c>
      <c r="F2935" s="10" t="s">
        <v>29</v>
      </c>
      <c r="G2935" s="12" t="s">
        <v>4918</v>
      </c>
      <c r="H2935" s="12" t="s">
        <v>4919</v>
      </c>
      <c r="I2935" s="10"/>
      <c r="J2935" s="10"/>
      <c r="K2935" s="12"/>
    </row>
    <row r="2936" ht="15.75" customHeight="1">
      <c r="A2936" s="3" t="s">
        <v>12</v>
      </c>
      <c r="B2936" s="3" t="s">
        <v>359</v>
      </c>
      <c r="C2936" s="3" t="s">
        <v>8435</v>
      </c>
      <c r="D2936" s="8" t="str">
        <f t="shared" si="1"/>
        <v>Abrir anúncio ↗</v>
      </c>
      <c r="E2936" s="9" t="s">
        <v>8433</v>
      </c>
      <c r="F2936" s="3" t="s">
        <v>29</v>
      </c>
      <c r="G2936" s="9" t="s">
        <v>4918</v>
      </c>
      <c r="H2936" s="9" t="s">
        <v>4919</v>
      </c>
      <c r="I2936" s="3"/>
      <c r="J2936" s="3"/>
      <c r="K2936" s="9"/>
    </row>
    <row r="2937" ht="15.75" customHeight="1">
      <c r="A2937" s="10" t="s">
        <v>12</v>
      </c>
      <c r="B2937" s="10" t="s">
        <v>359</v>
      </c>
      <c r="C2937" s="10" t="s">
        <v>11440</v>
      </c>
      <c r="D2937" s="11" t="str">
        <f t="shared" si="1"/>
        <v>Abrir anúncio ↗</v>
      </c>
      <c r="E2937" s="12" t="s">
        <v>11441</v>
      </c>
      <c r="F2937" s="10" t="s">
        <v>29</v>
      </c>
      <c r="G2937" s="12" t="s">
        <v>4918</v>
      </c>
      <c r="H2937" s="12" t="s">
        <v>4919</v>
      </c>
      <c r="I2937" s="10"/>
      <c r="J2937" s="10"/>
      <c r="K2937" s="12"/>
    </row>
    <row r="2938" ht="15.75" customHeight="1">
      <c r="A2938" s="3" t="s">
        <v>12</v>
      </c>
      <c r="B2938" s="3" t="s">
        <v>359</v>
      </c>
      <c r="C2938" s="3" t="s">
        <v>11442</v>
      </c>
      <c r="D2938" s="8" t="str">
        <f t="shared" si="1"/>
        <v>Abrir anúncio ↗</v>
      </c>
      <c r="E2938" s="9" t="s">
        <v>11443</v>
      </c>
      <c r="F2938" s="3" t="s">
        <v>29</v>
      </c>
      <c r="G2938" s="9" t="s">
        <v>4918</v>
      </c>
      <c r="H2938" s="9" t="s">
        <v>4919</v>
      </c>
      <c r="I2938" s="3"/>
      <c r="J2938" s="3"/>
      <c r="K2938" s="9"/>
    </row>
    <row r="2939" ht="15.75" customHeight="1">
      <c r="A2939" s="10" t="s">
        <v>12</v>
      </c>
      <c r="B2939" s="10" t="s">
        <v>359</v>
      </c>
      <c r="C2939" s="10" t="s">
        <v>7752</v>
      </c>
      <c r="D2939" s="11" t="str">
        <f t="shared" si="1"/>
        <v>Abrir anúncio ↗</v>
      </c>
      <c r="E2939" s="12" t="s">
        <v>7748</v>
      </c>
      <c r="F2939" s="10" t="s">
        <v>29</v>
      </c>
      <c r="G2939" s="12" t="s">
        <v>4918</v>
      </c>
      <c r="H2939" s="12" t="s">
        <v>4919</v>
      </c>
      <c r="I2939" s="10"/>
      <c r="J2939" s="10"/>
      <c r="K2939" s="12"/>
    </row>
    <row r="2940" ht="15.75" customHeight="1">
      <c r="A2940" s="3" t="s">
        <v>12</v>
      </c>
      <c r="B2940" s="3" t="s">
        <v>359</v>
      </c>
      <c r="C2940" s="3" t="s">
        <v>11444</v>
      </c>
      <c r="D2940" s="8" t="str">
        <f t="shared" si="1"/>
        <v>Abrir anúncio ↗</v>
      </c>
      <c r="E2940" s="9" t="s">
        <v>11445</v>
      </c>
      <c r="F2940" s="3" t="s">
        <v>29</v>
      </c>
      <c r="G2940" s="9" t="s">
        <v>4918</v>
      </c>
      <c r="H2940" s="9" t="s">
        <v>4919</v>
      </c>
      <c r="I2940" s="3"/>
      <c r="J2940" s="3"/>
      <c r="K2940" s="9"/>
    </row>
    <row r="2941" ht="15.75" customHeight="1">
      <c r="A2941" s="10" t="s">
        <v>12</v>
      </c>
      <c r="B2941" s="10" t="s">
        <v>359</v>
      </c>
      <c r="C2941" s="10" t="s">
        <v>11446</v>
      </c>
      <c r="D2941" s="11" t="str">
        <f t="shared" si="1"/>
        <v>Abrir anúncio ↗</v>
      </c>
      <c r="E2941" s="12" t="s">
        <v>11447</v>
      </c>
      <c r="F2941" s="10" t="s">
        <v>29</v>
      </c>
      <c r="G2941" s="12" t="s">
        <v>4918</v>
      </c>
      <c r="H2941" s="12" t="s">
        <v>4919</v>
      </c>
      <c r="I2941" s="10"/>
      <c r="J2941" s="10"/>
      <c r="K2941" s="12"/>
    </row>
    <row r="2942" ht="15.75" customHeight="1">
      <c r="A2942" s="3" t="s">
        <v>12</v>
      </c>
      <c r="B2942" s="3" t="s">
        <v>359</v>
      </c>
      <c r="C2942" s="3" t="s">
        <v>11448</v>
      </c>
      <c r="D2942" s="8" t="str">
        <f t="shared" si="1"/>
        <v>Abrir anúncio ↗</v>
      </c>
      <c r="E2942" s="9" t="s">
        <v>11449</v>
      </c>
      <c r="F2942" s="3" t="s">
        <v>29</v>
      </c>
      <c r="G2942" s="9" t="s">
        <v>4918</v>
      </c>
      <c r="H2942" s="9" t="s">
        <v>4919</v>
      </c>
      <c r="I2942" s="3"/>
      <c r="J2942" s="3"/>
      <c r="K2942" s="9"/>
    </row>
    <row r="2943" ht="15.75" customHeight="1">
      <c r="A2943" s="10" t="s">
        <v>12</v>
      </c>
      <c r="B2943" s="10" t="s">
        <v>359</v>
      </c>
      <c r="C2943" s="10" t="s">
        <v>11450</v>
      </c>
      <c r="D2943" s="11" t="str">
        <f t="shared" si="1"/>
        <v>Abrir anúncio ↗</v>
      </c>
      <c r="E2943" s="12" t="s">
        <v>11451</v>
      </c>
      <c r="F2943" s="10" t="s">
        <v>29</v>
      </c>
      <c r="G2943" s="12" t="s">
        <v>4918</v>
      </c>
      <c r="H2943" s="12" t="s">
        <v>4919</v>
      </c>
      <c r="I2943" s="10"/>
      <c r="J2943" s="10"/>
      <c r="K2943" s="12"/>
    </row>
    <row r="2944" ht="15.75" customHeight="1">
      <c r="A2944" s="3" t="s">
        <v>12</v>
      </c>
      <c r="B2944" s="3" t="s">
        <v>359</v>
      </c>
      <c r="C2944" s="3" t="s">
        <v>11452</v>
      </c>
      <c r="D2944" s="8" t="str">
        <f t="shared" si="1"/>
        <v>Abrir anúncio ↗</v>
      </c>
      <c r="E2944" s="9" t="s">
        <v>11453</v>
      </c>
      <c r="F2944" s="3" t="s">
        <v>29</v>
      </c>
      <c r="G2944" s="9" t="s">
        <v>4918</v>
      </c>
      <c r="H2944" s="9" t="s">
        <v>4919</v>
      </c>
      <c r="I2944" s="3"/>
      <c r="J2944" s="3"/>
      <c r="K2944" s="9"/>
    </row>
    <row r="2945" ht="15.75" customHeight="1">
      <c r="A2945" s="10" t="s">
        <v>12</v>
      </c>
      <c r="B2945" s="10" t="s">
        <v>359</v>
      </c>
      <c r="C2945" s="10" t="s">
        <v>11454</v>
      </c>
      <c r="D2945" s="11" t="str">
        <f t="shared" si="1"/>
        <v>Abrir anúncio ↗</v>
      </c>
      <c r="E2945" s="12" t="s">
        <v>11455</v>
      </c>
      <c r="F2945" s="10" t="s">
        <v>29</v>
      </c>
      <c r="G2945" s="12" t="s">
        <v>4918</v>
      </c>
      <c r="H2945" s="12" t="s">
        <v>4919</v>
      </c>
      <c r="I2945" s="10"/>
      <c r="J2945" s="10"/>
      <c r="K2945" s="12"/>
    </row>
    <row r="2946" ht="15.75" customHeight="1">
      <c r="A2946" s="3" t="s">
        <v>12</v>
      </c>
      <c r="B2946" s="3" t="s">
        <v>359</v>
      </c>
      <c r="C2946" s="3" t="s">
        <v>11456</v>
      </c>
      <c r="D2946" s="8" t="str">
        <f t="shared" si="1"/>
        <v>Abrir anúncio ↗</v>
      </c>
      <c r="E2946" s="9" t="s">
        <v>11457</v>
      </c>
      <c r="F2946" s="3" t="s">
        <v>29</v>
      </c>
      <c r="G2946" s="9" t="s">
        <v>4918</v>
      </c>
      <c r="H2946" s="9" t="s">
        <v>4919</v>
      </c>
      <c r="I2946" s="3"/>
      <c r="J2946" s="3"/>
      <c r="K2946" s="9"/>
    </row>
    <row r="2947" ht="15.75" customHeight="1">
      <c r="A2947" s="10" t="s">
        <v>12</v>
      </c>
      <c r="B2947" s="10" t="s">
        <v>359</v>
      </c>
      <c r="C2947" s="10" t="s">
        <v>11458</v>
      </c>
      <c r="D2947" s="11" t="str">
        <f t="shared" si="1"/>
        <v>Abrir anúncio ↗</v>
      </c>
      <c r="E2947" s="12" t="s">
        <v>11459</v>
      </c>
      <c r="F2947" s="10" t="s">
        <v>29</v>
      </c>
      <c r="G2947" s="12" t="s">
        <v>4918</v>
      </c>
      <c r="H2947" s="12" t="s">
        <v>4919</v>
      </c>
      <c r="I2947" s="10"/>
      <c r="J2947" s="10"/>
      <c r="K2947" s="12"/>
    </row>
    <row r="2948" ht="15.75" customHeight="1">
      <c r="A2948" s="3" t="s">
        <v>12</v>
      </c>
      <c r="B2948" s="3" t="s">
        <v>359</v>
      </c>
      <c r="C2948" s="3" t="s">
        <v>8440</v>
      </c>
      <c r="D2948" s="8" t="str">
        <f t="shared" si="1"/>
        <v>Abrir anúncio ↗</v>
      </c>
      <c r="E2948" s="9" t="s">
        <v>8439</v>
      </c>
      <c r="F2948" s="3" t="s">
        <v>29</v>
      </c>
      <c r="G2948" s="9" t="s">
        <v>4918</v>
      </c>
      <c r="H2948" s="9" t="s">
        <v>4919</v>
      </c>
      <c r="I2948" s="3"/>
      <c r="J2948" s="3"/>
      <c r="K2948" s="9"/>
    </row>
    <row r="2949" ht="15.75" customHeight="1">
      <c r="A2949" s="10" t="s">
        <v>12</v>
      </c>
      <c r="B2949" s="10" t="s">
        <v>359</v>
      </c>
      <c r="C2949" s="10" t="s">
        <v>11460</v>
      </c>
      <c r="D2949" s="11" t="str">
        <f t="shared" si="1"/>
        <v>Abrir anúncio ↗</v>
      </c>
      <c r="E2949" s="12" t="s">
        <v>11461</v>
      </c>
      <c r="F2949" s="10" t="s">
        <v>29</v>
      </c>
      <c r="G2949" s="12" t="s">
        <v>4918</v>
      </c>
      <c r="H2949" s="12" t="s">
        <v>4919</v>
      </c>
      <c r="I2949" s="10"/>
      <c r="J2949" s="10"/>
      <c r="K2949" s="12"/>
    </row>
    <row r="2950" ht="15.75" customHeight="1">
      <c r="A2950" s="3" t="s">
        <v>12</v>
      </c>
      <c r="B2950" s="3" t="s">
        <v>359</v>
      </c>
      <c r="C2950" s="3" t="s">
        <v>8445</v>
      </c>
      <c r="D2950" s="8" t="str">
        <f t="shared" si="1"/>
        <v>Abrir anúncio ↗</v>
      </c>
      <c r="E2950" s="9" t="s">
        <v>7784</v>
      </c>
      <c r="F2950" s="3" t="s">
        <v>29</v>
      </c>
      <c r="G2950" s="9" t="s">
        <v>4918</v>
      </c>
      <c r="H2950" s="9" t="s">
        <v>4919</v>
      </c>
      <c r="I2950" s="3"/>
      <c r="J2950" s="3"/>
      <c r="K2950" s="9"/>
    </row>
    <row r="2951" ht="15.75" customHeight="1">
      <c r="A2951" s="10" t="s">
        <v>12</v>
      </c>
      <c r="B2951" s="10" t="s">
        <v>359</v>
      </c>
      <c r="C2951" s="10" t="s">
        <v>11462</v>
      </c>
      <c r="D2951" s="11" t="str">
        <f t="shared" si="1"/>
        <v>Abrir anúncio ↗</v>
      </c>
      <c r="E2951" s="12" t="s">
        <v>11463</v>
      </c>
      <c r="F2951" s="10" t="s">
        <v>29</v>
      </c>
      <c r="G2951" s="12" t="s">
        <v>4918</v>
      </c>
      <c r="H2951" s="12" t="s">
        <v>4919</v>
      </c>
      <c r="I2951" s="10"/>
      <c r="J2951" s="10"/>
      <c r="K2951" s="12"/>
    </row>
    <row r="2952" ht="15.75" customHeight="1">
      <c r="A2952" s="3" t="s">
        <v>12</v>
      </c>
      <c r="B2952" s="3" t="s">
        <v>359</v>
      </c>
      <c r="C2952" s="3" t="s">
        <v>11464</v>
      </c>
      <c r="D2952" s="8" t="str">
        <f t="shared" si="1"/>
        <v>Abrir anúncio ↗</v>
      </c>
      <c r="E2952" s="9" t="s">
        <v>11465</v>
      </c>
      <c r="F2952" s="3" t="s">
        <v>29</v>
      </c>
      <c r="G2952" s="9" t="s">
        <v>4918</v>
      </c>
      <c r="H2952" s="9" t="s">
        <v>4919</v>
      </c>
      <c r="I2952" s="3"/>
      <c r="J2952" s="3"/>
      <c r="K2952" s="9"/>
    </row>
    <row r="2953" ht="15.75" customHeight="1">
      <c r="A2953" s="10" t="s">
        <v>12</v>
      </c>
      <c r="B2953" s="10" t="s">
        <v>359</v>
      </c>
      <c r="C2953" s="10" t="s">
        <v>11466</v>
      </c>
      <c r="D2953" s="11" t="str">
        <f t="shared" si="1"/>
        <v>Abrir anúncio ↗</v>
      </c>
      <c r="E2953" s="12" t="s">
        <v>11467</v>
      </c>
      <c r="F2953" s="10" t="s">
        <v>29</v>
      </c>
      <c r="G2953" s="12" t="s">
        <v>4918</v>
      </c>
      <c r="H2953" s="12" t="s">
        <v>4919</v>
      </c>
      <c r="I2953" s="10"/>
      <c r="J2953" s="10"/>
      <c r="K2953" s="12"/>
    </row>
    <row r="2954" ht="15.75" customHeight="1">
      <c r="A2954" s="3" t="s">
        <v>12</v>
      </c>
      <c r="B2954" s="3" t="s">
        <v>359</v>
      </c>
      <c r="C2954" s="3" t="s">
        <v>11468</v>
      </c>
      <c r="D2954" s="8" t="str">
        <f t="shared" si="1"/>
        <v>Abrir anúncio ↗</v>
      </c>
      <c r="E2954" s="9" t="s">
        <v>11469</v>
      </c>
      <c r="F2954" s="3" t="s">
        <v>29</v>
      </c>
      <c r="G2954" s="9" t="s">
        <v>4918</v>
      </c>
      <c r="H2954" s="9" t="s">
        <v>4919</v>
      </c>
      <c r="I2954" s="3"/>
      <c r="J2954" s="3"/>
      <c r="K2954" s="9"/>
    </row>
    <row r="2955" ht="15.75" customHeight="1">
      <c r="A2955" s="10" t="s">
        <v>12</v>
      </c>
      <c r="B2955" s="10" t="s">
        <v>359</v>
      </c>
      <c r="C2955" s="10" t="s">
        <v>11470</v>
      </c>
      <c r="D2955" s="11" t="str">
        <f t="shared" si="1"/>
        <v>Abrir anúncio ↗</v>
      </c>
      <c r="E2955" s="12" t="s">
        <v>11471</v>
      </c>
      <c r="F2955" s="10" t="s">
        <v>29</v>
      </c>
      <c r="G2955" s="12" t="s">
        <v>4918</v>
      </c>
      <c r="H2955" s="12" t="s">
        <v>4919</v>
      </c>
      <c r="I2955" s="10"/>
      <c r="J2955" s="10"/>
      <c r="K2955" s="12"/>
    </row>
    <row r="2956" ht="15.75" customHeight="1">
      <c r="A2956" s="3" t="s">
        <v>12</v>
      </c>
      <c r="B2956" s="3" t="s">
        <v>359</v>
      </c>
      <c r="C2956" s="3" t="s">
        <v>11472</v>
      </c>
      <c r="D2956" s="8" t="str">
        <f t="shared" si="1"/>
        <v>Abrir anúncio ↗</v>
      </c>
      <c r="E2956" s="9" t="s">
        <v>11473</v>
      </c>
      <c r="F2956" s="3" t="s">
        <v>29</v>
      </c>
      <c r="G2956" s="9" t="s">
        <v>4918</v>
      </c>
      <c r="H2956" s="9" t="s">
        <v>4919</v>
      </c>
      <c r="I2956" s="3"/>
      <c r="J2956" s="3"/>
      <c r="K2956" s="9"/>
    </row>
    <row r="2957" ht="15.75" customHeight="1">
      <c r="A2957" s="10" t="s">
        <v>12</v>
      </c>
      <c r="B2957" s="10" t="s">
        <v>359</v>
      </c>
      <c r="C2957" s="10" t="s">
        <v>11474</v>
      </c>
      <c r="D2957" s="11" t="str">
        <f t="shared" si="1"/>
        <v>Abrir anúncio ↗</v>
      </c>
      <c r="E2957" s="12" t="s">
        <v>11475</v>
      </c>
      <c r="F2957" s="10" t="s">
        <v>29</v>
      </c>
      <c r="G2957" s="12" t="s">
        <v>4918</v>
      </c>
      <c r="H2957" s="12" t="s">
        <v>4919</v>
      </c>
      <c r="I2957" s="10"/>
      <c r="J2957" s="10"/>
      <c r="K2957" s="12"/>
    </row>
    <row r="2958" ht="15.75" customHeight="1">
      <c r="A2958" s="3" t="s">
        <v>12</v>
      </c>
      <c r="B2958" s="3" t="s">
        <v>359</v>
      </c>
      <c r="C2958" s="3" t="s">
        <v>11476</v>
      </c>
      <c r="D2958" s="8" t="str">
        <f t="shared" si="1"/>
        <v>Abrir anúncio ↗</v>
      </c>
      <c r="E2958" s="9" t="s">
        <v>11477</v>
      </c>
      <c r="F2958" s="3" t="s">
        <v>29</v>
      </c>
      <c r="G2958" s="9" t="s">
        <v>4918</v>
      </c>
      <c r="H2958" s="9" t="s">
        <v>4919</v>
      </c>
      <c r="I2958" s="3"/>
      <c r="J2958" s="3"/>
      <c r="K2958" s="9"/>
    </row>
    <row r="2959" ht="15.75" customHeight="1">
      <c r="A2959" s="10" t="s">
        <v>12</v>
      </c>
      <c r="B2959" s="10" t="s">
        <v>359</v>
      </c>
      <c r="C2959" s="10" t="s">
        <v>11478</v>
      </c>
      <c r="D2959" s="11" t="str">
        <f t="shared" si="1"/>
        <v>Abrir anúncio ↗</v>
      </c>
      <c r="E2959" s="12" t="s">
        <v>11479</v>
      </c>
      <c r="F2959" s="10" t="s">
        <v>29</v>
      </c>
      <c r="G2959" s="12" t="s">
        <v>4918</v>
      </c>
      <c r="H2959" s="12" t="s">
        <v>4919</v>
      </c>
      <c r="I2959" s="10"/>
      <c r="J2959" s="10"/>
      <c r="K2959" s="12"/>
    </row>
    <row r="2960" ht="15.75" customHeight="1">
      <c r="A2960" s="3" t="s">
        <v>12</v>
      </c>
      <c r="B2960" s="3" t="s">
        <v>359</v>
      </c>
      <c r="C2960" s="3" t="s">
        <v>11480</v>
      </c>
      <c r="D2960" s="8" t="str">
        <f t="shared" si="1"/>
        <v>Abrir anúncio ↗</v>
      </c>
      <c r="E2960" s="9" t="s">
        <v>11481</v>
      </c>
      <c r="F2960" s="3" t="s">
        <v>29</v>
      </c>
      <c r="G2960" s="9" t="s">
        <v>4918</v>
      </c>
      <c r="H2960" s="9" t="s">
        <v>4919</v>
      </c>
      <c r="I2960" s="3"/>
      <c r="J2960" s="3"/>
      <c r="K2960" s="9"/>
    </row>
    <row r="2961" ht="15.75" customHeight="1">
      <c r="A2961" s="10" t="s">
        <v>12</v>
      </c>
      <c r="B2961" s="10" t="s">
        <v>359</v>
      </c>
      <c r="C2961" s="10" t="s">
        <v>11482</v>
      </c>
      <c r="D2961" s="11" t="str">
        <f t="shared" si="1"/>
        <v>Abrir anúncio ↗</v>
      </c>
      <c r="E2961" s="12" t="s">
        <v>11483</v>
      </c>
      <c r="F2961" s="10" t="s">
        <v>29</v>
      </c>
      <c r="G2961" s="12" t="s">
        <v>4918</v>
      </c>
      <c r="H2961" s="12" t="s">
        <v>4919</v>
      </c>
      <c r="I2961" s="10"/>
      <c r="J2961" s="10"/>
      <c r="K2961" s="12"/>
    </row>
    <row r="2962" ht="15.75" customHeight="1">
      <c r="A2962" s="3" t="s">
        <v>12</v>
      </c>
      <c r="B2962" s="3" t="s">
        <v>359</v>
      </c>
      <c r="C2962" s="3" t="s">
        <v>11484</v>
      </c>
      <c r="D2962" s="8" t="str">
        <f t="shared" si="1"/>
        <v>Abrir anúncio ↗</v>
      </c>
      <c r="E2962" s="9" t="s">
        <v>11485</v>
      </c>
      <c r="F2962" s="3" t="s">
        <v>29</v>
      </c>
      <c r="G2962" s="9" t="s">
        <v>4918</v>
      </c>
      <c r="H2962" s="9" t="s">
        <v>4919</v>
      </c>
      <c r="I2962" s="3"/>
      <c r="J2962" s="3"/>
      <c r="K2962" s="9"/>
    </row>
    <row r="2963" ht="15.75" customHeight="1">
      <c r="A2963" s="10" t="s">
        <v>12</v>
      </c>
      <c r="B2963" s="10" t="s">
        <v>359</v>
      </c>
      <c r="C2963" s="10" t="s">
        <v>11486</v>
      </c>
      <c r="D2963" s="11" t="str">
        <f t="shared" si="1"/>
        <v>Abrir anúncio ↗</v>
      </c>
      <c r="E2963" s="12" t="s">
        <v>11487</v>
      </c>
      <c r="F2963" s="10" t="s">
        <v>29</v>
      </c>
      <c r="G2963" s="12" t="s">
        <v>4918</v>
      </c>
      <c r="H2963" s="12" t="s">
        <v>4919</v>
      </c>
      <c r="I2963" s="10"/>
      <c r="J2963" s="10"/>
      <c r="K2963" s="12"/>
    </row>
    <row r="2964" ht="15.75" customHeight="1">
      <c r="A2964" s="3" t="s">
        <v>12</v>
      </c>
      <c r="B2964" s="3" t="s">
        <v>359</v>
      </c>
      <c r="C2964" s="3" t="s">
        <v>11488</v>
      </c>
      <c r="D2964" s="8" t="str">
        <f t="shared" si="1"/>
        <v>Abrir anúncio ↗</v>
      </c>
      <c r="E2964" s="9" t="s">
        <v>11489</v>
      </c>
      <c r="F2964" s="3" t="s">
        <v>29</v>
      </c>
      <c r="G2964" s="9" t="s">
        <v>4918</v>
      </c>
      <c r="H2964" s="9" t="s">
        <v>4919</v>
      </c>
      <c r="I2964" s="3"/>
      <c r="J2964" s="3"/>
      <c r="K2964" s="9"/>
    </row>
    <row r="2965" ht="15.75" customHeight="1">
      <c r="A2965" s="10" t="s">
        <v>12</v>
      </c>
      <c r="B2965" s="10" t="s">
        <v>359</v>
      </c>
      <c r="C2965" s="10" t="s">
        <v>11490</v>
      </c>
      <c r="D2965" s="11" t="str">
        <f t="shared" si="1"/>
        <v>Abrir anúncio ↗</v>
      </c>
      <c r="E2965" s="12" t="s">
        <v>11491</v>
      </c>
      <c r="F2965" s="10" t="s">
        <v>29</v>
      </c>
      <c r="G2965" s="12" t="s">
        <v>4918</v>
      </c>
      <c r="H2965" s="12" t="s">
        <v>4919</v>
      </c>
      <c r="I2965" s="10"/>
      <c r="J2965" s="10"/>
      <c r="K2965" s="12"/>
    </row>
    <row r="2966" ht="15.75" customHeight="1">
      <c r="A2966" s="3" t="s">
        <v>12</v>
      </c>
      <c r="B2966" s="3" t="s">
        <v>359</v>
      </c>
      <c r="C2966" s="3" t="s">
        <v>11492</v>
      </c>
      <c r="D2966" s="8" t="str">
        <f t="shared" si="1"/>
        <v>Abrir anúncio ↗</v>
      </c>
      <c r="E2966" s="9" t="s">
        <v>11493</v>
      </c>
      <c r="F2966" s="3" t="s">
        <v>29</v>
      </c>
      <c r="G2966" s="9" t="s">
        <v>4918</v>
      </c>
      <c r="H2966" s="9" t="s">
        <v>4919</v>
      </c>
      <c r="I2966" s="3"/>
      <c r="J2966" s="3"/>
      <c r="K2966" s="9"/>
    </row>
    <row r="2967" ht="15.75" customHeight="1">
      <c r="A2967" s="10" t="s">
        <v>12</v>
      </c>
      <c r="B2967" s="10" t="s">
        <v>359</v>
      </c>
      <c r="C2967" s="10" t="s">
        <v>11494</v>
      </c>
      <c r="D2967" s="11" t="str">
        <f t="shared" si="1"/>
        <v>Abrir anúncio ↗</v>
      </c>
      <c r="E2967" s="12" t="s">
        <v>11495</v>
      </c>
      <c r="F2967" s="10" t="s">
        <v>29</v>
      </c>
      <c r="G2967" s="12" t="s">
        <v>4918</v>
      </c>
      <c r="H2967" s="12" t="s">
        <v>4919</v>
      </c>
      <c r="I2967" s="10"/>
      <c r="J2967" s="10"/>
      <c r="K2967" s="12"/>
    </row>
    <row r="2968" ht="15.75" customHeight="1">
      <c r="A2968" s="3" t="s">
        <v>12</v>
      </c>
      <c r="B2968" s="3" t="s">
        <v>359</v>
      </c>
      <c r="C2968" s="3" t="s">
        <v>11496</v>
      </c>
      <c r="D2968" s="8" t="str">
        <f t="shared" si="1"/>
        <v>Abrir anúncio ↗</v>
      </c>
      <c r="E2968" s="9" t="s">
        <v>11497</v>
      </c>
      <c r="F2968" s="3" t="s">
        <v>29</v>
      </c>
      <c r="G2968" s="9" t="s">
        <v>4918</v>
      </c>
      <c r="H2968" s="9" t="s">
        <v>4919</v>
      </c>
      <c r="I2968" s="3"/>
      <c r="J2968" s="3"/>
      <c r="K2968" s="9"/>
    </row>
    <row r="2969" ht="15.75" customHeight="1">
      <c r="A2969" s="10" t="s">
        <v>12</v>
      </c>
      <c r="B2969" s="10" t="s">
        <v>359</v>
      </c>
      <c r="C2969" s="10" t="s">
        <v>11498</v>
      </c>
      <c r="D2969" s="11" t="str">
        <f t="shared" si="1"/>
        <v>Abrir anúncio ↗</v>
      </c>
      <c r="E2969" s="12" t="s">
        <v>11499</v>
      </c>
      <c r="F2969" s="10" t="s">
        <v>29</v>
      </c>
      <c r="G2969" s="12" t="s">
        <v>4918</v>
      </c>
      <c r="H2969" s="12" t="s">
        <v>4919</v>
      </c>
      <c r="I2969" s="10"/>
      <c r="J2969" s="10"/>
      <c r="K2969" s="12"/>
    </row>
    <row r="2970" ht="15.75" customHeight="1">
      <c r="A2970" s="3" t="s">
        <v>12</v>
      </c>
      <c r="B2970" s="3" t="s">
        <v>359</v>
      </c>
      <c r="C2970" s="3" t="s">
        <v>11500</v>
      </c>
      <c r="D2970" s="8" t="str">
        <f t="shared" si="1"/>
        <v>Abrir anúncio ↗</v>
      </c>
      <c r="E2970" s="9" t="s">
        <v>11501</v>
      </c>
      <c r="F2970" s="3" t="s">
        <v>29</v>
      </c>
      <c r="G2970" s="9" t="s">
        <v>4918</v>
      </c>
      <c r="H2970" s="9" t="s">
        <v>4919</v>
      </c>
      <c r="I2970" s="3"/>
      <c r="J2970" s="3"/>
      <c r="K2970" s="9"/>
    </row>
    <row r="2971" ht="15.75" customHeight="1">
      <c r="A2971" s="10" t="s">
        <v>12</v>
      </c>
      <c r="B2971" s="10" t="s">
        <v>359</v>
      </c>
      <c r="C2971" s="10" t="s">
        <v>11502</v>
      </c>
      <c r="D2971" s="11" t="str">
        <f t="shared" si="1"/>
        <v>Abrir anúncio ↗</v>
      </c>
      <c r="E2971" s="12" t="s">
        <v>11503</v>
      </c>
      <c r="F2971" s="10" t="s">
        <v>29</v>
      </c>
      <c r="G2971" s="12" t="s">
        <v>4918</v>
      </c>
      <c r="H2971" s="12" t="s">
        <v>4919</v>
      </c>
      <c r="I2971" s="10"/>
      <c r="J2971" s="10"/>
      <c r="K2971" s="12"/>
    </row>
    <row r="2972" ht="15.75" customHeight="1">
      <c r="A2972" s="3" t="s">
        <v>12</v>
      </c>
      <c r="B2972" s="3" t="s">
        <v>359</v>
      </c>
      <c r="C2972" s="3" t="s">
        <v>11504</v>
      </c>
      <c r="D2972" s="8" t="str">
        <f t="shared" si="1"/>
        <v>Abrir anúncio ↗</v>
      </c>
      <c r="E2972" s="9" t="s">
        <v>11505</v>
      </c>
      <c r="F2972" s="3" t="s">
        <v>29</v>
      </c>
      <c r="G2972" s="9" t="s">
        <v>4918</v>
      </c>
      <c r="H2972" s="9" t="s">
        <v>4919</v>
      </c>
      <c r="I2972" s="3"/>
      <c r="J2972" s="3"/>
      <c r="K2972" s="9"/>
    </row>
    <row r="2973" ht="15.75" customHeight="1">
      <c r="A2973" s="10" t="s">
        <v>12</v>
      </c>
      <c r="B2973" s="10" t="s">
        <v>359</v>
      </c>
      <c r="C2973" s="10" t="s">
        <v>11506</v>
      </c>
      <c r="D2973" s="11" t="str">
        <f t="shared" si="1"/>
        <v>Abrir anúncio ↗</v>
      </c>
      <c r="E2973" s="12" t="s">
        <v>11507</v>
      </c>
      <c r="F2973" s="10" t="s">
        <v>29</v>
      </c>
      <c r="G2973" s="12" t="s">
        <v>4918</v>
      </c>
      <c r="H2973" s="12" t="s">
        <v>4919</v>
      </c>
      <c r="I2973" s="10"/>
      <c r="J2973" s="10"/>
      <c r="K2973" s="12"/>
    </row>
    <row r="2974" ht="15.75" customHeight="1">
      <c r="A2974" s="3" t="s">
        <v>12</v>
      </c>
      <c r="B2974" s="3" t="s">
        <v>359</v>
      </c>
      <c r="C2974" s="3" t="s">
        <v>11508</v>
      </c>
      <c r="D2974" s="8" t="str">
        <f t="shared" si="1"/>
        <v>Abrir anúncio ↗</v>
      </c>
      <c r="E2974" s="9" t="s">
        <v>11509</v>
      </c>
      <c r="F2974" s="3" t="s">
        <v>29</v>
      </c>
      <c r="G2974" s="9" t="s">
        <v>4918</v>
      </c>
      <c r="H2974" s="9" t="s">
        <v>4919</v>
      </c>
      <c r="I2974" s="3"/>
      <c r="J2974" s="3"/>
      <c r="K2974" s="9"/>
    </row>
    <row r="2975" ht="15.75" customHeight="1">
      <c r="A2975" s="10" t="s">
        <v>12</v>
      </c>
      <c r="B2975" s="10" t="s">
        <v>359</v>
      </c>
      <c r="C2975" s="10" t="s">
        <v>11510</v>
      </c>
      <c r="D2975" s="11" t="str">
        <f t="shared" si="1"/>
        <v>Abrir anúncio ↗</v>
      </c>
      <c r="E2975" s="12" t="s">
        <v>11511</v>
      </c>
      <c r="F2975" s="10" t="s">
        <v>29</v>
      </c>
      <c r="G2975" s="12" t="s">
        <v>4918</v>
      </c>
      <c r="H2975" s="12" t="s">
        <v>4919</v>
      </c>
      <c r="I2975" s="10"/>
      <c r="J2975" s="10"/>
      <c r="K2975" s="12"/>
    </row>
    <row r="2976" ht="15.75" customHeight="1">
      <c r="A2976" s="3" t="s">
        <v>12</v>
      </c>
      <c r="B2976" s="3" t="s">
        <v>359</v>
      </c>
      <c r="C2976" s="3" t="s">
        <v>11512</v>
      </c>
      <c r="D2976" s="8" t="str">
        <f t="shared" si="1"/>
        <v>Abrir anúncio ↗</v>
      </c>
      <c r="E2976" s="9" t="s">
        <v>11513</v>
      </c>
      <c r="F2976" s="3" t="s">
        <v>29</v>
      </c>
      <c r="G2976" s="9" t="s">
        <v>4918</v>
      </c>
      <c r="H2976" s="9" t="s">
        <v>4919</v>
      </c>
      <c r="I2976" s="3"/>
      <c r="J2976" s="3"/>
      <c r="K2976" s="9"/>
    </row>
    <row r="2977" ht="15.75" customHeight="1">
      <c r="A2977" s="10" t="s">
        <v>12</v>
      </c>
      <c r="B2977" s="10" t="s">
        <v>359</v>
      </c>
      <c r="C2977" s="10" t="s">
        <v>11514</v>
      </c>
      <c r="D2977" s="11" t="str">
        <f t="shared" si="1"/>
        <v>Abrir anúncio ↗</v>
      </c>
      <c r="E2977" s="12" t="s">
        <v>11515</v>
      </c>
      <c r="F2977" s="10" t="s">
        <v>29</v>
      </c>
      <c r="G2977" s="12" t="s">
        <v>4918</v>
      </c>
      <c r="H2977" s="12" t="s">
        <v>4919</v>
      </c>
      <c r="I2977" s="10"/>
      <c r="J2977" s="10"/>
      <c r="K2977" s="12"/>
    </row>
    <row r="2978" ht="15.75" customHeight="1">
      <c r="A2978" s="3" t="s">
        <v>12</v>
      </c>
      <c r="B2978" s="3" t="s">
        <v>359</v>
      </c>
      <c r="C2978" s="3" t="s">
        <v>11516</v>
      </c>
      <c r="D2978" s="8" t="str">
        <f t="shared" si="1"/>
        <v>Abrir anúncio ↗</v>
      </c>
      <c r="E2978" s="9" t="s">
        <v>11517</v>
      </c>
      <c r="F2978" s="3" t="s">
        <v>29</v>
      </c>
      <c r="G2978" s="9" t="s">
        <v>4918</v>
      </c>
      <c r="H2978" s="9" t="s">
        <v>4919</v>
      </c>
      <c r="I2978" s="3"/>
      <c r="J2978" s="3"/>
      <c r="K2978" s="9"/>
    </row>
    <row r="2979" ht="15.75" customHeight="1">
      <c r="A2979" s="10" t="s">
        <v>12</v>
      </c>
      <c r="B2979" s="10" t="s">
        <v>359</v>
      </c>
      <c r="C2979" s="10" t="s">
        <v>11518</v>
      </c>
      <c r="D2979" s="11" t="str">
        <f t="shared" si="1"/>
        <v>Abrir anúncio ↗</v>
      </c>
      <c r="E2979" s="12" t="s">
        <v>11519</v>
      </c>
      <c r="F2979" s="10" t="s">
        <v>29</v>
      </c>
      <c r="G2979" s="12" t="s">
        <v>4918</v>
      </c>
      <c r="H2979" s="12" t="s">
        <v>4919</v>
      </c>
      <c r="I2979" s="10"/>
      <c r="J2979" s="10"/>
      <c r="K2979" s="12"/>
    </row>
    <row r="2980" ht="15.75" customHeight="1">
      <c r="A2980" s="3" t="s">
        <v>12</v>
      </c>
      <c r="B2980" s="3" t="s">
        <v>359</v>
      </c>
      <c r="C2980" s="3" t="s">
        <v>11520</v>
      </c>
      <c r="D2980" s="8" t="str">
        <f t="shared" si="1"/>
        <v>Abrir anúncio ↗</v>
      </c>
      <c r="E2980" s="9" t="s">
        <v>11521</v>
      </c>
      <c r="F2980" s="3" t="s">
        <v>29</v>
      </c>
      <c r="G2980" s="9" t="s">
        <v>4918</v>
      </c>
      <c r="H2980" s="9" t="s">
        <v>4919</v>
      </c>
      <c r="I2980" s="3"/>
      <c r="J2980" s="3"/>
      <c r="K2980" s="9"/>
    </row>
    <row r="2981" ht="15.75" customHeight="1">
      <c r="A2981" s="10" t="s">
        <v>12</v>
      </c>
      <c r="B2981" s="10" t="s">
        <v>359</v>
      </c>
      <c r="C2981" s="10" t="s">
        <v>11522</v>
      </c>
      <c r="D2981" s="11" t="str">
        <f t="shared" si="1"/>
        <v>Abrir anúncio ↗</v>
      </c>
      <c r="E2981" s="12" t="s">
        <v>11523</v>
      </c>
      <c r="F2981" s="10" t="s">
        <v>29</v>
      </c>
      <c r="G2981" s="12" t="s">
        <v>4918</v>
      </c>
      <c r="H2981" s="12" t="s">
        <v>4919</v>
      </c>
      <c r="I2981" s="10"/>
      <c r="J2981" s="10"/>
      <c r="K2981" s="12"/>
    </row>
    <row r="2982" ht="15.75" customHeight="1">
      <c r="A2982" s="3" t="s">
        <v>12</v>
      </c>
      <c r="B2982" s="3" t="s">
        <v>359</v>
      </c>
      <c r="C2982" s="3" t="s">
        <v>11524</v>
      </c>
      <c r="D2982" s="8" t="str">
        <f t="shared" si="1"/>
        <v>Abrir anúncio ↗</v>
      </c>
      <c r="E2982" s="9" t="s">
        <v>11525</v>
      </c>
      <c r="F2982" s="3" t="s">
        <v>29</v>
      </c>
      <c r="G2982" s="9" t="s">
        <v>4918</v>
      </c>
      <c r="H2982" s="9" t="s">
        <v>4919</v>
      </c>
      <c r="I2982" s="3"/>
      <c r="J2982" s="3"/>
      <c r="K2982" s="9"/>
    </row>
    <row r="2983" ht="15.75" customHeight="1">
      <c r="A2983" s="10" t="s">
        <v>12</v>
      </c>
      <c r="B2983" s="10" t="s">
        <v>359</v>
      </c>
      <c r="C2983" s="10" t="s">
        <v>11526</v>
      </c>
      <c r="D2983" s="11" t="str">
        <f t="shared" si="1"/>
        <v>Abrir anúncio ↗</v>
      </c>
      <c r="E2983" s="12" t="s">
        <v>11527</v>
      </c>
      <c r="F2983" s="10" t="s">
        <v>29</v>
      </c>
      <c r="G2983" s="12" t="s">
        <v>4918</v>
      </c>
      <c r="H2983" s="12" t="s">
        <v>4919</v>
      </c>
      <c r="I2983" s="10"/>
      <c r="J2983" s="10"/>
      <c r="K2983" s="12"/>
    </row>
    <row r="2984" ht="15.75" customHeight="1">
      <c r="A2984" s="3" t="s">
        <v>12</v>
      </c>
      <c r="B2984" s="3" t="s">
        <v>359</v>
      </c>
      <c r="C2984" s="3" t="s">
        <v>11528</v>
      </c>
      <c r="D2984" s="8" t="str">
        <f t="shared" si="1"/>
        <v>Abrir anúncio ↗</v>
      </c>
      <c r="E2984" s="9" t="s">
        <v>11529</v>
      </c>
      <c r="F2984" s="3" t="s">
        <v>29</v>
      </c>
      <c r="G2984" s="9" t="s">
        <v>4918</v>
      </c>
      <c r="H2984" s="9" t="s">
        <v>4919</v>
      </c>
      <c r="I2984" s="3"/>
      <c r="J2984" s="3"/>
      <c r="K2984" s="9"/>
    </row>
    <row r="2985" ht="15.75" customHeight="1">
      <c r="A2985" s="10" t="s">
        <v>12</v>
      </c>
      <c r="B2985" s="10" t="s">
        <v>359</v>
      </c>
      <c r="C2985" s="10" t="s">
        <v>11530</v>
      </c>
      <c r="D2985" s="11" t="str">
        <f t="shared" si="1"/>
        <v>Abrir anúncio ↗</v>
      </c>
      <c r="E2985" s="12" t="s">
        <v>11531</v>
      </c>
      <c r="F2985" s="10" t="s">
        <v>29</v>
      </c>
      <c r="G2985" s="12" t="s">
        <v>4918</v>
      </c>
      <c r="H2985" s="12" t="s">
        <v>4919</v>
      </c>
      <c r="I2985" s="10"/>
      <c r="J2985" s="10"/>
      <c r="K2985" s="12"/>
    </row>
    <row r="2986" ht="15.75" customHeight="1">
      <c r="A2986" s="3" t="s">
        <v>12</v>
      </c>
      <c r="B2986" s="3" t="s">
        <v>359</v>
      </c>
      <c r="C2986" s="3" t="s">
        <v>11532</v>
      </c>
      <c r="D2986" s="8" t="str">
        <f t="shared" si="1"/>
        <v>Abrir anúncio ↗</v>
      </c>
      <c r="E2986" s="9" t="s">
        <v>11533</v>
      </c>
      <c r="F2986" s="3" t="s">
        <v>29</v>
      </c>
      <c r="G2986" s="9" t="s">
        <v>4918</v>
      </c>
      <c r="H2986" s="9" t="s">
        <v>4919</v>
      </c>
      <c r="I2986" s="3"/>
      <c r="J2986" s="3"/>
      <c r="K2986" s="9"/>
    </row>
    <row r="2987" ht="15.75" customHeight="1">
      <c r="A2987" s="10" t="s">
        <v>12</v>
      </c>
      <c r="B2987" s="10" t="s">
        <v>359</v>
      </c>
      <c r="C2987" s="10" t="s">
        <v>11534</v>
      </c>
      <c r="D2987" s="11" t="str">
        <f t="shared" si="1"/>
        <v>Abrir anúncio ↗</v>
      </c>
      <c r="E2987" s="12" t="s">
        <v>11535</v>
      </c>
      <c r="F2987" s="10" t="s">
        <v>29</v>
      </c>
      <c r="G2987" s="12" t="s">
        <v>4918</v>
      </c>
      <c r="H2987" s="12" t="s">
        <v>4919</v>
      </c>
      <c r="I2987" s="10"/>
      <c r="J2987" s="10"/>
      <c r="K2987" s="12"/>
    </row>
    <row r="2988" ht="15.75" customHeight="1">
      <c r="A2988" s="3" t="s">
        <v>12</v>
      </c>
      <c r="B2988" s="3" t="s">
        <v>359</v>
      </c>
      <c r="C2988" s="3" t="s">
        <v>11536</v>
      </c>
      <c r="D2988" s="8" t="str">
        <f t="shared" si="1"/>
        <v>Abrir anúncio ↗</v>
      </c>
      <c r="E2988" s="9" t="s">
        <v>11537</v>
      </c>
      <c r="F2988" s="3" t="s">
        <v>29</v>
      </c>
      <c r="G2988" s="9" t="s">
        <v>4918</v>
      </c>
      <c r="H2988" s="9" t="s">
        <v>4919</v>
      </c>
      <c r="I2988" s="3"/>
      <c r="J2988" s="3"/>
      <c r="K2988" s="9"/>
    </row>
    <row r="2989" ht="15.75" customHeight="1">
      <c r="A2989" s="10" t="s">
        <v>12</v>
      </c>
      <c r="B2989" s="10" t="s">
        <v>359</v>
      </c>
      <c r="C2989" s="10" t="s">
        <v>11538</v>
      </c>
      <c r="D2989" s="11" t="str">
        <f t="shared" si="1"/>
        <v>Abrir anúncio ↗</v>
      </c>
      <c r="E2989" s="12" t="s">
        <v>11539</v>
      </c>
      <c r="F2989" s="10" t="s">
        <v>29</v>
      </c>
      <c r="G2989" s="12" t="s">
        <v>4918</v>
      </c>
      <c r="H2989" s="12" t="s">
        <v>4919</v>
      </c>
      <c r="I2989" s="10"/>
      <c r="J2989" s="10"/>
      <c r="K2989" s="12"/>
    </row>
    <row r="2990" ht="15.75" customHeight="1">
      <c r="A2990" s="3" t="s">
        <v>12</v>
      </c>
      <c r="B2990" s="3" t="s">
        <v>359</v>
      </c>
      <c r="C2990" s="3" t="s">
        <v>11540</v>
      </c>
      <c r="D2990" s="8" t="str">
        <f t="shared" si="1"/>
        <v>Abrir anúncio ↗</v>
      </c>
      <c r="E2990" s="9" t="s">
        <v>11541</v>
      </c>
      <c r="F2990" s="3" t="s">
        <v>29</v>
      </c>
      <c r="G2990" s="9" t="s">
        <v>4918</v>
      </c>
      <c r="H2990" s="9" t="s">
        <v>4919</v>
      </c>
      <c r="I2990" s="3"/>
      <c r="J2990" s="3"/>
      <c r="K2990" s="9"/>
    </row>
    <row r="2991" ht="15.75" customHeight="1">
      <c r="A2991" s="10" t="s">
        <v>12</v>
      </c>
      <c r="B2991" s="10" t="s">
        <v>359</v>
      </c>
      <c r="C2991" s="10" t="s">
        <v>11542</v>
      </c>
      <c r="D2991" s="11" t="str">
        <f t="shared" si="1"/>
        <v>Abrir anúncio ↗</v>
      </c>
      <c r="E2991" s="12" t="s">
        <v>11543</v>
      </c>
      <c r="F2991" s="10" t="s">
        <v>29</v>
      </c>
      <c r="G2991" s="12" t="s">
        <v>4918</v>
      </c>
      <c r="H2991" s="12" t="s">
        <v>4919</v>
      </c>
      <c r="I2991" s="10"/>
      <c r="J2991" s="10"/>
      <c r="K2991" s="12"/>
    </row>
    <row r="2992" ht="15.75" customHeight="1">
      <c r="A2992" s="3" t="s">
        <v>12</v>
      </c>
      <c r="B2992" s="3" t="s">
        <v>359</v>
      </c>
      <c r="C2992" s="3" t="s">
        <v>11544</v>
      </c>
      <c r="D2992" s="8" t="str">
        <f t="shared" si="1"/>
        <v>Abrir anúncio ↗</v>
      </c>
      <c r="E2992" s="9" t="s">
        <v>11545</v>
      </c>
      <c r="F2992" s="3" t="s">
        <v>29</v>
      </c>
      <c r="G2992" s="9" t="s">
        <v>4918</v>
      </c>
      <c r="H2992" s="9" t="s">
        <v>4919</v>
      </c>
      <c r="I2992" s="3"/>
      <c r="J2992" s="3"/>
      <c r="K2992" s="9"/>
    </row>
    <row r="2993" ht="15.75" customHeight="1">
      <c r="A2993" s="10" t="s">
        <v>12</v>
      </c>
      <c r="B2993" s="10" t="s">
        <v>359</v>
      </c>
      <c r="C2993" s="10" t="s">
        <v>11546</v>
      </c>
      <c r="D2993" s="11" t="str">
        <f t="shared" si="1"/>
        <v>Abrir anúncio ↗</v>
      </c>
      <c r="E2993" s="12" t="s">
        <v>11547</v>
      </c>
      <c r="F2993" s="10" t="s">
        <v>29</v>
      </c>
      <c r="G2993" s="12" t="s">
        <v>4918</v>
      </c>
      <c r="H2993" s="12" t="s">
        <v>4919</v>
      </c>
      <c r="I2993" s="10"/>
      <c r="J2993" s="10"/>
      <c r="K2993" s="12"/>
    </row>
    <row r="2994" ht="15.75" customHeight="1">
      <c r="A2994" s="3" t="s">
        <v>12</v>
      </c>
      <c r="B2994" s="3" t="s">
        <v>359</v>
      </c>
      <c r="C2994" s="3" t="s">
        <v>11548</v>
      </c>
      <c r="D2994" s="8" t="str">
        <f t="shared" si="1"/>
        <v>Abrir anúncio ↗</v>
      </c>
      <c r="E2994" s="9" t="s">
        <v>11549</v>
      </c>
      <c r="F2994" s="3" t="s">
        <v>29</v>
      </c>
      <c r="G2994" s="9" t="s">
        <v>4918</v>
      </c>
      <c r="H2994" s="9" t="s">
        <v>4919</v>
      </c>
      <c r="I2994" s="3"/>
      <c r="J2994" s="3"/>
      <c r="K2994" s="9"/>
    </row>
    <row r="2995" ht="15.75" customHeight="1">
      <c r="A2995" s="10" t="s">
        <v>12</v>
      </c>
      <c r="B2995" s="10" t="s">
        <v>359</v>
      </c>
      <c r="C2995" s="10" t="s">
        <v>11550</v>
      </c>
      <c r="D2995" s="11" t="str">
        <f t="shared" si="1"/>
        <v>Abrir anúncio ↗</v>
      </c>
      <c r="E2995" s="12" t="s">
        <v>11551</v>
      </c>
      <c r="F2995" s="10" t="s">
        <v>29</v>
      </c>
      <c r="G2995" s="12" t="s">
        <v>4918</v>
      </c>
      <c r="H2995" s="12" t="s">
        <v>4919</v>
      </c>
      <c r="I2995" s="10"/>
      <c r="J2995" s="10"/>
      <c r="K2995" s="12"/>
    </row>
    <row r="2996" ht="15.75" customHeight="1">
      <c r="A2996" s="3" t="s">
        <v>12</v>
      </c>
      <c r="B2996" s="3" t="s">
        <v>359</v>
      </c>
      <c r="C2996" s="3" t="s">
        <v>11552</v>
      </c>
      <c r="D2996" s="8" t="str">
        <f t="shared" si="1"/>
        <v>Abrir anúncio ↗</v>
      </c>
      <c r="E2996" s="9" t="s">
        <v>11553</v>
      </c>
      <c r="F2996" s="3" t="s">
        <v>29</v>
      </c>
      <c r="G2996" s="9" t="s">
        <v>4918</v>
      </c>
      <c r="H2996" s="9" t="s">
        <v>4919</v>
      </c>
      <c r="I2996" s="3"/>
      <c r="J2996" s="3"/>
      <c r="K2996" s="9"/>
    </row>
    <row r="2997" ht="15.75" customHeight="1">
      <c r="A2997" s="10" t="s">
        <v>12</v>
      </c>
      <c r="B2997" s="10" t="s">
        <v>359</v>
      </c>
      <c r="C2997" s="10" t="s">
        <v>11554</v>
      </c>
      <c r="D2997" s="11" t="str">
        <f t="shared" si="1"/>
        <v>Abrir anúncio ↗</v>
      </c>
      <c r="E2997" s="12" t="s">
        <v>11555</v>
      </c>
      <c r="F2997" s="10" t="s">
        <v>29</v>
      </c>
      <c r="G2997" s="12" t="s">
        <v>4918</v>
      </c>
      <c r="H2997" s="12" t="s">
        <v>4919</v>
      </c>
      <c r="I2997" s="10"/>
      <c r="J2997" s="10"/>
      <c r="K2997" s="12"/>
    </row>
    <row r="2998" ht="15.75" customHeight="1">
      <c r="A2998" s="3" t="s">
        <v>12</v>
      </c>
      <c r="B2998" s="3" t="s">
        <v>359</v>
      </c>
      <c r="C2998" s="3" t="s">
        <v>11556</v>
      </c>
      <c r="D2998" s="8" t="str">
        <f t="shared" si="1"/>
        <v>Abrir anúncio ↗</v>
      </c>
      <c r="E2998" s="9" t="s">
        <v>11557</v>
      </c>
      <c r="F2998" s="3" t="s">
        <v>29</v>
      </c>
      <c r="G2998" s="9" t="s">
        <v>4918</v>
      </c>
      <c r="H2998" s="9" t="s">
        <v>4919</v>
      </c>
      <c r="I2998" s="3"/>
      <c r="J2998" s="3"/>
      <c r="K2998" s="9"/>
    </row>
    <row r="2999" ht="15.75" customHeight="1">
      <c r="A2999" s="10" t="s">
        <v>12</v>
      </c>
      <c r="B2999" s="10" t="s">
        <v>359</v>
      </c>
      <c r="C2999" s="10" t="s">
        <v>11558</v>
      </c>
      <c r="D2999" s="11" t="str">
        <f t="shared" si="1"/>
        <v>Abrir anúncio ↗</v>
      </c>
      <c r="E2999" s="12" t="s">
        <v>11559</v>
      </c>
      <c r="F2999" s="10" t="s">
        <v>29</v>
      </c>
      <c r="G2999" s="12" t="s">
        <v>4918</v>
      </c>
      <c r="H2999" s="12" t="s">
        <v>4919</v>
      </c>
      <c r="I2999" s="10"/>
      <c r="J2999" s="10"/>
      <c r="K2999" s="12"/>
    </row>
    <row r="3000" ht="15.75" customHeight="1">
      <c r="A3000" s="3" t="s">
        <v>12</v>
      </c>
      <c r="B3000" s="3" t="s">
        <v>359</v>
      </c>
      <c r="C3000" s="3" t="s">
        <v>11560</v>
      </c>
      <c r="D3000" s="8" t="str">
        <f t="shared" si="1"/>
        <v>Abrir anúncio ↗</v>
      </c>
      <c r="E3000" s="9" t="s">
        <v>11561</v>
      </c>
      <c r="F3000" s="3" t="s">
        <v>29</v>
      </c>
      <c r="G3000" s="9" t="s">
        <v>4918</v>
      </c>
      <c r="H3000" s="9" t="s">
        <v>4919</v>
      </c>
      <c r="I3000" s="3"/>
      <c r="J3000" s="3"/>
      <c r="K3000" s="9"/>
    </row>
    <row r="3001" ht="15.75" customHeight="1">
      <c r="A3001" s="10" t="s">
        <v>12</v>
      </c>
      <c r="B3001" s="10" t="s">
        <v>359</v>
      </c>
      <c r="C3001" s="10" t="s">
        <v>11562</v>
      </c>
      <c r="D3001" s="11" t="str">
        <f t="shared" si="1"/>
        <v>Abrir anúncio ↗</v>
      </c>
      <c r="E3001" s="12" t="s">
        <v>11563</v>
      </c>
      <c r="F3001" s="10" t="s">
        <v>86</v>
      </c>
      <c r="G3001" s="12" t="s">
        <v>9514</v>
      </c>
      <c r="H3001" s="12" t="s">
        <v>9515</v>
      </c>
      <c r="I3001" s="10"/>
      <c r="J3001" s="10"/>
      <c r="K3001" s="12"/>
    </row>
    <row r="3002" ht="15.75" customHeight="1">
      <c r="A3002" s="3" t="s">
        <v>12</v>
      </c>
      <c r="B3002" s="3" t="s">
        <v>359</v>
      </c>
      <c r="C3002" s="3" t="s">
        <v>8979</v>
      </c>
      <c r="D3002" s="8" t="str">
        <f t="shared" si="1"/>
        <v>Abrir anúncio ↗</v>
      </c>
      <c r="E3002" s="9" t="s">
        <v>8662</v>
      </c>
      <c r="F3002" s="3" t="s">
        <v>29</v>
      </c>
      <c r="G3002" s="9" t="s">
        <v>4918</v>
      </c>
      <c r="H3002" s="9" t="s">
        <v>4919</v>
      </c>
      <c r="I3002" s="3"/>
      <c r="J3002" s="3"/>
      <c r="K3002" s="9"/>
    </row>
    <row r="3003" ht="15.75" customHeight="1">
      <c r="A3003" s="10" t="s">
        <v>12</v>
      </c>
      <c r="B3003" s="10" t="s">
        <v>359</v>
      </c>
      <c r="C3003" s="10" t="s">
        <v>8893</v>
      </c>
      <c r="D3003" s="11" t="str">
        <f t="shared" si="1"/>
        <v>Abrir anúncio ↗</v>
      </c>
      <c r="E3003" s="12" t="s">
        <v>7038</v>
      </c>
      <c r="F3003" s="10" t="s">
        <v>29</v>
      </c>
      <c r="G3003" s="12" t="s">
        <v>4918</v>
      </c>
      <c r="H3003" s="12" t="s">
        <v>4919</v>
      </c>
      <c r="I3003" s="10"/>
      <c r="J3003" s="10"/>
      <c r="K3003" s="12"/>
    </row>
    <row r="3004" ht="15.75" customHeight="1">
      <c r="A3004" s="3" t="s">
        <v>12</v>
      </c>
      <c r="B3004" s="3" t="s">
        <v>359</v>
      </c>
      <c r="C3004" s="3" t="s">
        <v>11564</v>
      </c>
      <c r="D3004" s="8" t="str">
        <f t="shared" si="1"/>
        <v>Abrir anúncio ↗</v>
      </c>
      <c r="E3004" s="9" t="s">
        <v>11565</v>
      </c>
      <c r="F3004" s="3" t="s">
        <v>29</v>
      </c>
      <c r="G3004" s="9" t="s">
        <v>4918</v>
      </c>
      <c r="H3004" s="9" t="s">
        <v>4919</v>
      </c>
      <c r="I3004" s="3"/>
      <c r="J3004" s="3"/>
      <c r="K3004" s="9"/>
    </row>
    <row r="3005" ht="15.75" customHeight="1">
      <c r="A3005" s="10" t="s">
        <v>12</v>
      </c>
      <c r="B3005" s="10" t="s">
        <v>359</v>
      </c>
      <c r="C3005" s="10" t="s">
        <v>11566</v>
      </c>
      <c r="D3005" s="11" t="str">
        <f t="shared" si="1"/>
        <v>Abrir anúncio ↗</v>
      </c>
      <c r="E3005" s="12" t="s">
        <v>11567</v>
      </c>
      <c r="F3005" s="10" t="s">
        <v>29</v>
      </c>
      <c r="G3005" s="12" t="s">
        <v>4918</v>
      </c>
      <c r="H3005" s="12" t="s">
        <v>4919</v>
      </c>
      <c r="I3005" s="10"/>
      <c r="J3005" s="10"/>
      <c r="K3005" s="12"/>
    </row>
    <row r="3006" ht="15.75" customHeight="1">
      <c r="A3006" s="3" t="s">
        <v>12</v>
      </c>
      <c r="B3006" s="3" t="s">
        <v>359</v>
      </c>
      <c r="C3006" s="3" t="s">
        <v>11568</v>
      </c>
      <c r="D3006" s="8" t="str">
        <f t="shared" si="1"/>
        <v>Abrir anúncio ↗</v>
      </c>
      <c r="E3006" s="9" t="s">
        <v>11569</v>
      </c>
      <c r="F3006" s="3" t="s">
        <v>29</v>
      </c>
      <c r="G3006" s="9" t="s">
        <v>4918</v>
      </c>
      <c r="H3006" s="9" t="s">
        <v>4919</v>
      </c>
      <c r="I3006" s="3"/>
      <c r="J3006" s="3"/>
      <c r="K3006" s="9"/>
    </row>
    <row r="3007" ht="15.75" customHeight="1">
      <c r="A3007" s="10" t="s">
        <v>12</v>
      </c>
      <c r="B3007" s="10" t="s">
        <v>359</v>
      </c>
      <c r="C3007" s="10" t="s">
        <v>8882</v>
      </c>
      <c r="D3007" s="11" t="str">
        <f t="shared" si="1"/>
        <v>Abrir anúncio ↗</v>
      </c>
      <c r="E3007" s="12" t="s">
        <v>6902</v>
      </c>
      <c r="F3007" s="10" t="s">
        <v>29</v>
      </c>
      <c r="G3007" s="12" t="s">
        <v>4918</v>
      </c>
      <c r="H3007" s="12" t="s">
        <v>4919</v>
      </c>
      <c r="I3007" s="10"/>
      <c r="J3007" s="10"/>
      <c r="K3007" s="12"/>
    </row>
    <row r="3008" ht="15.75" customHeight="1">
      <c r="A3008" s="3" t="s">
        <v>12</v>
      </c>
      <c r="B3008" s="3" t="s">
        <v>359</v>
      </c>
      <c r="C3008" s="3" t="s">
        <v>11570</v>
      </c>
      <c r="D3008" s="8" t="str">
        <f t="shared" si="1"/>
        <v>Abrir anúncio ↗</v>
      </c>
      <c r="E3008" s="9" t="s">
        <v>11571</v>
      </c>
      <c r="F3008" s="3" t="s">
        <v>86</v>
      </c>
      <c r="G3008" s="9" t="s">
        <v>9514</v>
      </c>
      <c r="H3008" s="9" t="s">
        <v>9515</v>
      </c>
      <c r="I3008" s="3"/>
      <c r="J3008" s="3"/>
      <c r="K3008" s="9"/>
    </row>
    <row r="3009" ht="15.75" customHeight="1">
      <c r="A3009" s="10" t="s">
        <v>12</v>
      </c>
      <c r="B3009" s="10" t="s">
        <v>359</v>
      </c>
      <c r="C3009" s="10" t="s">
        <v>11572</v>
      </c>
      <c r="D3009" s="11" t="str">
        <f t="shared" si="1"/>
        <v>Abrir anúncio ↗</v>
      </c>
      <c r="E3009" s="12" t="s">
        <v>11573</v>
      </c>
      <c r="F3009" s="10" t="s">
        <v>29</v>
      </c>
      <c r="G3009" s="12" t="s">
        <v>4918</v>
      </c>
      <c r="H3009" s="12" t="s">
        <v>4919</v>
      </c>
      <c r="I3009" s="10"/>
      <c r="J3009" s="10"/>
      <c r="K3009" s="12"/>
    </row>
    <row r="3010" ht="15.75" customHeight="1">
      <c r="A3010" s="3" t="s">
        <v>12</v>
      </c>
      <c r="B3010" s="3" t="s">
        <v>359</v>
      </c>
      <c r="C3010" s="3" t="s">
        <v>11574</v>
      </c>
      <c r="D3010" s="8" t="str">
        <f t="shared" si="1"/>
        <v>Abrir anúncio ↗</v>
      </c>
      <c r="E3010" s="9" t="s">
        <v>11575</v>
      </c>
      <c r="F3010" s="3" t="s">
        <v>86</v>
      </c>
      <c r="G3010" s="9" t="s">
        <v>9514</v>
      </c>
      <c r="H3010" s="9" t="s">
        <v>9515</v>
      </c>
      <c r="I3010" s="3"/>
      <c r="J3010" s="3"/>
      <c r="K3010" s="9"/>
    </row>
    <row r="3011" ht="15.75" customHeight="1">
      <c r="A3011" s="10" t="s">
        <v>12</v>
      </c>
      <c r="B3011" s="10" t="s">
        <v>359</v>
      </c>
      <c r="C3011" s="10" t="s">
        <v>11576</v>
      </c>
      <c r="D3011" s="11" t="str">
        <f t="shared" si="1"/>
        <v>Abrir anúncio ↗</v>
      </c>
      <c r="E3011" s="12" t="s">
        <v>11577</v>
      </c>
      <c r="F3011" s="10" t="s">
        <v>86</v>
      </c>
      <c r="G3011" s="12" t="s">
        <v>9514</v>
      </c>
      <c r="H3011" s="12" t="s">
        <v>9515</v>
      </c>
      <c r="I3011" s="10"/>
      <c r="J3011" s="10"/>
      <c r="K3011" s="12"/>
    </row>
    <row r="3012" ht="15.75" customHeight="1">
      <c r="A3012" s="3" t="s">
        <v>12</v>
      </c>
      <c r="B3012" s="3" t="s">
        <v>359</v>
      </c>
      <c r="C3012" s="3" t="s">
        <v>8983</v>
      </c>
      <c r="D3012" s="8" t="str">
        <f t="shared" si="1"/>
        <v>Abrir anúncio ↗</v>
      </c>
      <c r="E3012" s="9" t="s">
        <v>8673</v>
      </c>
      <c r="F3012" s="3" t="s">
        <v>29</v>
      </c>
      <c r="G3012" s="9" t="s">
        <v>4918</v>
      </c>
      <c r="H3012" s="9" t="s">
        <v>4919</v>
      </c>
      <c r="I3012" s="3"/>
      <c r="J3012" s="3"/>
      <c r="K3012" s="9"/>
    </row>
    <row r="3013" ht="15.75" customHeight="1">
      <c r="A3013" s="10" t="s">
        <v>12</v>
      </c>
      <c r="B3013" s="10" t="s">
        <v>359</v>
      </c>
      <c r="C3013" s="10" t="s">
        <v>11578</v>
      </c>
      <c r="D3013" s="11" t="str">
        <f t="shared" si="1"/>
        <v>Abrir anúncio ↗</v>
      </c>
      <c r="E3013" s="12" t="s">
        <v>11579</v>
      </c>
      <c r="F3013" s="10" t="s">
        <v>29</v>
      </c>
      <c r="G3013" s="12" t="s">
        <v>4918</v>
      </c>
      <c r="H3013" s="12" t="s">
        <v>4919</v>
      </c>
      <c r="I3013" s="10"/>
      <c r="J3013" s="10"/>
      <c r="K3013" s="12"/>
    </row>
    <row r="3014" ht="15.75" customHeight="1">
      <c r="A3014" s="3" t="s">
        <v>12</v>
      </c>
      <c r="B3014" s="3" t="s">
        <v>359</v>
      </c>
      <c r="C3014" s="3" t="s">
        <v>8986</v>
      </c>
      <c r="D3014" s="8" t="str">
        <f t="shared" si="1"/>
        <v>Abrir anúncio ↗</v>
      </c>
      <c r="E3014" s="9" t="s">
        <v>8431</v>
      </c>
      <c r="F3014" s="3" t="s">
        <v>29</v>
      </c>
      <c r="G3014" s="9" t="s">
        <v>4918</v>
      </c>
      <c r="H3014" s="9" t="s">
        <v>4919</v>
      </c>
      <c r="I3014" s="3"/>
      <c r="J3014" s="3"/>
      <c r="K3014" s="9"/>
    </row>
    <row r="3015" ht="15.75" customHeight="1">
      <c r="A3015" s="10" t="s">
        <v>12</v>
      </c>
      <c r="B3015" s="10" t="s">
        <v>359</v>
      </c>
      <c r="C3015" s="10" t="s">
        <v>11580</v>
      </c>
      <c r="D3015" s="11" t="str">
        <f t="shared" si="1"/>
        <v>Abrir anúncio ↗</v>
      </c>
      <c r="E3015" s="12" t="s">
        <v>11581</v>
      </c>
      <c r="F3015" s="10" t="s">
        <v>29</v>
      </c>
      <c r="G3015" s="12" t="s">
        <v>4918</v>
      </c>
      <c r="H3015" s="12" t="s">
        <v>4919</v>
      </c>
      <c r="I3015" s="10"/>
      <c r="J3015" s="10"/>
      <c r="K3015" s="12"/>
    </row>
    <row r="3016" ht="15.75" customHeight="1">
      <c r="A3016" s="3" t="s">
        <v>12</v>
      </c>
      <c r="B3016" s="3" t="s">
        <v>359</v>
      </c>
      <c r="C3016" s="3" t="s">
        <v>11582</v>
      </c>
      <c r="D3016" s="8" t="str">
        <f t="shared" si="1"/>
        <v>Abrir anúncio ↗</v>
      </c>
      <c r="E3016" s="9" t="s">
        <v>11583</v>
      </c>
      <c r="F3016" s="3" t="s">
        <v>29</v>
      </c>
      <c r="G3016" s="9" t="s">
        <v>4918</v>
      </c>
      <c r="H3016" s="9" t="s">
        <v>4919</v>
      </c>
      <c r="I3016" s="3"/>
      <c r="J3016" s="3"/>
      <c r="K3016" s="9"/>
    </row>
    <row r="3017" ht="15.75" customHeight="1">
      <c r="A3017" s="10" t="s">
        <v>12</v>
      </c>
      <c r="B3017" s="10" t="s">
        <v>359</v>
      </c>
      <c r="C3017" s="10" t="s">
        <v>11584</v>
      </c>
      <c r="D3017" s="11" t="str">
        <f t="shared" si="1"/>
        <v>Abrir anúncio ↗</v>
      </c>
      <c r="E3017" s="12" t="s">
        <v>11585</v>
      </c>
      <c r="F3017" s="10" t="s">
        <v>86</v>
      </c>
      <c r="G3017" s="12" t="s">
        <v>9514</v>
      </c>
      <c r="H3017" s="12" t="s">
        <v>9515</v>
      </c>
      <c r="I3017" s="10"/>
      <c r="J3017" s="10"/>
      <c r="K3017" s="12"/>
    </row>
    <row r="3018" ht="15.75" customHeight="1">
      <c r="A3018" s="3" t="s">
        <v>12</v>
      </c>
      <c r="B3018" s="3" t="s">
        <v>359</v>
      </c>
      <c r="C3018" s="3" t="s">
        <v>11586</v>
      </c>
      <c r="D3018" s="8" t="str">
        <f t="shared" si="1"/>
        <v>Abrir anúncio ↗</v>
      </c>
      <c r="E3018" s="9" t="s">
        <v>11587</v>
      </c>
      <c r="F3018" s="3" t="s">
        <v>29</v>
      </c>
      <c r="G3018" s="9" t="s">
        <v>9253</v>
      </c>
      <c r="H3018" s="9" t="s">
        <v>9254</v>
      </c>
      <c r="I3018" s="3"/>
      <c r="J3018" s="3"/>
      <c r="K3018" s="9"/>
    </row>
    <row r="3019" ht="15.75" customHeight="1">
      <c r="A3019" s="10" t="s">
        <v>12</v>
      </c>
      <c r="B3019" s="10" t="s">
        <v>359</v>
      </c>
      <c r="C3019" s="10" t="s">
        <v>11588</v>
      </c>
      <c r="D3019" s="11" t="str">
        <f t="shared" si="1"/>
        <v>Abrir anúncio ↗</v>
      </c>
      <c r="E3019" s="12" t="s">
        <v>11589</v>
      </c>
      <c r="F3019" s="10" t="s">
        <v>29</v>
      </c>
      <c r="G3019" s="12" t="s">
        <v>4918</v>
      </c>
      <c r="H3019" s="12" t="s">
        <v>4919</v>
      </c>
      <c r="I3019" s="10"/>
      <c r="J3019" s="10"/>
      <c r="K3019" s="12"/>
    </row>
    <row r="3020" ht="15.75" customHeight="1">
      <c r="A3020" s="3" t="s">
        <v>12</v>
      </c>
      <c r="B3020" s="3" t="s">
        <v>359</v>
      </c>
      <c r="C3020" s="3" t="s">
        <v>11590</v>
      </c>
      <c r="D3020" s="8" t="str">
        <f t="shared" si="1"/>
        <v>Abrir anúncio ↗</v>
      </c>
      <c r="E3020" s="9" t="s">
        <v>11591</v>
      </c>
      <c r="F3020" s="3" t="s">
        <v>29</v>
      </c>
      <c r="G3020" s="9" t="s">
        <v>4918</v>
      </c>
      <c r="H3020" s="9" t="s">
        <v>4919</v>
      </c>
      <c r="I3020" s="3"/>
      <c r="J3020" s="3"/>
      <c r="K3020" s="9"/>
    </row>
    <row r="3021" ht="15.75" customHeight="1">
      <c r="A3021" s="10" t="s">
        <v>12</v>
      </c>
      <c r="B3021" s="10" t="s">
        <v>359</v>
      </c>
      <c r="C3021" s="10" t="s">
        <v>11592</v>
      </c>
      <c r="D3021" s="11" t="str">
        <f t="shared" si="1"/>
        <v>Abrir anúncio ↗</v>
      </c>
      <c r="E3021" s="12" t="s">
        <v>11593</v>
      </c>
      <c r="F3021" s="10" t="s">
        <v>29</v>
      </c>
      <c r="G3021" s="12" t="s">
        <v>4918</v>
      </c>
      <c r="H3021" s="12" t="s">
        <v>4919</v>
      </c>
      <c r="I3021" s="10"/>
      <c r="J3021" s="10"/>
      <c r="K3021" s="12"/>
    </row>
    <row r="3022" ht="15.75" customHeight="1">
      <c r="A3022" s="3" t="s">
        <v>12</v>
      </c>
      <c r="B3022" s="3" t="s">
        <v>359</v>
      </c>
      <c r="C3022" s="3" t="s">
        <v>11594</v>
      </c>
      <c r="D3022" s="8" t="str">
        <f t="shared" si="1"/>
        <v>Abrir anúncio ↗</v>
      </c>
      <c r="E3022" s="9" t="s">
        <v>11595</v>
      </c>
      <c r="F3022" s="3" t="s">
        <v>29</v>
      </c>
      <c r="G3022" s="9" t="s">
        <v>4918</v>
      </c>
      <c r="H3022" s="9" t="s">
        <v>4919</v>
      </c>
      <c r="I3022" s="3"/>
      <c r="J3022" s="3"/>
      <c r="K3022" s="9"/>
    </row>
    <row r="3023" ht="15.75" customHeight="1">
      <c r="A3023" s="10" t="s">
        <v>12</v>
      </c>
      <c r="B3023" s="10" t="s">
        <v>359</v>
      </c>
      <c r="C3023" s="10" t="s">
        <v>11596</v>
      </c>
      <c r="D3023" s="11" t="str">
        <f t="shared" si="1"/>
        <v>Abrir anúncio ↗</v>
      </c>
      <c r="E3023" s="12" t="s">
        <v>11597</v>
      </c>
      <c r="F3023" s="10" t="s">
        <v>29</v>
      </c>
      <c r="G3023" s="12" t="s">
        <v>4918</v>
      </c>
      <c r="H3023" s="12" t="s">
        <v>4919</v>
      </c>
      <c r="I3023" s="10"/>
      <c r="J3023" s="10"/>
      <c r="K3023" s="12"/>
    </row>
    <row r="3024" ht="15.75" customHeight="1">
      <c r="A3024" s="3" t="s">
        <v>12</v>
      </c>
      <c r="B3024" s="3" t="s">
        <v>359</v>
      </c>
      <c r="C3024" s="3" t="s">
        <v>11598</v>
      </c>
      <c r="D3024" s="8" t="str">
        <f t="shared" si="1"/>
        <v>Abrir anúncio ↗</v>
      </c>
      <c r="E3024" s="9" t="s">
        <v>11599</v>
      </c>
      <c r="F3024" s="3" t="s">
        <v>29</v>
      </c>
      <c r="G3024" s="9" t="s">
        <v>4918</v>
      </c>
      <c r="H3024" s="9" t="s">
        <v>4919</v>
      </c>
      <c r="I3024" s="3"/>
      <c r="J3024" s="3"/>
      <c r="K3024" s="9"/>
    </row>
    <row r="3025" ht="15.75" customHeight="1">
      <c r="A3025" s="10" t="s">
        <v>12</v>
      </c>
      <c r="B3025" s="10" t="s">
        <v>359</v>
      </c>
      <c r="C3025" s="10" t="s">
        <v>11600</v>
      </c>
      <c r="D3025" s="11" t="str">
        <f t="shared" si="1"/>
        <v>Abrir anúncio ↗</v>
      </c>
      <c r="E3025" s="12" t="s">
        <v>11601</v>
      </c>
      <c r="F3025" s="10" t="s">
        <v>29</v>
      </c>
      <c r="G3025" s="12" t="s">
        <v>4918</v>
      </c>
      <c r="H3025" s="12" t="s">
        <v>4919</v>
      </c>
      <c r="I3025" s="10"/>
      <c r="J3025" s="10"/>
      <c r="K3025" s="12"/>
    </row>
    <row r="3026" ht="15.75" customHeight="1">
      <c r="A3026" s="3" t="s">
        <v>12</v>
      </c>
      <c r="B3026" s="3" t="s">
        <v>359</v>
      </c>
      <c r="C3026" s="3" t="s">
        <v>11602</v>
      </c>
      <c r="D3026" s="8" t="str">
        <f t="shared" si="1"/>
        <v>Abrir anúncio ↗</v>
      </c>
      <c r="E3026" s="9" t="s">
        <v>11603</v>
      </c>
      <c r="F3026" s="3" t="s">
        <v>29</v>
      </c>
      <c r="G3026" s="9" t="s">
        <v>4918</v>
      </c>
      <c r="H3026" s="9" t="s">
        <v>4919</v>
      </c>
      <c r="I3026" s="3"/>
      <c r="J3026" s="3"/>
      <c r="K3026" s="9"/>
    </row>
    <row r="3027" ht="15.75" customHeight="1">
      <c r="A3027" s="10" t="s">
        <v>12</v>
      </c>
      <c r="B3027" s="10" t="s">
        <v>359</v>
      </c>
      <c r="C3027" s="10" t="s">
        <v>11604</v>
      </c>
      <c r="D3027" s="11" t="str">
        <f t="shared" si="1"/>
        <v>Abrir anúncio ↗</v>
      </c>
      <c r="E3027" s="12" t="s">
        <v>11605</v>
      </c>
      <c r="F3027" s="10" t="s">
        <v>29</v>
      </c>
      <c r="G3027" s="12" t="s">
        <v>4918</v>
      </c>
      <c r="H3027" s="12" t="s">
        <v>4919</v>
      </c>
      <c r="I3027" s="10"/>
      <c r="J3027" s="10"/>
      <c r="K3027" s="12"/>
    </row>
    <row r="3028" ht="15.75" customHeight="1">
      <c r="A3028" s="3" t="s">
        <v>12</v>
      </c>
      <c r="B3028" s="3" t="s">
        <v>359</v>
      </c>
      <c r="C3028" s="3" t="s">
        <v>11606</v>
      </c>
      <c r="D3028" s="8" t="str">
        <f t="shared" si="1"/>
        <v>Abrir anúncio ↗</v>
      </c>
      <c r="E3028" s="9" t="s">
        <v>11607</v>
      </c>
      <c r="F3028" s="3" t="s">
        <v>29</v>
      </c>
      <c r="G3028" s="9" t="s">
        <v>4918</v>
      </c>
      <c r="H3028" s="9" t="s">
        <v>4919</v>
      </c>
      <c r="I3028" s="3"/>
      <c r="J3028" s="3"/>
      <c r="K3028" s="9"/>
    </row>
    <row r="3029" ht="15.75" customHeight="1">
      <c r="A3029" s="10" t="s">
        <v>12</v>
      </c>
      <c r="B3029" s="10" t="s">
        <v>359</v>
      </c>
      <c r="C3029" s="10" t="s">
        <v>11608</v>
      </c>
      <c r="D3029" s="11" t="str">
        <f t="shared" si="1"/>
        <v>Abrir anúncio ↗</v>
      </c>
      <c r="E3029" s="12" t="s">
        <v>11609</v>
      </c>
      <c r="F3029" s="10" t="s">
        <v>29</v>
      </c>
      <c r="G3029" s="12" t="s">
        <v>4918</v>
      </c>
      <c r="H3029" s="12" t="s">
        <v>4919</v>
      </c>
      <c r="I3029" s="10"/>
      <c r="J3029" s="10"/>
      <c r="K3029" s="12"/>
    </row>
    <row r="3030" ht="15.75" customHeight="1">
      <c r="A3030" s="3" t="s">
        <v>12</v>
      </c>
      <c r="B3030" s="3" t="s">
        <v>359</v>
      </c>
      <c r="C3030" s="3" t="s">
        <v>11610</v>
      </c>
      <c r="D3030" s="8" t="str">
        <f t="shared" si="1"/>
        <v>Abrir anúncio ↗</v>
      </c>
      <c r="E3030" s="9" t="s">
        <v>11611</v>
      </c>
      <c r="F3030" s="3" t="s">
        <v>29</v>
      </c>
      <c r="G3030" s="9" t="s">
        <v>4918</v>
      </c>
      <c r="H3030" s="9" t="s">
        <v>4919</v>
      </c>
      <c r="I3030" s="3"/>
      <c r="J3030" s="3"/>
      <c r="K3030" s="9"/>
    </row>
    <row r="3031" ht="15.75" customHeight="1">
      <c r="A3031" s="10" t="s">
        <v>12</v>
      </c>
      <c r="B3031" s="10" t="s">
        <v>359</v>
      </c>
      <c r="C3031" s="10" t="s">
        <v>11612</v>
      </c>
      <c r="D3031" s="11" t="str">
        <f t="shared" si="1"/>
        <v>Abrir anúncio ↗</v>
      </c>
      <c r="E3031" s="12" t="s">
        <v>11613</v>
      </c>
      <c r="F3031" s="10" t="s">
        <v>29</v>
      </c>
      <c r="G3031" s="12" t="s">
        <v>4918</v>
      </c>
      <c r="H3031" s="12" t="s">
        <v>4919</v>
      </c>
      <c r="I3031" s="10"/>
      <c r="J3031" s="10"/>
      <c r="K3031" s="12"/>
    </row>
    <row r="3032" ht="15.75" customHeight="1">
      <c r="A3032" s="3" t="s">
        <v>12</v>
      </c>
      <c r="B3032" s="3" t="s">
        <v>359</v>
      </c>
      <c r="C3032" s="3" t="s">
        <v>11614</v>
      </c>
      <c r="D3032" s="8" t="str">
        <f t="shared" si="1"/>
        <v>Abrir anúncio ↗</v>
      </c>
      <c r="E3032" s="9" t="s">
        <v>11615</v>
      </c>
      <c r="F3032" s="3" t="s">
        <v>29</v>
      </c>
      <c r="G3032" s="9" t="s">
        <v>4918</v>
      </c>
      <c r="H3032" s="9" t="s">
        <v>4919</v>
      </c>
      <c r="I3032" s="3"/>
      <c r="J3032" s="3"/>
      <c r="K3032" s="9"/>
    </row>
    <row r="3033" ht="15.75" customHeight="1">
      <c r="A3033" s="10" t="s">
        <v>12</v>
      </c>
      <c r="B3033" s="10" t="s">
        <v>359</v>
      </c>
      <c r="C3033" s="10" t="s">
        <v>11616</v>
      </c>
      <c r="D3033" s="11" t="str">
        <f t="shared" si="1"/>
        <v>Abrir anúncio ↗</v>
      </c>
      <c r="E3033" s="12" t="s">
        <v>11617</v>
      </c>
      <c r="F3033" s="10" t="s">
        <v>29</v>
      </c>
      <c r="G3033" s="12" t="s">
        <v>4918</v>
      </c>
      <c r="H3033" s="12" t="s">
        <v>4919</v>
      </c>
      <c r="I3033" s="10"/>
      <c r="J3033" s="10"/>
      <c r="K3033" s="12"/>
    </row>
    <row r="3034" ht="15.75" customHeight="1">
      <c r="A3034" s="3" t="s">
        <v>12</v>
      </c>
      <c r="B3034" s="3" t="s">
        <v>359</v>
      </c>
      <c r="C3034" s="3" t="s">
        <v>11618</v>
      </c>
      <c r="D3034" s="8" t="str">
        <f t="shared" si="1"/>
        <v>Abrir anúncio ↗</v>
      </c>
      <c r="E3034" s="9" t="s">
        <v>11619</v>
      </c>
      <c r="F3034" s="3" t="s">
        <v>29</v>
      </c>
      <c r="G3034" s="9" t="s">
        <v>4918</v>
      </c>
      <c r="H3034" s="9" t="s">
        <v>4919</v>
      </c>
      <c r="I3034" s="3"/>
      <c r="J3034" s="3"/>
      <c r="K3034" s="9"/>
    </row>
    <row r="3035" ht="15.75" customHeight="1">
      <c r="A3035" s="10" t="s">
        <v>12</v>
      </c>
      <c r="B3035" s="10" t="s">
        <v>359</v>
      </c>
      <c r="C3035" s="10" t="s">
        <v>11620</v>
      </c>
      <c r="D3035" s="11" t="str">
        <f t="shared" si="1"/>
        <v>Abrir anúncio ↗</v>
      </c>
      <c r="E3035" s="12" t="s">
        <v>11621</v>
      </c>
      <c r="F3035" s="10" t="s">
        <v>29</v>
      </c>
      <c r="G3035" s="12" t="s">
        <v>4918</v>
      </c>
      <c r="H3035" s="12" t="s">
        <v>4919</v>
      </c>
      <c r="I3035" s="10"/>
      <c r="J3035" s="10"/>
      <c r="K3035" s="12"/>
    </row>
    <row r="3036" ht="15.75" customHeight="1">
      <c r="A3036" s="3" t="s">
        <v>12</v>
      </c>
      <c r="B3036" s="3" t="s">
        <v>359</v>
      </c>
      <c r="C3036" s="3" t="s">
        <v>11622</v>
      </c>
      <c r="D3036" s="8" t="str">
        <f t="shared" si="1"/>
        <v>Abrir anúncio ↗</v>
      </c>
      <c r="E3036" s="9" t="s">
        <v>11623</v>
      </c>
      <c r="F3036" s="3" t="s">
        <v>29</v>
      </c>
      <c r="G3036" s="9" t="s">
        <v>4918</v>
      </c>
      <c r="H3036" s="9" t="s">
        <v>4919</v>
      </c>
      <c r="I3036" s="3"/>
      <c r="J3036" s="3"/>
      <c r="K3036" s="9"/>
    </row>
    <row r="3037" ht="15.75" customHeight="1">
      <c r="A3037" s="10" t="s">
        <v>12</v>
      </c>
      <c r="B3037" s="10" t="s">
        <v>359</v>
      </c>
      <c r="C3037" s="10" t="s">
        <v>11624</v>
      </c>
      <c r="D3037" s="11" t="str">
        <f t="shared" si="1"/>
        <v>Abrir anúncio ↗</v>
      </c>
      <c r="E3037" s="12" t="s">
        <v>11625</v>
      </c>
      <c r="F3037" s="10" t="s">
        <v>29</v>
      </c>
      <c r="G3037" s="12" t="s">
        <v>4918</v>
      </c>
      <c r="H3037" s="12" t="s">
        <v>4919</v>
      </c>
      <c r="I3037" s="10"/>
      <c r="J3037" s="10"/>
      <c r="K3037" s="12"/>
    </row>
    <row r="3038" ht="15.75" customHeight="1">
      <c r="A3038" s="3" t="s">
        <v>12</v>
      </c>
      <c r="B3038" s="3" t="s">
        <v>359</v>
      </c>
      <c r="C3038" s="3" t="s">
        <v>11626</v>
      </c>
      <c r="D3038" s="8" t="str">
        <f t="shared" si="1"/>
        <v>Abrir anúncio ↗</v>
      </c>
      <c r="E3038" s="9" t="s">
        <v>11627</v>
      </c>
      <c r="F3038" s="3" t="s">
        <v>29</v>
      </c>
      <c r="G3038" s="9" t="s">
        <v>4918</v>
      </c>
      <c r="H3038" s="9" t="s">
        <v>4919</v>
      </c>
      <c r="I3038" s="3"/>
      <c r="J3038" s="3"/>
      <c r="K3038" s="9"/>
    </row>
    <row r="3039" ht="15.75" customHeight="1">
      <c r="A3039" s="10" t="s">
        <v>12</v>
      </c>
      <c r="B3039" s="10" t="s">
        <v>359</v>
      </c>
      <c r="C3039" s="10" t="s">
        <v>11628</v>
      </c>
      <c r="D3039" s="11" t="str">
        <f t="shared" si="1"/>
        <v>Abrir anúncio ↗</v>
      </c>
      <c r="E3039" s="12" t="s">
        <v>11629</v>
      </c>
      <c r="F3039" s="10" t="s">
        <v>29</v>
      </c>
      <c r="G3039" s="12" t="s">
        <v>4918</v>
      </c>
      <c r="H3039" s="12" t="s">
        <v>4919</v>
      </c>
      <c r="I3039" s="10"/>
      <c r="J3039" s="10"/>
      <c r="K3039" s="12"/>
    </row>
    <row r="3040" ht="15.75" customHeight="1">
      <c r="A3040" s="3" t="s">
        <v>12</v>
      </c>
      <c r="B3040" s="3" t="s">
        <v>359</v>
      </c>
      <c r="C3040" s="3" t="s">
        <v>11630</v>
      </c>
      <c r="D3040" s="8" t="str">
        <f t="shared" si="1"/>
        <v>Abrir anúncio ↗</v>
      </c>
      <c r="E3040" s="9" t="s">
        <v>11631</v>
      </c>
      <c r="F3040" s="3" t="s">
        <v>29</v>
      </c>
      <c r="G3040" s="9" t="s">
        <v>4918</v>
      </c>
      <c r="H3040" s="9" t="s">
        <v>4919</v>
      </c>
      <c r="I3040" s="3"/>
      <c r="J3040" s="3"/>
      <c r="K3040" s="9"/>
    </row>
    <row r="3041" ht="15.75" customHeight="1">
      <c r="A3041" s="10" t="s">
        <v>12</v>
      </c>
      <c r="B3041" s="10" t="s">
        <v>359</v>
      </c>
      <c r="C3041" s="10" t="s">
        <v>11632</v>
      </c>
      <c r="D3041" s="11" t="str">
        <f t="shared" si="1"/>
        <v>Abrir anúncio ↗</v>
      </c>
      <c r="E3041" s="12" t="s">
        <v>11633</v>
      </c>
      <c r="F3041" s="10" t="s">
        <v>29</v>
      </c>
      <c r="G3041" s="12" t="s">
        <v>4918</v>
      </c>
      <c r="H3041" s="12" t="s">
        <v>4919</v>
      </c>
      <c r="I3041" s="10"/>
      <c r="J3041" s="10"/>
      <c r="K3041" s="12"/>
    </row>
    <row r="3042" ht="15.75" customHeight="1">
      <c r="A3042" s="3" t="s">
        <v>12</v>
      </c>
      <c r="B3042" s="3" t="s">
        <v>359</v>
      </c>
      <c r="C3042" s="3" t="s">
        <v>11634</v>
      </c>
      <c r="D3042" s="8" t="str">
        <f t="shared" si="1"/>
        <v>Abrir anúncio ↗</v>
      </c>
      <c r="E3042" s="9" t="s">
        <v>11635</v>
      </c>
      <c r="F3042" s="3" t="s">
        <v>29</v>
      </c>
      <c r="G3042" s="9" t="s">
        <v>4918</v>
      </c>
      <c r="H3042" s="9" t="s">
        <v>4919</v>
      </c>
      <c r="I3042" s="3"/>
      <c r="J3042" s="3"/>
      <c r="K3042" s="9"/>
    </row>
    <row r="3043" ht="15.75" customHeight="1">
      <c r="A3043" s="10" t="s">
        <v>12</v>
      </c>
      <c r="B3043" s="10" t="s">
        <v>359</v>
      </c>
      <c r="C3043" s="10" t="s">
        <v>11636</v>
      </c>
      <c r="D3043" s="11" t="str">
        <f t="shared" si="1"/>
        <v>Abrir anúncio ↗</v>
      </c>
      <c r="E3043" s="12" t="s">
        <v>11637</v>
      </c>
      <c r="F3043" s="10" t="s">
        <v>29</v>
      </c>
      <c r="G3043" s="12" t="s">
        <v>4918</v>
      </c>
      <c r="H3043" s="12" t="s">
        <v>4919</v>
      </c>
      <c r="I3043" s="10"/>
      <c r="J3043" s="10"/>
      <c r="K3043" s="12"/>
    </row>
    <row r="3044" ht="15.75" customHeight="1">
      <c r="A3044" s="3" t="s">
        <v>12</v>
      </c>
      <c r="B3044" s="3" t="s">
        <v>359</v>
      </c>
      <c r="C3044" s="3" t="s">
        <v>11638</v>
      </c>
      <c r="D3044" s="8" t="str">
        <f t="shared" si="1"/>
        <v>Abrir anúncio ↗</v>
      </c>
      <c r="E3044" s="9" t="s">
        <v>11639</v>
      </c>
      <c r="F3044" s="3" t="s">
        <v>29</v>
      </c>
      <c r="G3044" s="9" t="s">
        <v>4918</v>
      </c>
      <c r="H3044" s="9" t="s">
        <v>4919</v>
      </c>
      <c r="I3044" s="3"/>
      <c r="J3044" s="3"/>
      <c r="K3044" s="9"/>
    </row>
    <row r="3045" ht="15.75" customHeight="1">
      <c r="A3045" s="10" t="s">
        <v>12</v>
      </c>
      <c r="B3045" s="10" t="s">
        <v>359</v>
      </c>
      <c r="C3045" s="10" t="s">
        <v>11640</v>
      </c>
      <c r="D3045" s="11" t="str">
        <f t="shared" si="1"/>
        <v>Abrir anúncio ↗</v>
      </c>
      <c r="E3045" s="12" t="s">
        <v>11641</v>
      </c>
      <c r="F3045" s="10" t="s">
        <v>29</v>
      </c>
      <c r="G3045" s="12" t="s">
        <v>4918</v>
      </c>
      <c r="H3045" s="12" t="s">
        <v>4919</v>
      </c>
      <c r="I3045" s="10"/>
      <c r="J3045" s="10"/>
      <c r="K3045" s="12"/>
    </row>
    <row r="3046" ht="15.75" customHeight="1">
      <c r="A3046" s="3" t="s">
        <v>12</v>
      </c>
      <c r="B3046" s="3" t="s">
        <v>359</v>
      </c>
      <c r="C3046" s="3" t="s">
        <v>11642</v>
      </c>
      <c r="D3046" s="8" t="str">
        <f t="shared" si="1"/>
        <v>Abrir anúncio ↗</v>
      </c>
      <c r="E3046" s="9" t="s">
        <v>11643</v>
      </c>
      <c r="F3046" s="3" t="s">
        <v>29</v>
      </c>
      <c r="G3046" s="9" t="s">
        <v>4918</v>
      </c>
      <c r="H3046" s="9" t="s">
        <v>4919</v>
      </c>
      <c r="I3046" s="3"/>
      <c r="J3046" s="3"/>
      <c r="K3046" s="9"/>
    </row>
    <row r="3047" ht="15.75" customHeight="1">
      <c r="A3047" s="10" t="s">
        <v>12</v>
      </c>
      <c r="B3047" s="10" t="s">
        <v>359</v>
      </c>
      <c r="C3047" s="10" t="s">
        <v>11644</v>
      </c>
      <c r="D3047" s="11" t="str">
        <f t="shared" si="1"/>
        <v>Abrir anúncio ↗</v>
      </c>
      <c r="E3047" s="12" t="s">
        <v>11645</v>
      </c>
      <c r="F3047" s="10" t="s">
        <v>29</v>
      </c>
      <c r="G3047" s="12" t="s">
        <v>4918</v>
      </c>
      <c r="H3047" s="12" t="s">
        <v>4919</v>
      </c>
      <c r="I3047" s="10"/>
      <c r="J3047" s="10"/>
      <c r="K3047" s="12"/>
    </row>
    <row r="3048" ht="15.75" customHeight="1">
      <c r="A3048" s="3" t="s">
        <v>12</v>
      </c>
      <c r="B3048" s="3" t="s">
        <v>359</v>
      </c>
      <c r="C3048" s="3" t="s">
        <v>11646</v>
      </c>
      <c r="D3048" s="8" t="str">
        <f t="shared" si="1"/>
        <v>Abrir anúncio ↗</v>
      </c>
      <c r="E3048" s="9" t="s">
        <v>11647</v>
      </c>
      <c r="F3048" s="3" t="s">
        <v>29</v>
      </c>
      <c r="G3048" s="9" t="s">
        <v>4918</v>
      </c>
      <c r="H3048" s="9" t="s">
        <v>4919</v>
      </c>
      <c r="I3048" s="3"/>
      <c r="J3048" s="3"/>
      <c r="K3048" s="9"/>
    </row>
    <row r="3049" ht="15.75" customHeight="1">
      <c r="A3049" s="10" t="s">
        <v>12</v>
      </c>
      <c r="B3049" s="10" t="s">
        <v>359</v>
      </c>
      <c r="C3049" s="10" t="s">
        <v>11648</v>
      </c>
      <c r="D3049" s="11" t="str">
        <f t="shared" si="1"/>
        <v>Abrir anúncio ↗</v>
      </c>
      <c r="E3049" s="12" t="s">
        <v>11649</v>
      </c>
      <c r="F3049" s="10" t="s">
        <v>29</v>
      </c>
      <c r="G3049" s="12" t="s">
        <v>4918</v>
      </c>
      <c r="H3049" s="12" t="s">
        <v>4919</v>
      </c>
      <c r="I3049" s="10"/>
      <c r="J3049" s="10"/>
      <c r="K3049" s="12"/>
    </row>
    <row r="3050" ht="15.75" customHeight="1">
      <c r="A3050" s="3" t="s">
        <v>12</v>
      </c>
      <c r="B3050" s="3" t="s">
        <v>359</v>
      </c>
      <c r="C3050" s="3" t="s">
        <v>11650</v>
      </c>
      <c r="D3050" s="8" t="str">
        <f t="shared" si="1"/>
        <v>Abrir anúncio ↗</v>
      </c>
      <c r="E3050" s="9" t="s">
        <v>11651</v>
      </c>
      <c r="F3050" s="3" t="s">
        <v>29</v>
      </c>
      <c r="G3050" s="9" t="s">
        <v>4918</v>
      </c>
      <c r="H3050" s="9" t="s">
        <v>4919</v>
      </c>
      <c r="I3050" s="3"/>
      <c r="J3050" s="3"/>
      <c r="K3050" s="9"/>
    </row>
    <row r="3051" ht="15.75" customHeight="1">
      <c r="A3051" s="10" t="s">
        <v>12</v>
      </c>
      <c r="B3051" s="10" t="s">
        <v>359</v>
      </c>
      <c r="C3051" s="10" t="s">
        <v>11652</v>
      </c>
      <c r="D3051" s="11" t="str">
        <f t="shared" si="1"/>
        <v>Abrir anúncio ↗</v>
      </c>
      <c r="E3051" s="12" t="s">
        <v>11653</v>
      </c>
      <c r="F3051" s="10" t="s">
        <v>29</v>
      </c>
      <c r="G3051" s="12" t="s">
        <v>4918</v>
      </c>
      <c r="H3051" s="12" t="s">
        <v>4919</v>
      </c>
      <c r="I3051" s="10"/>
      <c r="J3051" s="10"/>
      <c r="K3051" s="12"/>
    </row>
    <row r="3052" ht="15.75" customHeight="1">
      <c r="A3052" s="3" t="s">
        <v>12</v>
      </c>
      <c r="B3052" s="3" t="s">
        <v>359</v>
      </c>
      <c r="C3052" s="3" t="s">
        <v>11654</v>
      </c>
      <c r="D3052" s="8" t="str">
        <f t="shared" si="1"/>
        <v>Abrir anúncio ↗</v>
      </c>
      <c r="E3052" s="9" t="s">
        <v>11655</v>
      </c>
      <c r="F3052" s="3" t="s">
        <v>29</v>
      </c>
      <c r="G3052" s="9" t="s">
        <v>4918</v>
      </c>
      <c r="H3052" s="9" t="s">
        <v>4919</v>
      </c>
      <c r="I3052" s="3"/>
      <c r="J3052" s="3"/>
      <c r="K3052" s="9"/>
    </row>
    <row r="3053" ht="15.75" customHeight="1">
      <c r="A3053" s="10" t="s">
        <v>12</v>
      </c>
      <c r="B3053" s="10" t="s">
        <v>359</v>
      </c>
      <c r="C3053" s="10" t="s">
        <v>11656</v>
      </c>
      <c r="D3053" s="11" t="str">
        <f t="shared" si="1"/>
        <v>Abrir anúncio ↗</v>
      </c>
      <c r="E3053" s="12" t="s">
        <v>11657</v>
      </c>
      <c r="F3053" s="10" t="s">
        <v>29</v>
      </c>
      <c r="G3053" s="12" t="s">
        <v>4918</v>
      </c>
      <c r="H3053" s="12" t="s">
        <v>4919</v>
      </c>
      <c r="I3053" s="10"/>
      <c r="J3053" s="10"/>
      <c r="K3053" s="12"/>
    </row>
    <row r="3054" ht="15.75" customHeight="1">
      <c r="A3054" s="3" t="s">
        <v>12</v>
      </c>
      <c r="B3054" s="3" t="s">
        <v>359</v>
      </c>
      <c r="C3054" s="3" t="s">
        <v>11658</v>
      </c>
      <c r="D3054" s="8" t="str">
        <f t="shared" si="1"/>
        <v>Abrir anúncio ↗</v>
      </c>
      <c r="E3054" s="9" t="s">
        <v>11659</v>
      </c>
      <c r="F3054" s="3" t="s">
        <v>29</v>
      </c>
      <c r="G3054" s="9" t="s">
        <v>4918</v>
      </c>
      <c r="H3054" s="9" t="s">
        <v>4919</v>
      </c>
      <c r="I3054" s="3"/>
      <c r="J3054" s="3"/>
      <c r="K3054" s="9"/>
    </row>
    <row r="3055" ht="15.75" customHeight="1">
      <c r="A3055" s="10" t="s">
        <v>12</v>
      </c>
      <c r="B3055" s="10" t="s">
        <v>359</v>
      </c>
      <c r="C3055" s="10" t="s">
        <v>11660</v>
      </c>
      <c r="D3055" s="11" t="str">
        <f t="shared" si="1"/>
        <v>Abrir anúncio ↗</v>
      </c>
      <c r="E3055" s="12" t="s">
        <v>11661</v>
      </c>
      <c r="F3055" s="10" t="s">
        <v>29</v>
      </c>
      <c r="G3055" s="12" t="s">
        <v>4918</v>
      </c>
      <c r="H3055" s="12" t="s">
        <v>4919</v>
      </c>
      <c r="I3055" s="10"/>
      <c r="J3055" s="10"/>
      <c r="K3055" s="12"/>
    </row>
    <row r="3056" ht="15.75" customHeight="1">
      <c r="A3056" s="3" t="s">
        <v>12</v>
      </c>
      <c r="B3056" s="3" t="s">
        <v>359</v>
      </c>
      <c r="C3056" s="3" t="s">
        <v>11662</v>
      </c>
      <c r="D3056" s="8" t="str">
        <f t="shared" si="1"/>
        <v>Abrir anúncio ↗</v>
      </c>
      <c r="E3056" s="9" t="s">
        <v>11663</v>
      </c>
      <c r="F3056" s="3" t="s">
        <v>29</v>
      </c>
      <c r="G3056" s="9" t="s">
        <v>4918</v>
      </c>
      <c r="H3056" s="9" t="s">
        <v>4919</v>
      </c>
      <c r="I3056" s="3"/>
      <c r="J3056" s="3"/>
      <c r="K3056" s="9"/>
    </row>
    <row r="3057" ht="15.75" customHeight="1">
      <c r="A3057" s="10" t="s">
        <v>12</v>
      </c>
      <c r="B3057" s="10" t="s">
        <v>359</v>
      </c>
      <c r="C3057" s="10" t="s">
        <v>11664</v>
      </c>
      <c r="D3057" s="11" t="str">
        <f t="shared" si="1"/>
        <v>Abrir anúncio ↗</v>
      </c>
      <c r="E3057" s="12" t="s">
        <v>11665</v>
      </c>
      <c r="F3057" s="10" t="s">
        <v>29</v>
      </c>
      <c r="G3057" s="12" t="s">
        <v>4918</v>
      </c>
      <c r="H3057" s="12" t="s">
        <v>4919</v>
      </c>
      <c r="I3057" s="10"/>
      <c r="J3057" s="10"/>
      <c r="K3057" s="12"/>
    </row>
    <row r="3058" ht="15.75" customHeight="1">
      <c r="A3058" s="3" t="s">
        <v>12</v>
      </c>
      <c r="B3058" s="3" t="s">
        <v>359</v>
      </c>
      <c r="C3058" s="3" t="s">
        <v>11666</v>
      </c>
      <c r="D3058" s="8" t="str">
        <f t="shared" si="1"/>
        <v>Abrir anúncio ↗</v>
      </c>
      <c r="E3058" s="9" t="s">
        <v>11667</v>
      </c>
      <c r="F3058" s="3" t="s">
        <v>29</v>
      </c>
      <c r="G3058" s="9" t="s">
        <v>4918</v>
      </c>
      <c r="H3058" s="9" t="s">
        <v>4919</v>
      </c>
      <c r="I3058" s="3"/>
      <c r="J3058" s="3"/>
      <c r="K3058" s="9"/>
    </row>
    <row r="3059" ht="15.75" customHeight="1">
      <c r="A3059" s="10" t="s">
        <v>12</v>
      </c>
      <c r="B3059" s="10" t="s">
        <v>359</v>
      </c>
      <c r="C3059" s="10" t="s">
        <v>11668</v>
      </c>
      <c r="D3059" s="11" t="str">
        <f t="shared" si="1"/>
        <v>Abrir anúncio ↗</v>
      </c>
      <c r="E3059" s="12" t="s">
        <v>11669</v>
      </c>
      <c r="F3059" s="10" t="s">
        <v>29</v>
      </c>
      <c r="G3059" s="12" t="s">
        <v>4918</v>
      </c>
      <c r="H3059" s="12" t="s">
        <v>4919</v>
      </c>
      <c r="I3059" s="10"/>
      <c r="J3059" s="10"/>
      <c r="K3059" s="12"/>
    </row>
    <row r="3060" ht="15.75" customHeight="1">
      <c r="A3060" s="3" t="s">
        <v>12</v>
      </c>
      <c r="B3060" s="3" t="s">
        <v>359</v>
      </c>
      <c r="C3060" s="3" t="s">
        <v>11670</v>
      </c>
      <c r="D3060" s="8" t="str">
        <f t="shared" si="1"/>
        <v>Abrir anúncio ↗</v>
      </c>
      <c r="E3060" s="9" t="s">
        <v>11671</v>
      </c>
      <c r="F3060" s="3" t="s">
        <v>29</v>
      </c>
      <c r="G3060" s="9" t="s">
        <v>4918</v>
      </c>
      <c r="H3060" s="9" t="s">
        <v>4919</v>
      </c>
      <c r="I3060" s="3"/>
      <c r="J3060" s="3"/>
      <c r="K3060" s="9"/>
    </row>
    <row r="3061" ht="15.75" customHeight="1">
      <c r="A3061" s="10" t="s">
        <v>12</v>
      </c>
      <c r="B3061" s="10" t="s">
        <v>359</v>
      </c>
      <c r="C3061" s="10" t="s">
        <v>11672</v>
      </c>
      <c r="D3061" s="11" t="str">
        <f t="shared" si="1"/>
        <v>Abrir anúncio ↗</v>
      </c>
      <c r="E3061" s="12" t="s">
        <v>11673</v>
      </c>
      <c r="F3061" s="10" t="s">
        <v>29</v>
      </c>
      <c r="G3061" s="12" t="s">
        <v>4918</v>
      </c>
      <c r="H3061" s="12" t="s">
        <v>4919</v>
      </c>
      <c r="I3061" s="10"/>
      <c r="J3061" s="10"/>
      <c r="K3061" s="12"/>
    </row>
    <row r="3062" ht="15.75" customHeight="1">
      <c r="A3062" s="3" t="s">
        <v>12</v>
      </c>
      <c r="B3062" s="3" t="s">
        <v>359</v>
      </c>
      <c r="C3062" s="3" t="s">
        <v>11674</v>
      </c>
      <c r="D3062" s="8" t="str">
        <f t="shared" si="1"/>
        <v>Abrir anúncio ↗</v>
      </c>
      <c r="E3062" s="9" t="s">
        <v>11675</v>
      </c>
      <c r="F3062" s="3" t="s">
        <v>29</v>
      </c>
      <c r="G3062" s="9" t="s">
        <v>4918</v>
      </c>
      <c r="H3062" s="9" t="s">
        <v>4919</v>
      </c>
      <c r="I3062" s="3"/>
      <c r="J3062" s="3"/>
      <c r="K3062" s="9"/>
    </row>
    <row r="3063" ht="15.75" customHeight="1">
      <c r="A3063" s="10" t="s">
        <v>12</v>
      </c>
      <c r="B3063" s="10" t="s">
        <v>359</v>
      </c>
      <c r="C3063" s="10" t="s">
        <v>11676</v>
      </c>
      <c r="D3063" s="11" t="str">
        <f t="shared" si="1"/>
        <v>Abrir anúncio ↗</v>
      </c>
      <c r="E3063" s="12" t="s">
        <v>11677</v>
      </c>
      <c r="F3063" s="10" t="s">
        <v>29</v>
      </c>
      <c r="G3063" s="12" t="s">
        <v>4918</v>
      </c>
      <c r="H3063" s="12" t="s">
        <v>4919</v>
      </c>
      <c r="I3063" s="10"/>
      <c r="J3063" s="10"/>
      <c r="K3063" s="12"/>
    </row>
    <row r="3064" ht="15.75" customHeight="1">
      <c r="A3064" s="3" t="s">
        <v>12</v>
      </c>
      <c r="B3064" s="3" t="s">
        <v>359</v>
      </c>
      <c r="C3064" s="3" t="s">
        <v>11678</v>
      </c>
      <c r="D3064" s="8" t="str">
        <f t="shared" si="1"/>
        <v>Abrir anúncio ↗</v>
      </c>
      <c r="E3064" s="9" t="s">
        <v>11679</v>
      </c>
      <c r="F3064" s="3" t="s">
        <v>29</v>
      </c>
      <c r="G3064" s="9" t="s">
        <v>4918</v>
      </c>
      <c r="H3064" s="9" t="s">
        <v>4919</v>
      </c>
      <c r="I3064" s="3"/>
      <c r="J3064" s="3"/>
      <c r="K3064" s="9"/>
    </row>
    <row r="3065" ht="15.75" customHeight="1">
      <c r="A3065" s="10" t="s">
        <v>12</v>
      </c>
      <c r="B3065" s="10" t="s">
        <v>359</v>
      </c>
      <c r="C3065" s="10" t="s">
        <v>11680</v>
      </c>
      <c r="D3065" s="11" t="str">
        <f t="shared" si="1"/>
        <v>Abrir anúncio ↗</v>
      </c>
      <c r="E3065" s="12" t="s">
        <v>11681</v>
      </c>
      <c r="F3065" s="10" t="s">
        <v>29</v>
      </c>
      <c r="G3065" s="12" t="s">
        <v>4918</v>
      </c>
      <c r="H3065" s="12" t="s">
        <v>4919</v>
      </c>
      <c r="I3065" s="10"/>
      <c r="J3065" s="10"/>
      <c r="K3065" s="12"/>
    </row>
    <row r="3066" ht="15.75" customHeight="1">
      <c r="A3066" s="3" t="s">
        <v>12</v>
      </c>
      <c r="B3066" s="3" t="s">
        <v>359</v>
      </c>
      <c r="C3066" s="3" t="s">
        <v>8353</v>
      </c>
      <c r="D3066" s="8" t="str">
        <f t="shared" si="1"/>
        <v>Abrir anúncio ↗</v>
      </c>
      <c r="E3066" s="9" t="s">
        <v>7258</v>
      </c>
      <c r="F3066" s="3" t="s">
        <v>29</v>
      </c>
      <c r="G3066" s="9" t="s">
        <v>4918</v>
      </c>
      <c r="H3066" s="9" t="s">
        <v>4919</v>
      </c>
      <c r="I3066" s="3"/>
      <c r="J3066" s="3"/>
      <c r="K3066" s="9"/>
    </row>
    <row r="3067" ht="15.75" customHeight="1">
      <c r="A3067" s="10" t="s">
        <v>12</v>
      </c>
      <c r="B3067" s="10" t="s">
        <v>359</v>
      </c>
      <c r="C3067" s="10" t="s">
        <v>11682</v>
      </c>
      <c r="D3067" s="11" t="str">
        <f t="shared" si="1"/>
        <v>Abrir anúncio ↗</v>
      </c>
      <c r="E3067" s="12" t="s">
        <v>11683</v>
      </c>
      <c r="F3067" s="10" t="s">
        <v>29</v>
      </c>
      <c r="G3067" s="12" t="s">
        <v>4918</v>
      </c>
      <c r="H3067" s="12" t="s">
        <v>4919</v>
      </c>
      <c r="I3067" s="10"/>
      <c r="J3067" s="10"/>
      <c r="K3067" s="12"/>
    </row>
    <row r="3068" ht="15.75" customHeight="1">
      <c r="A3068" s="3" t="s">
        <v>12</v>
      </c>
      <c r="B3068" s="3" t="s">
        <v>359</v>
      </c>
      <c r="C3068" s="3" t="s">
        <v>11684</v>
      </c>
      <c r="D3068" s="8" t="str">
        <f t="shared" si="1"/>
        <v>Abrir anúncio ↗</v>
      </c>
      <c r="E3068" s="9" t="s">
        <v>11685</v>
      </c>
      <c r="F3068" s="3" t="s">
        <v>29</v>
      </c>
      <c r="G3068" s="9" t="s">
        <v>4918</v>
      </c>
      <c r="H3068" s="9" t="s">
        <v>4919</v>
      </c>
      <c r="I3068" s="3"/>
      <c r="J3068" s="3"/>
      <c r="K3068" s="9"/>
    </row>
    <row r="3069" ht="15.75" customHeight="1">
      <c r="A3069" s="10" t="s">
        <v>12</v>
      </c>
      <c r="B3069" s="10" t="s">
        <v>359</v>
      </c>
      <c r="C3069" s="10" t="s">
        <v>8996</v>
      </c>
      <c r="D3069" s="11" t="str">
        <f t="shared" si="1"/>
        <v>Abrir anúncio ↗</v>
      </c>
      <c r="E3069" s="12" t="s">
        <v>8995</v>
      </c>
      <c r="F3069" s="10" t="s">
        <v>29</v>
      </c>
      <c r="G3069" s="12" t="s">
        <v>4918</v>
      </c>
      <c r="H3069" s="12" t="s">
        <v>4919</v>
      </c>
      <c r="I3069" s="10"/>
      <c r="J3069" s="10"/>
      <c r="K3069" s="12"/>
    </row>
    <row r="3070" ht="15.75" customHeight="1">
      <c r="A3070" s="3" t="s">
        <v>12</v>
      </c>
      <c r="B3070" s="3" t="s">
        <v>359</v>
      </c>
      <c r="C3070" s="3" t="s">
        <v>9001</v>
      </c>
      <c r="D3070" s="8" t="str">
        <f t="shared" si="1"/>
        <v>Abrir anúncio ↗</v>
      </c>
      <c r="E3070" s="9" t="s">
        <v>9000</v>
      </c>
      <c r="F3070" s="3" t="s">
        <v>29</v>
      </c>
      <c r="G3070" s="9" t="s">
        <v>4918</v>
      </c>
      <c r="H3070" s="9" t="s">
        <v>4919</v>
      </c>
      <c r="I3070" s="3"/>
      <c r="J3070" s="3"/>
      <c r="K3070" s="9"/>
    </row>
    <row r="3071" ht="15.75" customHeight="1">
      <c r="A3071" s="10" t="s">
        <v>12</v>
      </c>
      <c r="B3071" s="10" t="s">
        <v>359</v>
      </c>
      <c r="C3071" s="10" t="s">
        <v>11686</v>
      </c>
      <c r="D3071" s="11" t="str">
        <f t="shared" si="1"/>
        <v>Abrir anúncio ↗</v>
      </c>
      <c r="E3071" s="12" t="s">
        <v>11687</v>
      </c>
      <c r="F3071" s="10" t="s">
        <v>29</v>
      </c>
      <c r="G3071" s="12" t="s">
        <v>4918</v>
      </c>
      <c r="H3071" s="12" t="s">
        <v>4919</v>
      </c>
      <c r="I3071" s="10"/>
      <c r="J3071" s="10"/>
      <c r="K3071" s="12"/>
    </row>
    <row r="3072" ht="15.75" customHeight="1">
      <c r="A3072" s="3" t="s">
        <v>12</v>
      </c>
      <c r="B3072" s="3" t="s">
        <v>359</v>
      </c>
      <c r="C3072" s="3" t="s">
        <v>11688</v>
      </c>
      <c r="D3072" s="8" t="str">
        <f t="shared" si="1"/>
        <v>Abrir anúncio ↗</v>
      </c>
      <c r="E3072" s="9" t="s">
        <v>11689</v>
      </c>
      <c r="F3072" s="3" t="s">
        <v>29</v>
      </c>
      <c r="G3072" s="9" t="s">
        <v>4918</v>
      </c>
      <c r="H3072" s="9" t="s">
        <v>4919</v>
      </c>
      <c r="I3072" s="3"/>
      <c r="J3072" s="3"/>
      <c r="K3072" s="9"/>
    </row>
    <row r="3073" ht="15.75" customHeight="1">
      <c r="A3073" s="10" t="s">
        <v>12</v>
      </c>
      <c r="B3073" s="10" t="s">
        <v>359</v>
      </c>
      <c r="C3073" s="10" t="s">
        <v>8463</v>
      </c>
      <c r="D3073" s="11" t="str">
        <f t="shared" si="1"/>
        <v>Abrir anúncio ↗</v>
      </c>
      <c r="E3073" s="12" t="s">
        <v>7263</v>
      </c>
      <c r="F3073" s="10" t="s">
        <v>29</v>
      </c>
      <c r="G3073" s="12" t="s">
        <v>4918</v>
      </c>
      <c r="H3073" s="12" t="s">
        <v>4919</v>
      </c>
      <c r="I3073" s="10"/>
      <c r="J3073" s="10"/>
      <c r="K3073" s="12"/>
    </row>
    <row r="3074" ht="15.75" customHeight="1">
      <c r="A3074" s="3" t="s">
        <v>12</v>
      </c>
      <c r="B3074" s="3" t="s">
        <v>359</v>
      </c>
      <c r="C3074" s="3" t="s">
        <v>11690</v>
      </c>
      <c r="D3074" s="8" t="str">
        <f t="shared" si="1"/>
        <v>Abrir anúncio ↗</v>
      </c>
      <c r="E3074" s="9" t="s">
        <v>11691</v>
      </c>
      <c r="F3074" s="3" t="s">
        <v>29</v>
      </c>
      <c r="G3074" s="9" t="s">
        <v>4918</v>
      </c>
      <c r="H3074" s="9" t="s">
        <v>4919</v>
      </c>
      <c r="I3074" s="3"/>
      <c r="J3074" s="3"/>
      <c r="K3074" s="9"/>
    </row>
    <row r="3075" ht="15.75" customHeight="1">
      <c r="A3075" s="10" t="s">
        <v>12</v>
      </c>
      <c r="B3075" s="10" t="s">
        <v>359</v>
      </c>
      <c r="C3075" s="10" t="s">
        <v>11692</v>
      </c>
      <c r="D3075" s="11" t="str">
        <f t="shared" si="1"/>
        <v>Abrir anúncio ↗</v>
      </c>
      <c r="E3075" s="12" t="s">
        <v>11693</v>
      </c>
      <c r="F3075" s="10" t="s">
        <v>29</v>
      </c>
      <c r="G3075" s="12" t="s">
        <v>4918</v>
      </c>
      <c r="H3075" s="12" t="s">
        <v>4919</v>
      </c>
      <c r="I3075" s="10"/>
      <c r="J3075" s="10"/>
      <c r="K3075" s="12"/>
    </row>
    <row r="3076" ht="15.75" customHeight="1">
      <c r="A3076" s="3" t="s">
        <v>12</v>
      </c>
      <c r="B3076" s="3" t="s">
        <v>359</v>
      </c>
      <c r="C3076" s="3" t="s">
        <v>9005</v>
      </c>
      <c r="D3076" s="8" t="str">
        <f t="shared" si="1"/>
        <v>Abrir anúncio ↗</v>
      </c>
      <c r="E3076" s="9" t="s">
        <v>8992</v>
      </c>
      <c r="F3076" s="3" t="s">
        <v>29</v>
      </c>
      <c r="G3076" s="9" t="s">
        <v>4918</v>
      </c>
      <c r="H3076" s="9" t="s">
        <v>4919</v>
      </c>
      <c r="I3076" s="3"/>
      <c r="J3076" s="3"/>
      <c r="K3076" s="9"/>
    </row>
    <row r="3077" ht="15.75" customHeight="1">
      <c r="A3077" s="10" t="s">
        <v>12</v>
      </c>
      <c r="B3077" s="10" t="s">
        <v>359</v>
      </c>
      <c r="C3077" s="10" t="s">
        <v>8100</v>
      </c>
      <c r="D3077" s="11" t="str">
        <f t="shared" si="1"/>
        <v>Abrir anúncio ↗</v>
      </c>
      <c r="E3077" s="12" t="s">
        <v>8096</v>
      </c>
      <c r="F3077" s="10" t="s">
        <v>29</v>
      </c>
      <c r="G3077" s="12" t="s">
        <v>4918</v>
      </c>
      <c r="H3077" s="12" t="s">
        <v>4919</v>
      </c>
      <c r="I3077" s="10"/>
      <c r="J3077" s="10"/>
      <c r="K3077" s="12"/>
    </row>
    <row r="3078" ht="15.75" customHeight="1">
      <c r="A3078" s="3" t="s">
        <v>12</v>
      </c>
      <c r="B3078" s="3" t="s">
        <v>359</v>
      </c>
      <c r="C3078" s="3" t="s">
        <v>11694</v>
      </c>
      <c r="D3078" s="8" t="str">
        <f t="shared" si="1"/>
        <v>Abrir anúncio ↗</v>
      </c>
      <c r="E3078" s="9" t="s">
        <v>11695</v>
      </c>
      <c r="F3078" s="3" t="s">
        <v>29</v>
      </c>
      <c r="G3078" s="9" t="s">
        <v>4918</v>
      </c>
      <c r="H3078" s="9" t="s">
        <v>4919</v>
      </c>
      <c r="I3078" s="3"/>
      <c r="J3078" s="3"/>
      <c r="K3078" s="9"/>
    </row>
    <row r="3079" ht="15.75" customHeight="1">
      <c r="A3079" s="10" t="s">
        <v>12</v>
      </c>
      <c r="B3079" s="10" t="s">
        <v>359</v>
      </c>
      <c r="C3079" s="10" t="s">
        <v>11696</v>
      </c>
      <c r="D3079" s="11" t="str">
        <f t="shared" si="1"/>
        <v>Abrir anúncio ↗</v>
      </c>
      <c r="E3079" s="12" t="s">
        <v>11697</v>
      </c>
      <c r="F3079" s="10" t="s">
        <v>29</v>
      </c>
      <c r="G3079" s="12" t="s">
        <v>4918</v>
      </c>
      <c r="H3079" s="12" t="s">
        <v>4919</v>
      </c>
      <c r="I3079" s="10"/>
      <c r="J3079" s="10"/>
      <c r="K3079" s="12"/>
    </row>
    <row r="3080" ht="15.75" customHeight="1">
      <c r="A3080" s="3" t="s">
        <v>12</v>
      </c>
      <c r="B3080" s="3" t="s">
        <v>359</v>
      </c>
      <c r="C3080" s="3" t="s">
        <v>11698</v>
      </c>
      <c r="D3080" s="8" t="str">
        <f t="shared" si="1"/>
        <v>Abrir anúncio ↗</v>
      </c>
      <c r="E3080" s="9" t="s">
        <v>11699</v>
      </c>
      <c r="F3080" s="3" t="s">
        <v>29</v>
      </c>
      <c r="G3080" s="9" t="s">
        <v>4918</v>
      </c>
      <c r="H3080" s="9" t="s">
        <v>4919</v>
      </c>
      <c r="I3080" s="3"/>
      <c r="J3080" s="3"/>
      <c r="K3080" s="9"/>
    </row>
    <row r="3081" ht="15.75" customHeight="1">
      <c r="A3081" s="10" t="s">
        <v>12</v>
      </c>
      <c r="B3081" s="10" t="s">
        <v>359</v>
      </c>
      <c r="C3081" s="10" t="s">
        <v>11700</v>
      </c>
      <c r="D3081" s="11" t="str">
        <f t="shared" si="1"/>
        <v>Abrir anúncio ↗</v>
      </c>
      <c r="E3081" s="12" t="s">
        <v>11701</v>
      </c>
      <c r="F3081" s="10" t="s">
        <v>29</v>
      </c>
      <c r="G3081" s="12" t="s">
        <v>4918</v>
      </c>
      <c r="H3081" s="12" t="s">
        <v>4919</v>
      </c>
      <c r="I3081" s="10"/>
      <c r="J3081" s="10"/>
      <c r="K3081" s="12"/>
    </row>
    <row r="3082" ht="15.75" customHeight="1">
      <c r="A3082" s="3" t="s">
        <v>12</v>
      </c>
      <c r="B3082" s="3" t="s">
        <v>359</v>
      </c>
      <c r="C3082" s="3" t="s">
        <v>8913</v>
      </c>
      <c r="D3082" s="8" t="str">
        <f t="shared" si="1"/>
        <v>Abrir anúncio ↗</v>
      </c>
      <c r="E3082" s="9" t="s">
        <v>7614</v>
      </c>
      <c r="F3082" s="3" t="s">
        <v>29</v>
      </c>
      <c r="G3082" s="9" t="s">
        <v>4918</v>
      </c>
      <c r="H3082" s="9" t="s">
        <v>4919</v>
      </c>
      <c r="I3082" s="3"/>
      <c r="J3082" s="3"/>
      <c r="K3082" s="9"/>
    </row>
    <row r="3083" ht="15.75" customHeight="1">
      <c r="A3083" s="10" t="s">
        <v>12</v>
      </c>
      <c r="B3083" s="10" t="s">
        <v>359</v>
      </c>
      <c r="C3083" s="10" t="s">
        <v>7744</v>
      </c>
      <c r="D3083" s="11" t="str">
        <f t="shared" si="1"/>
        <v>Abrir anúncio ↗</v>
      </c>
      <c r="E3083" s="12" t="s">
        <v>7743</v>
      </c>
      <c r="F3083" s="10" t="s">
        <v>29</v>
      </c>
      <c r="G3083" s="12" t="s">
        <v>4918</v>
      </c>
      <c r="H3083" s="12" t="s">
        <v>4919</v>
      </c>
      <c r="I3083" s="10"/>
      <c r="J3083" s="10"/>
      <c r="K3083" s="12"/>
    </row>
    <row r="3084" ht="15.75" customHeight="1">
      <c r="A3084" s="3" t="s">
        <v>12</v>
      </c>
      <c r="B3084" s="3" t="s">
        <v>359</v>
      </c>
      <c r="C3084" s="3" t="s">
        <v>11702</v>
      </c>
      <c r="D3084" s="8" t="str">
        <f t="shared" si="1"/>
        <v>Abrir anúncio ↗</v>
      </c>
      <c r="E3084" s="9" t="s">
        <v>11703</v>
      </c>
      <c r="F3084" s="3" t="s">
        <v>29</v>
      </c>
      <c r="G3084" s="9" t="s">
        <v>4918</v>
      </c>
      <c r="H3084" s="9" t="s">
        <v>4919</v>
      </c>
      <c r="I3084" s="3"/>
      <c r="J3084" s="3"/>
      <c r="K3084" s="9"/>
    </row>
    <row r="3085" ht="15.75" customHeight="1">
      <c r="A3085" s="10" t="s">
        <v>12</v>
      </c>
      <c r="B3085" s="10" t="s">
        <v>359</v>
      </c>
      <c r="C3085" s="10" t="s">
        <v>11704</v>
      </c>
      <c r="D3085" s="11" t="str">
        <f t="shared" si="1"/>
        <v>Abrir anúncio ↗</v>
      </c>
      <c r="E3085" s="12" t="s">
        <v>11705</v>
      </c>
      <c r="F3085" s="10" t="s">
        <v>29</v>
      </c>
      <c r="G3085" s="12" t="s">
        <v>4918</v>
      </c>
      <c r="H3085" s="12" t="s">
        <v>4919</v>
      </c>
      <c r="I3085" s="10"/>
      <c r="J3085" s="10"/>
      <c r="K3085" s="12"/>
    </row>
    <row r="3086" ht="15.75" customHeight="1">
      <c r="A3086" s="3" t="s">
        <v>12</v>
      </c>
      <c r="B3086" s="3" t="s">
        <v>359</v>
      </c>
      <c r="C3086" s="3" t="s">
        <v>11706</v>
      </c>
      <c r="D3086" s="8" t="str">
        <f t="shared" si="1"/>
        <v>Abrir anúncio ↗</v>
      </c>
      <c r="E3086" s="9" t="s">
        <v>11707</v>
      </c>
      <c r="F3086" s="3" t="s">
        <v>29</v>
      </c>
      <c r="G3086" s="9" t="s">
        <v>4918</v>
      </c>
      <c r="H3086" s="9" t="s">
        <v>4919</v>
      </c>
      <c r="I3086" s="3"/>
      <c r="J3086" s="3"/>
      <c r="K3086" s="9"/>
    </row>
    <row r="3087" ht="15.75" customHeight="1">
      <c r="A3087" s="10" t="s">
        <v>12</v>
      </c>
      <c r="B3087" s="10" t="s">
        <v>359</v>
      </c>
      <c r="C3087" s="10" t="s">
        <v>9007</v>
      </c>
      <c r="D3087" s="11" t="str">
        <f t="shared" si="1"/>
        <v>Abrir anúncio ↗</v>
      </c>
      <c r="E3087" s="12" t="s">
        <v>9006</v>
      </c>
      <c r="F3087" s="10" t="s">
        <v>29</v>
      </c>
      <c r="G3087" s="12" t="s">
        <v>4918</v>
      </c>
      <c r="H3087" s="12" t="s">
        <v>4919</v>
      </c>
      <c r="I3087" s="10"/>
      <c r="J3087" s="10"/>
      <c r="K3087" s="12"/>
    </row>
    <row r="3088" ht="15.75" customHeight="1">
      <c r="A3088" s="3" t="s">
        <v>12</v>
      </c>
      <c r="B3088" s="3" t="s">
        <v>359</v>
      </c>
      <c r="C3088" s="3" t="s">
        <v>7624</v>
      </c>
      <c r="D3088" s="8" t="str">
        <f t="shared" si="1"/>
        <v>Abrir anúncio ↗</v>
      </c>
      <c r="E3088" s="9" t="s">
        <v>7620</v>
      </c>
      <c r="F3088" s="3" t="s">
        <v>29</v>
      </c>
      <c r="G3088" s="9" t="s">
        <v>4918</v>
      </c>
      <c r="H3088" s="9" t="s">
        <v>4919</v>
      </c>
      <c r="I3088" s="3"/>
      <c r="J3088" s="3"/>
      <c r="K3088" s="9"/>
    </row>
    <row r="3089" ht="15.75" customHeight="1">
      <c r="A3089" s="10" t="s">
        <v>12</v>
      </c>
      <c r="B3089" s="10" t="s">
        <v>359</v>
      </c>
      <c r="C3089" s="10" t="s">
        <v>11708</v>
      </c>
      <c r="D3089" s="11" t="str">
        <f t="shared" si="1"/>
        <v>Abrir anúncio ↗</v>
      </c>
      <c r="E3089" s="12" t="s">
        <v>11709</v>
      </c>
      <c r="F3089" s="10" t="s">
        <v>29</v>
      </c>
      <c r="G3089" s="12" t="s">
        <v>4918</v>
      </c>
      <c r="H3089" s="12" t="s">
        <v>4919</v>
      </c>
      <c r="I3089" s="10"/>
      <c r="J3089" s="10"/>
      <c r="K3089" s="12"/>
    </row>
    <row r="3090" ht="15.75" customHeight="1">
      <c r="A3090" s="3" t="s">
        <v>12</v>
      </c>
      <c r="B3090" s="3" t="s">
        <v>359</v>
      </c>
      <c r="C3090" s="3" t="s">
        <v>11710</v>
      </c>
      <c r="D3090" s="8" t="str">
        <f t="shared" si="1"/>
        <v>Abrir anúncio ↗</v>
      </c>
      <c r="E3090" s="9" t="s">
        <v>11711</v>
      </c>
      <c r="F3090" s="3" t="s">
        <v>29</v>
      </c>
      <c r="G3090" s="9" t="s">
        <v>4918</v>
      </c>
      <c r="H3090" s="9" t="s">
        <v>4919</v>
      </c>
      <c r="I3090" s="3"/>
      <c r="J3090" s="3"/>
      <c r="K3090" s="9"/>
    </row>
    <row r="3091" ht="15.75" customHeight="1">
      <c r="A3091" s="10" t="s">
        <v>12</v>
      </c>
      <c r="B3091" s="10" t="s">
        <v>359</v>
      </c>
      <c r="C3091" s="10" t="s">
        <v>11712</v>
      </c>
      <c r="D3091" s="11" t="str">
        <f t="shared" si="1"/>
        <v>Abrir anúncio ↗</v>
      </c>
      <c r="E3091" s="12" t="s">
        <v>11713</v>
      </c>
      <c r="F3091" s="10" t="s">
        <v>29</v>
      </c>
      <c r="G3091" s="12" t="s">
        <v>4918</v>
      </c>
      <c r="H3091" s="12" t="s">
        <v>4919</v>
      </c>
      <c r="I3091" s="10"/>
      <c r="J3091" s="10"/>
      <c r="K3091" s="12"/>
    </row>
    <row r="3092" ht="15.75" customHeight="1">
      <c r="A3092" s="3" t="s">
        <v>12</v>
      </c>
      <c r="B3092" s="3" t="s">
        <v>359</v>
      </c>
      <c r="C3092" s="3" t="s">
        <v>11714</v>
      </c>
      <c r="D3092" s="8" t="str">
        <f t="shared" si="1"/>
        <v>Abrir anúncio ↗</v>
      </c>
      <c r="E3092" s="9" t="s">
        <v>11715</v>
      </c>
      <c r="F3092" s="3" t="s">
        <v>29</v>
      </c>
      <c r="G3092" s="9" t="s">
        <v>4918</v>
      </c>
      <c r="H3092" s="9" t="s">
        <v>4919</v>
      </c>
      <c r="I3092" s="3"/>
      <c r="J3092" s="3"/>
      <c r="K3092" s="9"/>
    </row>
    <row r="3093" ht="15.75" customHeight="1">
      <c r="A3093" s="10" t="s">
        <v>12</v>
      </c>
      <c r="B3093" s="10" t="s">
        <v>359</v>
      </c>
      <c r="C3093" s="10" t="s">
        <v>8467</v>
      </c>
      <c r="D3093" s="11" t="str">
        <f t="shared" si="1"/>
        <v>Abrir anúncio ↗</v>
      </c>
      <c r="E3093" s="12" t="s">
        <v>8466</v>
      </c>
      <c r="F3093" s="10" t="s">
        <v>29</v>
      </c>
      <c r="G3093" s="12" t="s">
        <v>4918</v>
      </c>
      <c r="H3093" s="12" t="s">
        <v>4919</v>
      </c>
      <c r="I3093" s="10"/>
      <c r="J3093" s="10"/>
      <c r="K3093" s="12"/>
    </row>
    <row r="3094" ht="15.75" customHeight="1">
      <c r="A3094" s="3" t="s">
        <v>12</v>
      </c>
      <c r="B3094" s="3" t="s">
        <v>359</v>
      </c>
      <c r="C3094" s="3" t="s">
        <v>8902</v>
      </c>
      <c r="D3094" s="8" t="str">
        <f t="shared" si="1"/>
        <v>Abrir anúncio ↗</v>
      </c>
      <c r="E3094" s="9" t="s">
        <v>7285</v>
      </c>
      <c r="F3094" s="3" t="s">
        <v>29</v>
      </c>
      <c r="G3094" s="9" t="s">
        <v>4918</v>
      </c>
      <c r="H3094" s="9" t="s">
        <v>4919</v>
      </c>
      <c r="I3094" s="3"/>
      <c r="J3094" s="3"/>
      <c r="K3094" s="9"/>
    </row>
    <row r="3095" ht="15.75" customHeight="1">
      <c r="A3095" s="10" t="s">
        <v>12</v>
      </c>
      <c r="B3095" s="10" t="s">
        <v>359</v>
      </c>
      <c r="C3095" s="10" t="s">
        <v>9014</v>
      </c>
      <c r="D3095" s="11" t="str">
        <f t="shared" si="1"/>
        <v>Abrir anúncio ↗</v>
      </c>
      <c r="E3095" s="12" t="s">
        <v>9012</v>
      </c>
      <c r="F3095" s="10" t="s">
        <v>29</v>
      </c>
      <c r="G3095" s="12" t="s">
        <v>4918</v>
      </c>
      <c r="H3095" s="12" t="s">
        <v>4919</v>
      </c>
      <c r="I3095" s="10"/>
      <c r="J3095" s="10"/>
      <c r="K3095" s="12"/>
    </row>
    <row r="3096" ht="15.75" customHeight="1">
      <c r="A3096" s="3" t="s">
        <v>12</v>
      </c>
      <c r="B3096" s="3" t="s">
        <v>359</v>
      </c>
      <c r="C3096" s="3" t="s">
        <v>11716</v>
      </c>
      <c r="D3096" s="8" t="str">
        <f t="shared" si="1"/>
        <v>Abrir anúncio ↗</v>
      </c>
      <c r="E3096" s="9" t="s">
        <v>11717</v>
      </c>
      <c r="F3096" s="3" t="s">
        <v>29</v>
      </c>
      <c r="G3096" s="9" t="s">
        <v>4918</v>
      </c>
      <c r="H3096" s="9" t="s">
        <v>4919</v>
      </c>
      <c r="I3096" s="3"/>
      <c r="J3096" s="3"/>
      <c r="K3096" s="9"/>
    </row>
    <row r="3097" ht="15.75" customHeight="1">
      <c r="A3097" s="10" t="s">
        <v>12</v>
      </c>
      <c r="B3097" s="10" t="s">
        <v>359</v>
      </c>
      <c r="C3097" s="10" t="s">
        <v>8042</v>
      </c>
      <c r="D3097" s="11" t="str">
        <f t="shared" si="1"/>
        <v>Abrir anúncio ↗</v>
      </c>
      <c r="E3097" s="12" t="s">
        <v>7294</v>
      </c>
      <c r="F3097" s="10" t="s">
        <v>29</v>
      </c>
      <c r="G3097" s="12" t="s">
        <v>4918</v>
      </c>
      <c r="H3097" s="12" t="s">
        <v>4919</v>
      </c>
      <c r="I3097" s="10"/>
      <c r="J3097" s="10"/>
      <c r="K3097" s="12"/>
    </row>
    <row r="3098" ht="15.75" customHeight="1">
      <c r="A3098" s="3" t="s">
        <v>12</v>
      </c>
      <c r="B3098" s="3" t="s">
        <v>359</v>
      </c>
      <c r="C3098" s="3" t="s">
        <v>8481</v>
      </c>
      <c r="D3098" s="8" t="str">
        <f t="shared" si="1"/>
        <v>Abrir anúncio ↗</v>
      </c>
      <c r="E3098" s="9" t="s">
        <v>8478</v>
      </c>
      <c r="F3098" s="3" t="s">
        <v>29</v>
      </c>
      <c r="G3098" s="9" t="s">
        <v>4918</v>
      </c>
      <c r="H3098" s="9" t="s">
        <v>4919</v>
      </c>
      <c r="I3098" s="3"/>
      <c r="J3098" s="3"/>
      <c r="K3098" s="9"/>
    </row>
    <row r="3099" ht="15.75" customHeight="1">
      <c r="A3099" s="10" t="s">
        <v>12</v>
      </c>
      <c r="B3099" s="10" t="s">
        <v>359</v>
      </c>
      <c r="C3099" s="10" t="s">
        <v>11718</v>
      </c>
      <c r="D3099" s="11" t="str">
        <f t="shared" si="1"/>
        <v>Abrir anúncio ↗</v>
      </c>
      <c r="E3099" s="12" t="s">
        <v>11719</v>
      </c>
      <c r="F3099" s="10" t="s">
        <v>29</v>
      </c>
      <c r="G3099" s="12" t="s">
        <v>4918</v>
      </c>
      <c r="H3099" s="12" t="s">
        <v>4919</v>
      </c>
      <c r="I3099" s="10"/>
      <c r="J3099" s="10"/>
      <c r="K3099" s="12"/>
    </row>
    <row r="3100" ht="15.75" customHeight="1">
      <c r="A3100" s="3" t="s">
        <v>12</v>
      </c>
      <c r="B3100" s="3" t="s">
        <v>359</v>
      </c>
      <c r="C3100" s="3" t="s">
        <v>11720</v>
      </c>
      <c r="D3100" s="8" t="str">
        <f t="shared" si="1"/>
        <v>Abrir anúncio ↗</v>
      </c>
      <c r="E3100" s="9" t="s">
        <v>11721</v>
      </c>
      <c r="F3100" s="3" t="s">
        <v>29</v>
      </c>
      <c r="G3100" s="9" t="s">
        <v>4918</v>
      </c>
      <c r="H3100" s="9" t="s">
        <v>4919</v>
      </c>
      <c r="I3100" s="3"/>
      <c r="J3100" s="3"/>
      <c r="K3100" s="9"/>
    </row>
    <row r="3101" ht="15.75" customHeight="1">
      <c r="A3101" s="10" t="s">
        <v>12</v>
      </c>
      <c r="B3101" s="10" t="s">
        <v>359</v>
      </c>
      <c r="C3101" s="10" t="s">
        <v>11722</v>
      </c>
      <c r="D3101" s="11" t="str">
        <f t="shared" si="1"/>
        <v>Abrir anúncio ↗</v>
      </c>
      <c r="E3101" s="12" t="s">
        <v>11723</v>
      </c>
      <c r="F3101" s="10" t="s">
        <v>29</v>
      </c>
      <c r="G3101" s="12" t="s">
        <v>4918</v>
      </c>
      <c r="H3101" s="12" t="s">
        <v>4919</v>
      </c>
      <c r="I3101" s="10"/>
      <c r="J3101" s="10"/>
      <c r="K3101" s="12"/>
    </row>
    <row r="3102" ht="15.75" customHeight="1">
      <c r="A3102" s="3" t="s">
        <v>12</v>
      </c>
      <c r="B3102" s="3" t="s">
        <v>359</v>
      </c>
      <c r="C3102" s="3" t="s">
        <v>11724</v>
      </c>
      <c r="D3102" s="8" t="str">
        <f t="shared" si="1"/>
        <v>Abrir anúncio ↗</v>
      </c>
      <c r="E3102" s="9" t="s">
        <v>11725</v>
      </c>
      <c r="F3102" s="3" t="s">
        <v>29</v>
      </c>
      <c r="G3102" s="9" t="s">
        <v>4918</v>
      </c>
      <c r="H3102" s="9" t="s">
        <v>4919</v>
      </c>
      <c r="I3102" s="3"/>
      <c r="J3102" s="3"/>
      <c r="K3102" s="9"/>
    </row>
    <row r="3103" ht="15.75" customHeight="1">
      <c r="A3103" s="10" t="s">
        <v>12</v>
      </c>
      <c r="B3103" s="10" t="s">
        <v>359</v>
      </c>
      <c r="C3103" s="10" t="s">
        <v>11726</v>
      </c>
      <c r="D3103" s="11" t="str">
        <f t="shared" si="1"/>
        <v>Abrir anúncio ↗</v>
      </c>
      <c r="E3103" s="12" t="s">
        <v>11727</v>
      </c>
      <c r="F3103" s="10" t="s">
        <v>29</v>
      </c>
      <c r="G3103" s="12" t="s">
        <v>4918</v>
      </c>
      <c r="H3103" s="12" t="s">
        <v>4919</v>
      </c>
      <c r="I3103" s="10"/>
      <c r="J3103" s="10"/>
      <c r="K3103" s="12"/>
    </row>
    <row r="3104" ht="15.75" customHeight="1">
      <c r="A3104" s="3" t="s">
        <v>12</v>
      </c>
      <c r="B3104" s="3" t="s">
        <v>359</v>
      </c>
      <c r="C3104" s="3" t="s">
        <v>11728</v>
      </c>
      <c r="D3104" s="8" t="str">
        <f t="shared" si="1"/>
        <v>Abrir anúncio ↗</v>
      </c>
      <c r="E3104" s="9" t="s">
        <v>11729</v>
      </c>
      <c r="F3104" s="3" t="s">
        <v>29</v>
      </c>
      <c r="G3104" s="9" t="s">
        <v>4918</v>
      </c>
      <c r="H3104" s="9" t="s">
        <v>4919</v>
      </c>
      <c r="I3104" s="3"/>
      <c r="J3104" s="3"/>
      <c r="K3104" s="9"/>
    </row>
    <row r="3105" ht="15.75" customHeight="1">
      <c r="A3105" s="10" t="s">
        <v>12</v>
      </c>
      <c r="B3105" s="10" t="s">
        <v>359</v>
      </c>
      <c r="C3105" s="10" t="s">
        <v>8978</v>
      </c>
      <c r="D3105" s="11" t="str">
        <f t="shared" si="1"/>
        <v>Abrir anúncio ↗</v>
      </c>
      <c r="E3105" s="12" t="s">
        <v>8974</v>
      </c>
      <c r="F3105" s="10" t="s">
        <v>29</v>
      </c>
      <c r="G3105" s="12" t="s">
        <v>4918</v>
      </c>
      <c r="H3105" s="12" t="s">
        <v>4919</v>
      </c>
      <c r="I3105" s="10"/>
      <c r="J3105" s="10"/>
      <c r="K3105" s="12"/>
    </row>
    <row r="3106" ht="15.75" customHeight="1">
      <c r="A3106" s="3" t="s">
        <v>12</v>
      </c>
      <c r="B3106" s="3" t="s">
        <v>359</v>
      </c>
      <c r="C3106" s="3" t="s">
        <v>11730</v>
      </c>
      <c r="D3106" s="8" t="str">
        <f t="shared" si="1"/>
        <v>Abrir anúncio ↗</v>
      </c>
      <c r="E3106" s="9" t="s">
        <v>11731</v>
      </c>
      <c r="F3106" s="3" t="s">
        <v>29</v>
      </c>
      <c r="G3106" s="9" t="s">
        <v>4918</v>
      </c>
      <c r="H3106" s="9" t="s">
        <v>4919</v>
      </c>
      <c r="I3106" s="3"/>
      <c r="J3106" s="3"/>
      <c r="K3106" s="9"/>
    </row>
    <row r="3107" ht="15.75" customHeight="1">
      <c r="A3107" s="10" t="s">
        <v>12</v>
      </c>
      <c r="B3107" s="10" t="s">
        <v>359</v>
      </c>
      <c r="C3107" s="10" t="s">
        <v>11732</v>
      </c>
      <c r="D3107" s="11" t="str">
        <f t="shared" si="1"/>
        <v>Abrir anúncio ↗</v>
      </c>
      <c r="E3107" s="12" t="s">
        <v>11733</v>
      </c>
      <c r="F3107" s="10" t="s">
        <v>29</v>
      </c>
      <c r="G3107" s="12" t="s">
        <v>4918</v>
      </c>
      <c r="H3107" s="12" t="s">
        <v>4919</v>
      </c>
      <c r="I3107" s="10"/>
      <c r="J3107" s="10"/>
      <c r="K3107" s="12"/>
    </row>
    <row r="3108" ht="15.75" customHeight="1">
      <c r="A3108" s="3" t="s">
        <v>12</v>
      </c>
      <c r="B3108" s="3" t="s">
        <v>359</v>
      </c>
      <c r="C3108" s="3" t="s">
        <v>7004</v>
      </c>
      <c r="D3108" s="8" t="str">
        <f t="shared" si="1"/>
        <v>Abrir anúncio ↗</v>
      </c>
      <c r="E3108" s="9" t="s">
        <v>6999</v>
      </c>
      <c r="F3108" s="3" t="s">
        <v>29</v>
      </c>
      <c r="G3108" s="9" t="s">
        <v>9253</v>
      </c>
      <c r="H3108" s="9" t="s">
        <v>9254</v>
      </c>
      <c r="I3108" s="3"/>
      <c r="J3108" s="3"/>
      <c r="K3108" s="9"/>
    </row>
    <row r="3109" ht="15.75" customHeight="1">
      <c r="A3109" s="10" t="s">
        <v>12</v>
      </c>
      <c r="B3109" s="10" t="s">
        <v>359</v>
      </c>
      <c r="C3109" s="10" t="s">
        <v>11734</v>
      </c>
      <c r="D3109" s="11" t="str">
        <f t="shared" si="1"/>
        <v>Abrir anúncio ↗</v>
      </c>
      <c r="E3109" s="12" t="s">
        <v>11735</v>
      </c>
      <c r="F3109" s="10" t="s">
        <v>86</v>
      </c>
      <c r="G3109" s="12" t="s">
        <v>4918</v>
      </c>
      <c r="H3109" s="12" t="s">
        <v>4919</v>
      </c>
      <c r="I3109" s="10"/>
      <c r="J3109" s="10"/>
      <c r="K3109" s="12"/>
    </row>
    <row r="3110" ht="15.75" customHeight="1">
      <c r="A3110" s="3" t="s">
        <v>12</v>
      </c>
      <c r="B3110" s="3" t="s">
        <v>359</v>
      </c>
      <c r="C3110" s="3" t="s">
        <v>11736</v>
      </c>
      <c r="D3110" s="8" t="str">
        <f t="shared" si="1"/>
        <v>Abrir anúncio ↗</v>
      </c>
      <c r="E3110" s="9" t="s">
        <v>11737</v>
      </c>
      <c r="F3110" s="3" t="s">
        <v>29</v>
      </c>
      <c r="G3110" s="9" t="s">
        <v>5013</v>
      </c>
      <c r="H3110" s="9" t="s">
        <v>5015</v>
      </c>
      <c r="I3110" s="3"/>
      <c r="J3110" s="3"/>
      <c r="K3110" s="9"/>
    </row>
    <row r="3111" ht="15.75" customHeight="1">
      <c r="A3111" s="10" t="s">
        <v>12</v>
      </c>
      <c r="B3111" s="10" t="s">
        <v>359</v>
      </c>
      <c r="C3111" s="10" t="s">
        <v>11738</v>
      </c>
      <c r="D3111" s="11" t="str">
        <f t="shared" si="1"/>
        <v>Abrir anúncio ↗</v>
      </c>
      <c r="E3111" s="12" t="s">
        <v>11739</v>
      </c>
      <c r="F3111" s="10" t="s">
        <v>29</v>
      </c>
      <c r="G3111" s="12" t="s">
        <v>4918</v>
      </c>
      <c r="H3111" s="12" t="s">
        <v>4919</v>
      </c>
      <c r="I3111" s="10"/>
      <c r="J3111" s="10"/>
      <c r="K3111" s="12"/>
    </row>
    <row r="3112" ht="15.75" customHeight="1">
      <c r="A3112" s="3" t="s">
        <v>12</v>
      </c>
      <c r="B3112" s="3" t="s">
        <v>359</v>
      </c>
      <c r="C3112" s="3" t="s">
        <v>11740</v>
      </c>
      <c r="D3112" s="8" t="str">
        <f t="shared" si="1"/>
        <v>Abrir anúncio ↗</v>
      </c>
      <c r="E3112" s="9" t="s">
        <v>11741</v>
      </c>
      <c r="F3112" s="3" t="s">
        <v>86</v>
      </c>
      <c r="G3112" s="9" t="s">
        <v>9514</v>
      </c>
      <c r="H3112" s="9" t="s">
        <v>9515</v>
      </c>
      <c r="I3112" s="3"/>
      <c r="J3112" s="3"/>
      <c r="K3112" s="9"/>
    </row>
    <row r="3113" ht="15.75" customHeight="1">
      <c r="A3113" s="10" t="s">
        <v>12</v>
      </c>
      <c r="B3113" s="10" t="s">
        <v>359</v>
      </c>
      <c r="C3113" s="10" t="s">
        <v>7128</v>
      </c>
      <c r="D3113" s="11" t="str">
        <f t="shared" si="1"/>
        <v>Abrir anúncio ↗</v>
      </c>
      <c r="E3113" s="12" t="s">
        <v>7126</v>
      </c>
      <c r="F3113" s="10" t="s">
        <v>29</v>
      </c>
      <c r="G3113" s="12" t="s">
        <v>4918</v>
      </c>
      <c r="H3113" s="12" t="s">
        <v>4919</v>
      </c>
      <c r="I3113" s="10"/>
      <c r="J3113" s="10"/>
      <c r="K3113" s="12"/>
    </row>
    <row r="3114" ht="15.75" customHeight="1">
      <c r="A3114" s="3" t="s">
        <v>12</v>
      </c>
      <c r="B3114" s="3" t="s">
        <v>359</v>
      </c>
      <c r="C3114" s="3" t="s">
        <v>11742</v>
      </c>
      <c r="D3114" s="8" t="str">
        <f t="shared" si="1"/>
        <v>Abrir anúncio ↗</v>
      </c>
      <c r="E3114" s="9" t="s">
        <v>11743</v>
      </c>
      <c r="F3114" s="3" t="s">
        <v>29</v>
      </c>
      <c r="G3114" s="9" t="s">
        <v>4918</v>
      </c>
      <c r="H3114" s="9" t="s">
        <v>4919</v>
      </c>
      <c r="I3114" s="3"/>
      <c r="J3114" s="3"/>
      <c r="K3114" s="9"/>
    </row>
    <row r="3115" ht="15.75" customHeight="1">
      <c r="A3115" s="10" t="s">
        <v>12</v>
      </c>
      <c r="B3115" s="10" t="s">
        <v>359</v>
      </c>
      <c r="C3115" s="10" t="s">
        <v>11744</v>
      </c>
      <c r="D3115" s="11" t="str">
        <f t="shared" si="1"/>
        <v>Abrir anúncio ↗</v>
      </c>
      <c r="E3115" s="12" t="s">
        <v>11745</v>
      </c>
      <c r="F3115" s="10" t="s">
        <v>86</v>
      </c>
      <c r="G3115" s="12" t="s">
        <v>9514</v>
      </c>
      <c r="H3115" s="12" t="s">
        <v>9515</v>
      </c>
      <c r="I3115" s="10"/>
      <c r="J3115" s="10"/>
      <c r="K3115" s="12"/>
    </row>
    <row r="3116" ht="15.75" customHeight="1">
      <c r="A3116" s="3" t="s">
        <v>12</v>
      </c>
      <c r="B3116" s="3" t="s">
        <v>359</v>
      </c>
      <c r="C3116" s="3" t="s">
        <v>8806</v>
      </c>
      <c r="D3116" s="8" t="str">
        <f t="shared" si="1"/>
        <v>Abrir anúncio ↗</v>
      </c>
      <c r="E3116" s="9" t="s">
        <v>8802</v>
      </c>
      <c r="F3116" s="3" t="s">
        <v>29</v>
      </c>
      <c r="G3116" s="9" t="s">
        <v>4918</v>
      </c>
      <c r="H3116" s="9" t="s">
        <v>4919</v>
      </c>
      <c r="I3116" s="3"/>
      <c r="J3116" s="3"/>
      <c r="K3116" s="9"/>
    </row>
    <row r="3117" ht="15.75" customHeight="1">
      <c r="A3117" s="10" t="s">
        <v>12</v>
      </c>
      <c r="B3117" s="10" t="s">
        <v>359</v>
      </c>
      <c r="C3117" s="10" t="s">
        <v>11746</v>
      </c>
      <c r="D3117" s="11" t="str">
        <f t="shared" si="1"/>
        <v>Abrir anúncio ↗</v>
      </c>
      <c r="E3117" s="12" t="s">
        <v>11747</v>
      </c>
      <c r="F3117" s="10" t="s">
        <v>29</v>
      </c>
      <c r="G3117" s="12" t="s">
        <v>4918</v>
      </c>
      <c r="H3117" s="12" t="s">
        <v>4919</v>
      </c>
      <c r="I3117" s="10"/>
      <c r="J3117" s="10"/>
      <c r="K3117" s="12"/>
    </row>
    <row r="3118" ht="15.75" customHeight="1">
      <c r="A3118" s="3" t="s">
        <v>12</v>
      </c>
      <c r="B3118" s="3" t="s">
        <v>359</v>
      </c>
      <c r="C3118" s="3" t="s">
        <v>8879</v>
      </c>
      <c r="D3118" s="8" t="str">
        <f t="shared" si="1"/>
        <v>Abrir anúncio ↗</v>
      </c>
      <c r="E3118" s="9" t="s">
        <v>6738</v>
      </c>
      <c r="F3118" s="3" t="s">
        <v>29</v>
      </c>
      <c r="G3118" s="9" t="s">
        <v>5013</v>
      </c>
      <c r="H3118" s="9" t="s">
        <v>5015</v>
      </c>
      <c r="I3118" s="3"/>
      <c r="J3118" s="3"/>
      <c r="K3118" s="9"/>
    </row>
    <row r="3119" ht="15.75" customHeight="1">
      <c r="A3119" s="10" t="s">
        <v>12</v>
      </c>
      <c r="B3119" s="10" t="s">
        <v>359</v>
      </c>
      <c r="C3119" s="10" t="s">
        <v>8062</v>
      </c>
      <c r="D3119" s="11" t="str">
        <f t="shared" si="1"/>
        <v>Abrir anúncio ↗</v>
      </c>
      <c r="E3119" s="12" t="s">
        <v>7742</v>
      </c>
      <c r="F3119" s="10" t="s">
        <v>29</v>
      </c>
      <c r="G3119" s="12" t="s">
        <v>4918</v>
      </c>
      <c r="H3119" s="12" t="s">
        <v>4919</v>
      </c>
      <c r="I3119" s="10"/>
      <c r="J3119" s="10"/>
      <c r="K3119" s="12"/>
    </row>
    <row r="3120" ht="15.75" customHeight="1">
      <c r="A3120" s="3" t="s">
        <v>12</v>
      </c>
      <c r="B3120" s="3" t="s">
        <v>359</v>
      </c>
      <c r="C3120" s="3" t="s">
        <v>6952</v>
      </c>
      <c r="D3120" s="8" t="str">
        <f t="shared" si="1"/>
        <v>Abrir anúncio ↗</v>
      </c>
      <c r="E3120" s="9" t="s">
        <v>6946</v>
      </c>
      <c r="F3120" s="3" t="s">
        <v>29</v>
      </c>
      <c r="G3120" s="9" t="s">
        <v>4918</v>
      </c>
      <c r="H3120" s="9" t="s">
        <v>4919</v>
      </c>
      <c r="I3120" s="3"/>
      <c r="J3120" s="3"/>
      <c r="K3120" s="9"/>
    </row>
    <row r="3121" ht="15.75" customHeight="1">
      <c r="A3121" s="10" t="s">
        <v>12</v>
      </c>
      <c r="B3121" s="10" t="s">
        <v>359</v>
      </c>
      <c r="C3121" s="10" t="s">
        <v>11748</v>
      </c>
      <c r="D3121" s="11" t="str">
        <f t="shared" si="1"/>
        <v>Abrir anúncio ↗</v>
      </c>
      <c r="E3121" s="12" t="s">
        <v>11749</v>
      </c>
      <c r="F3121" s="10" t="s">
        <v>29</v>
      </c>
      <c r="G3121" s="12" t="s">
        <v>4918</v>
      </c>
      <c r="H3121" s="12" t="s">
        <v>4919</v>
      </c>
      <c r="I3121" s="10"/>
      <c r="J3121" s="10"/>
      <c r="K3121" s="12"/>
    </row>
    <row r="3122" ht="15.75" customHeight="1">
      <c r="A3122" s="3" t="s">
        <v>12</v>
      </c>
      <c r="B3122" s="3" t="s">
        <v>359</v>
      </c>
      <c r="C3122" s="3" t="s">
        <v>11750</v>
      </c>
      <c r="D3122" s="8" t="str">
        <f t="shared" si="1"/>
        <v>Abrir anúncio ↗</v>
      </c>
      <c r="E3122" s="9" t="s">
        <v>11751</v>
      </c>
      <c r="F3122" s="3" t="s">
        <v>29</v>
      </c>
      <c r="G3122" s="9" t="s">
        <v>4918</v>
      </c>
      <c r="H3122" s="9" t="s">
        <v>4919</v>
      </c>
      <c r="I3122" s="3"/>
      <c r="J3122" s="3"/>
      <c r="K3122" s="9"/>
    </row>
    <row r="3123" ht="15.75" customHeight="1">
      <c r="A3123" s="10" t="s">
        <v>12</v>
      </c>
      <c r="B3123" s="10" t="s">
        <v>359</v>
      </c>
      <c r="C3123" s="10" t="s">
        <v>11752</v>
      </c>
      <c r="D3123" s="11" t="str">
        <f t="shared" si="1"/>
        <v>Abrir anúncio ↗</v>
      </c>
      <c r="E3123" s="12" t="s">
        <v>11753</v>
      </c>
      <c r="F3123" s="10" t="s">
        <v>29</v>
      </c>
      <c r="G3123" s="12" t="s">
        <v>4918</v>
      </c>
      <c r="H3123" s="12" t="s">
        <v>4919</v>
      </c>
      <c r="I3123" s="10"/>
      <c r="J3123" s="10"/>
      <c r="K3123" s="12"/>
    </row>
    <row r="3124" ht="15.75" customHeight="1">
      <c r="A3124" s="3" t="s">
        <v>12</v>
      </c>
      <c r="B3124" s="3" t="s">
        <v>359</v>
      </c>
      <c r="C3124" s="3" t="s">
        <v>11754</v>
      </c>
      <c r="D3124" s="8" t="str">
        <f t="shared" si="1"/>
        <v>Abrir anúncio ↗</v>
      </c>
      <c r="E3124" s="9" t="s">
        <v>11755</v>
      </c>
      <c r="F3124" s="3" t="s">
        <v>29</v>
      </c>
      <c r="G3124" s="9" t="s">
        <v>4918</v>
      </c>
      <c r="H3124" s="9" t="s">
        <v>4919</v>
      </c>
      <c r="I3124" s="3"/>
      <c r="J3124" s="3"/>
      <c r="K3124" s="9"/>
    </row>
    <row r="3125" ht="15.75" customHeight="1">
      <c r="A3125" s="10" t="s">
        <v>12</v>
      </c>
      <c r="B3125" s="10" t="s">
        <v>359</v>
      </c>
      <c r="C3125" s="10" t="s">
        <v>8114</v>
      </c>
      <c r="D3125" s="11" t="str">
        <f t="shared" si="1"/>
        <v>Abrir anúncio ↗</v>
      </c>
      <c r="E3125" s="12" t="s">
        <v>8113</v>
      </c>
      <c r="F3125" s="10" t="s">
        <v>29</v>
      </c>
      <c r="G3125" s="12" t="s">
        <v>4918</v>
      </c>
      <c r="H3125" s="12" t="s">
        <v>4919</v>
      </c>
      <c r="I3125" s="10"/>
      <c r="J3125" s="10"/>
      <c r="K3125" s="12"/>
    </row>
    <row r="3126" ht="15.75" customHeight="1">
      <c r="A3126" s="3" t="s">
        <v>12</v>
      </c>
      <c r="B3126" s="3" t="s">
        <v>359</v>
      </c>
      <c r="C3126" s="3" t="s">
        <v>11756</v>
      </c>
      <c r="D3126" s="8" t="str">
        <f t="shared" si="1"/>
        <v>Abrir anúncio ↗</v>
      </c>
      <c r="E3126" s="9" t="s">
        <v>11757</v>
      </c>
      <c r="F3126" s="3" t="s">
        <v>29</v>
      </c>
      <c r="G3126" s="9" t="s">
        <v>4918</v>
      </c>
      <c r="H3126" s="9" t="s">
        <v>4919</v>
      </c>
      <c r="I3126" s="3"/>
      <c r="J3126" s="3"/>
      <c r="K3126" s="9"/>
    </row>
    <row r="3127" ht="15.75" customHeight="1">
      <c r="A3127" s="10" t="s">
        <v>12</v>
      </c>
      <c r="B3127" s="10" t="s">
        <v>359</v>
      </c>
      <c r="C3127" s="10" t="s">
        <v>8940</v>
      </c>
      <c r="D3127" s="11" t="str">
        <f t="shared" si="1"/>
        <v>Abrir anúncio ↗</v>
      </c>
      <c r="E3127" s="12" t="s">
        <v>8937</v>
      </c>
      <c r="F3127" s="10" t="s">
        <v>29</v>
      </c>
      <c r="G3127" s="12" t="s">
        <v>4918</v>
      </c>
      <c r="H3127" s="12" t="s">
        <v>4919</v>
      </c>
      <c r="I3127" s="10"/>
      <c r="J3127" s="10"/>
      <c r="K3127" s="12"/>
    </row>
    <row r="3128" ht="15.75" customHeight="1">
      <c r="A3128" s="3" t="s">
        <v>12</v>
      </c>
      <c r="B3128" s="3" t="s">
        <v>359</v>
      </c>
      <c r="C3128" s="3" t="s">
        <v>8934</v>
      </c>
      <c r="D3128" s="8" t="str">
        <f t="shared" si="1"/>
        <v>Abrir anúncio ↗</v>
      </c>
      <c r="E3128" s="9" t="s">
        <v>7878</v>
      </c>
      <c r="F3128" s="3" t="s">
        <v>29</v>
      </c>
      <c r="G3128" s="9" t="s">
        <v>4918</v>
      </c>
      <c r="H3128" s="9" t="s">
        <v>4919</v>
      </c>
      <c r="I3128" s="3"/>
      <c r="J3128" s="3"/>
      <c r="K3128" s="9"/>
    </row>
    <row r="3129" ht="15.75" customHeight="1">
      <c r="A3129" s="10" t="s">
        <v>12</v>
      </c>
      <c r="B3129" s="10" t="s">
        <v>359</v>
      </c>
      <c r="C3129" s="10" t="s">
        <v>8973</v>
      </c>
      <c r="D3129" s="11" t="str">
        <f t="shared" si="1"/>
        <v>Abrir anúncio ↗</v>
      </c>
      <c r="E3129" s="12" t="s">
        <v>8969</v>
      </c>
      <c r="F3129" s="10" t="s">
        <v>29</v>
      </c>
      <c r="G3129" s="12" t="s">
        <v>4918</v>
      </c>
      <c r="H3129" s="12" t="s">
        <v>4919</v>
      </c>
      <c r="I3129" s="10"/>
      <c r="J3129" s="10"/>
      <c r="K3129" s="12"/>
    </row>
    <row r="3130" ht="15.75" customHeight="1">
      <c r="A3130" s="3" t="s">
        <v>12</v>
      </c>
      <c r="B3130" s="3" t="s">
        <v>359</v>
      </c>
      <c r="C3130" s="3" t="s">
        <v>11758</v>
      </c>
      <c r="D3130" s="8" t="str">
        <f t="shared" si="1"/>
        <v>Abrir anúncio ↗</v>
      </c>
      <c r="E3130" s="9" t="s">
        <v>11759</v>
      </c>
      <c r="F3130" s="3" t="s">
        <v>29</v>
      </c>
      <c r="G3130" s="9" t="s">
        <v>9514</v>
      </c>
      <c r="H3130" s="9" t="s">
        <v>9515</v>
      </c>
      <c r="I3130" s="3"/>
      <c r="J3130" s="3"/>
      <c r="K3130" s="9"/>
    </row>
    <row r="3131" ht="15.75" customHeight="1">
      <c r="A3131" s="10" t="s">
        <v>12</v>
      </c>
      <c r="B3131" s="10" t="s">
        <v>359</v>
      </c>
      <c r="C3131" s="10" t="s">
        <v>11760</v>
      </c>
      <c r="D3131" s="11" t="str">
        <f t="shared" si="1"/>
        <v>Abrir anúncio ↗</v>
      </c>
      <c r="E3131" s="12" t="s">
        <v>11761</v>
      </c>
      <c r="F3131" s="10" t="s">
        <v>29</v>
      </c>
      <c r="G3131" s="12" t="s">
        <v>9514</v>
      </c>
      <c r="H3131" s="12" t="s">
        <v>9515</v>
      </c>
      <c r="I3131" s="10"/>
      <c r="J3131" s="10"/>
      <c r="K3131" s="12"/>
    </row>
    <row r="3132" ht="15.75" customHeight="1">
      <c r="A3132" s="3" t="s">
        <v>12</v>
      </c>
      <c r="B3132" s="3" t="s">
        <v>359</v>
      </c>
      <c r="C3132" s="3" t="s">
        <v>11762</v>
      </c>
      <c r="D3132" s="8" t="str">
        <f t="shared" si="1"/>
        <v>Abrir anúncio ↗</v>
      </c>
      <c r="E3132" s="9" t="s">
        <v>11763</v>
      </c>
      <c r="F3132" s="3" t="s">
        <v>29</v>
      </c>
      <c r="G3132" s="9" t="s">
        <v>9514</v>
      </c>
      <c r="H3132" s="9" t="s">
        <v>9515</v>
      </c>
      <c r="I3132" s="3"/>
      <c r="J3132" s="3"/>
      <c r="K3132" s="9"/>
    </row>
    <row r="3133" ht="15.75" customHeight="1">
      <c r="A3133" s="10" t="s">
        <v>12</v>
      </c>
      <c r="B3133" s="10" t="s">
        <v>359</v>
      </c>
      <c r="C3133" s="10" t="s">
        <v>11764</v>
      </c>
      <c r="D3133" s="11" t="str">
        <f t="shared" si="1"/>
        <v>Abrir anúncio ↗</v>
      </c>
      <c r="E3133" s="12" t="s">
        <v>11765</v>
      </c>
      <c r="F3133" s="10" t="s">
        <v>29</v>
      </c>
      <c r="G3133" s="12" t="s">
        <v>9514</v>
      </c>
      <c r="H3133" s="12" t="s">
        <v>9515</v>
      </c>
      <c r="I3133" s="10"/>
      <c r="J3133" s="10"/>
      <c r="K3133" s="12"/>
    </row>
    <row r="3134" ht="15.75" customHeight="1">
      <c r="A3134" s="3" t="s">
        <v>12</v>
      </c>
      <c r="B3134" s="3" t="s">
        <v>359</v>
      </c>
      <c r="C3134" s="3" t="s">
        <v>11766</v>
      </c>
      <c r="D3134" s="8" t="str">
        <f t="shared" si="1"/>
        <v>Abrir anúncio ↗</v>
      </c>
      <c r="E3134" s="9" t="s">
        <v>11767</v>
      </c>
      <c r="F3134" s="3" t="s">
        <v>29</v>
      </c>
      <c r="G3134" s="9" t="s">
        <v>9514</v>
      </c>
      <c r="H3134" s="9" t="s">
        <v>9515</v>
      </c>
      <c r="I3134" s="3"/>
      <c r="J3134" s="3"/>
      <c r="K3134" s="9"/>
    </row>
    <row r="3135" ht="15.75" customHeight="1">
      <c r="A3135" s="10" t="s">
        <v>12</v>
      </c>
      <c r="B3135" s="10" t="s">
        <v>359</v>
      </c>
      <c r="C3135" s="10" t="s">
        <v>11768</v>
      </c>
      <c r="D3135" s="11" t="str">
        <f t="shared" si="1"/>
        <v>Abrir anúncio ↗</v>
      </c>
      <c r="E3135" s="12" t="s">
        <v>11769</v>
      </c>
      <c r="F3135" s="10" t="s">
        <v>29</v>
      </c>
      <c r="G3135" s="12" t="s">
        <v>4918</v>
      </c>
      <c r="H3135" s="12" t="s">
        <v>4919</v>
      </c>
      <c r="I3135" s="10"/>
      <c r="J3135" s="10"/>
      <c r="K3135" s="12"/>
    </row>
    <row r="3136" ht="15.75" customHeight="1">
      <c r="A3136" s="3" t="s">
        <v>12</v>
      </c>
      <c r="B3136" s="3" t="s">
        <v>359</v>
      </c>
      <c r="C3136" s="3" t="s">
        <v>11770</v>
      </c>
      <c r="D3136" s="8" t="str">
        <f t="shared" si="1"/>
        <v>Abrir anúncio ↗</v>
      </c>
      <c r="E3136" s="9" t="s">
        <v>11771</v>
      </c>
      <c r="F3136" s="3" t="s">
        <v>29</v>
      </c>
      <c r="G3136" s="9" t="s">
        <v>9253</v>
      </c>
      <c r="H3136" s="9" t="s">
        <v>9254</v>
      </c>
      <c r="I3136" s="3"/>
      <c r="J3136" s="3"/>
      <c r="K3136" s="9"/>
    </row>
    <row r="3137" ht="15.75" customHeight="1">
      <c r="A3137" s="10" t="s">
        <v>12</v>
      </c>
      <c r="B3137" s="10" t="s">
        <v>359</v>
      </c>
      <c r="C3137" s="10" t="s">
        <v>11772</v>
      </c>
      <c r="D3137" s="11" t="str">
        <f t="shared" si="1"/>
        <v>Abrir anúncio ↗</v>
      </c>
      <c r="E3137" s="12" t="s">
        <v>11773</v>
      </c>
      <c r="F3137" s="10" t="s">
        <v>29</v>
      </c>
      <c r="G3137" s="12" t="s">
        <v>4918</v>
      </c>
      <c r="H3137" s="12" t="s">
        <v>4919</v>
      </c>
      <c r="I3137" s="10"/>
      <c r="J3137" s="10"/>
      <c r="K3137" s="12"/>
    </row>
    <row r="3138" ht="15.75" customHeight="1">
      <c r="A3138" s="3" t="s">
        <v>12</v>
      </c>
      <c r="B3138" s="3" t="s">
        <v>359</v>
      </c>
      <c r="C3138" s="3" t="s">
        <v>8506</v>
      </c>
      <c r="D3138" s="8" t="str">
        <f t="shared" si="1"/>
        <v>Abrir anúncio ↗</v>
      </c>
      <c r="E3138" s="9" t="s">
        <v>8502</v>
      </c>
      <c r="F3138" s="3" t="s">
        <v>29</v>
      </c>
      <c r="G3138" s="9" t="s">
        <v>4918</v>
      </c>
      <c r="H3138" s="9" t="s">
        <v>4919</v>
      </c>
      <c r="I3138" s="3"/>
      <c r="J3138" s="3"/>
      <c r="K3138" s="9"/>
    </row>
    <row r="3139" ht="15.75" customHeight="1">
      <c r="A3139" s="10" t="s">
        <v>12</v>
      </c>
      <c r="B3139" s="10" t="s">
        <v>359</v>
      </c>
      <c r="C3139" s="10" t="s">
        <v>6269</v>
      </c>
      <c r="D3139" s="11" t="str">
        <f t="shared" si="1"/>
        <v>Abrir anúncio ↗</v>
      </c>
      <c r="E3139" s="12" t="s">
        <v>6255</v>
      </c>
      <c r="F3139" s="10" t="s">
        <v>86</v>
      </c>
      <c r="G3139" s="12" t="s">
        <v>4918</v>
      </c>
      <c r="H3139" s="12" t="s">
        <v>4919</v>
      </c>
      <c r="I3139" s="10"/>
      <c r="J3139" s="10"/>
      <c r="K3139" s="12"/>
    </row>
  </sheetData>
  <autoFilter ref="$A$1:$K$3139"/>
  <conditionalFormatting sqref="A2:A3139">
    <cfRule type="expression" dxfId="0" priority="1">
      <formula>$A2="Não verificado"</formula>
    </cfRule>
  </conditionalFormatting>
  <conditionalFormatting sqref="A2:A3139">
    <cfRule type="expression" dxfId="1" priority="2">
      <formula>$A2="Em andamento"</formula>
    </cfRule>
  </conditionalFormatting>
  <conditionalFormatting sqref="A2:A3139">
    <cfRule type="expression" dxfId="2" priority="3">
      <formula>$A2="Corrigido"</formula>
    </cfRule>
  </conditionalFormatting>
  <conditionalFormatting sqref="A2:A3139">
    <cfRule type="expression" dxfId="3" priority="4">
      <formula>$A2="Não se aplica"</formula>
    </cfRule>
  </conditionalFormatting>
  <conditionalFormatting sqref="B2:B3139">
    <cfRule type="expression" dxfId="4" priority="5">
      <formula>$B2="Crítico"</formula>
    </cfRule>
  </conditionalFormatting>
  <conditionalFormatting sqref="B2:B3139">
    <cfRule type="expression" dxfId="5" priority="6">
      <formula>$B2="Alto"</formula>
    </cfRule>
  </conditionalFormatting>
  <conditionalFormatting sqref="B2:B3139">
    <cfRule type="expression" dxfId="6" priority="7">
      <formula>$B2="Médio"</formula>
    </cfRule>
  </conditionalFormatting>
  <conditionalFormatting sqref="B2:B3139">
    <cfRule type="expression" dxfId="7" priority="8">
      <formula>$B2="Baixo"</formula>
    </cfRule>
  </conditionalFormatting>
  <conditionalFormatting sqref="E2:K3139">
    <cfRule type="expression" dxfId="8" priority="9">
      <formula>$A2="Corrigido"</formula>
    </cfRule>
  </conditionalFormatting>
  <dataValidations>
    <dataValidation type="list" allowBlank="1" sqref="A2:A3139">
      <formula1>"Não verificado,Em andamento,Corrigido,Não se aplica"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4" width="14.0"/>
    <col customWidth="1" min="5" max="5" width="45.0"/>
    <col customWidth="1" min="6" max="6" width="13.0"/>
    <col customWidth="1" min="7" max="7" width="45.0"/>
    <col customWidth="1" min="8" max="8" width="55.0"/>
    <col customWidth="1" min="9" max="9" width="16.0"/>
    <col customWidth="1" min="10" max="10" width="12.0"/>
    <col customWidth="1" min="11" max="11" width="30.0"/>
    <col customWidth="1" min="12" max="26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3" t="s">
        <v>12</v>
      </c>
      <c r="B2" s="3" t="s">
        <v>14</v>
      </c>
      <c r="C2" s="3" t="s">
        <v>15</v>
      </c>
      <c r="D2" s="8" t="str">
        <f t="shared" ref="D2:D1533" si="1">HYPERLINK("https://www.mercadolivre.com.br/anuncios?page=1&amp;sort=DEFAULT&amp;search="&amp;C2,"Abrir anúncio ↗")</f>
        <v>Abrir anúncio ↗</v>
      </c>
      <c r="E2" s="9" t="s">
        <v>28</v>
      </c>
      <c r="F2" s="3" t="s">
        <v>29</v>
      </c>
      <c r="G2" s="9" t="s">
        <v>30</v>
      </c>
      <c r="H2" s="9" t="s">
        <v>31</v>
      </c>
      <c r="I2" s="3"/>
      <c r="J2" s="3"/>
      <c r="K2" s="9"/>
    </row>
    <row r="3">
      <c r="A3" s="10" t="s">
        <v>12</v>
      </c>
      <c r="B3" s="10" t="s">
        <v>14</v>
      </c>
      <c r="C3" s="10" t="s">
        <v>36</v>
      </c>
      <c r="D3" s="11" t="str">
        <f t="shared" si="1"/>
        <v>Abrir anúncio ↗</v>
      </c>
      <c r="E3" s="12" t="s">
        <v>39</v>
      </c>
      <c r="F3" s="10" t="s">
        <v>29</v>
      </c>
      <c r="G3" s="12" t="s">
        <v>30</v>
      </c>
      <c r="H3" s="12" t="s">
        <v>31</v>
      </c>
      <c r="I3" s="10"/>
      <c r="J3" s="10"/>
      <c r="K3" s="12"/>
    </row>
    <row r="4">
      <c r="A4" s="3" t="s">
        <v>12</v>
      </c>
      <c r="B4" s="3" t="s">
        <v>14</v>
      </c>
      <c r="C4" s="3" t="s">
        <v>43</v>
      </c>
      <c r="D4" s="8" t="str">
        <f t="shared" si="1"/>
        <v>Abrir anúncio ↗</v>
      </c>
      <c r="E4" s="9" t="s">
        <v>45</v>
      </c>
      <c r="F4" s="3" t="s">
        <v>29</v>
      </c>
      <c r="G4" s="9" t="s">
        <v>30</v>
      </c>
      <c r="H4" s="9" t="s">
        <v>31</v>
      </c>
      <c r="I4" s="3"/>
      <c r="J4" s="3"/>
      <c r="K4" s="9"/>
    </row>
    <row r="5">
      <c r="A5" s="10" t="s">
        <v>12</v>
      </c>
      <c r="B5" s="10" t="s">
        <v>14</v>
      </c>
      <c r="C5" s="10" t="s">
        <v>48</v>
      </c>
      <c r="D5" s="11" t="str">
        <f t="shared" si="1"/>
        <v>Abrir anúncio ↗</v>
      </c>
      <c r="E5" s="12" t="s">
        <v>51</v>
      </c>
      <c r="F5" s="10" t="s">
        <v>29</v>
      </c>
      <c r="G5" s="12" t="s">
        <v>30</v>
      </c>
      <c r="H5" s="12" t="s">
        <v>31</v>
      </c>
      <c r="I5" s="10"/>
      <c r="J5" s="10"/>
      <c r="K5" s="12"/>
    </row>
    <row r="6">
      <c r="A6" s="3" t="s">
        <v>12</v>
      </c>
      <c r="B6" s="3" t="s">
        <v>14</v>
      </c>
      <c r="C6" s="3" t="s">
        <v>55</v>
      </c>
      <c r="D6" s="8" t="str">
        <f t="shared" si="1"/>
        <v>Abrir anúncio ↗</v>
      </c>
      <c r="E6" s="9" t="s">
        <v>57</v>
      </c>
      <c r="F6" s="3" t="s">
        <v>29</v>
      </c>
      <c r="G6" s="9" t="s">
        <v>30</v>
      </c>
      <c r="H6" s="9" t="s">
        <v>31</v>
      </c>
      <c r="I6" s="3"/>
      <c r="J6" s="3"/>
      <c r="K6" s="9"/>
    </row>
    <row r="7">
      <c r="A7" s="10" t="s">
        <v>12</v>
      </c>
      <c r="B7" s="10" t="s">
        <v>14</v>
      </c>
      <c r="C7" s="10" t="s">
        <v>62</v>
      </c>
      <c r="D7" s="11" t="str">
        <f t="shared" si="1"/>
        <v>Abrir anúncio ↗</v>
      </c>
      <c r="E7" s="12" t="s">
        <v>64</v>
      </c>
      <c r="F7" s="10" t="s">
        <v>29</v>
      </c>
      <c r="G7" s="12" t="s">
        <v>67</v>
      </c>
      <c r="H7" s="12" t="s">
        <v>68</v>
      </c>
      <c r="I7" s="10"/>
      <c r="J7" s="10"/>
      <c r="K7" s="12"/>
    </row>
    <row r="8">
      <c r="A8" s="3" t="s">
        <v>12</v>
      </c>
      <c r="B8" s="3" t="s">
        <v>14</v>
      </c>
      <c r="C8" s="3" t="s">
        <v>69</v>
      </c>
      <c r="D8" s="8" t="str">
        <f t="shared" si="1"/>
        <v>Abrir anúncio ↗</v>
      </c>
      <c r="E8" s="9" t="s">
        <v>71</v>
      </c>
      <c r="F8" s="3" t="s">
        <v>29</v>
      </c>
      <c r="G8" s="9" t="s">
        <v>30</v>
      </c>
      <c r="H8" s="9" t="s">
        <v>31</v>
      </c>
      <c r="I8" s="3"/>
      <c r="J8" s="3"/>
      <c r="K8" s="9"/>
    </row>
    <row r="9">
      <c r="A9" s="10" t="s">
        <v>12</v>
      </c>
      <c r="B9" s="10" t="s">
        <v>14</v>
      </c>
      <c r="C9" s="10" t="s">
        <v>75</v>
      </c>
      <c r="D9" s="11" t="str">
        <f t="shared" si="1"/>
        <v>Abrir anúncio ↗</v>
      </c>
      <c r="E9" s="12" t="s">
        <v>76</v>
      </c>
      <c r="F9" s="10" t="s">
        <v>29</v>
      </c>
      <c r="G9" s="12" t="s">
        <v>30</v>
      </c>
      <c r="H9" s="12" t="s">
        <v>31</v>
      </c>
      <c r="I9" s="10"/>
      <c r="J9" s="10"/>
      <c r="K9" s="12"/>
    </row>
    <row r="10">
      <c r="A10" s="3" t="s">
        <v>12</v>
      </c>
      <c r="B10" s="3" t="s">
        <v>14</v>
      </c>
      <c r="C10" s="3" t="s">
        <v>81</v>
      </c>
      <c r="D10" s="8" t="str">
        <f t="shared" si="1"/>
        <v>Abrir anúncio ↗</v>
      </c>
      <c r="E10" s="9" t="s">
        <v>84</v>
      </c>
      <c r="F10" s="3" t="s">
        <v>29</v>
      </c>
      <c r="G10" s="9" t="s">
        <v>67</v>
      </c>
      <c r="H10" s="9" t="s">
        <v>68</v>
      </c>
      <c r="I10" s="3"/>
      <c r="J10" s="3"/>
      <c r="K10" s="9"/>
    </row>
    <row r="11">
      <c r="A11" s="10" t="s">
        <v>12</v>
      </c>
      <c r="B11" s="10" t="s">
        <v>14</v>
      </c>
      <c r="C11" s="10" t="s">
        <v>89</v>
      </c>
      <c r="D11" s="11" t="str">
        <f t="shared" si="1"/>
        <v>Abrir anúncio ↗</v>
      </c>
      <c r="E11" s="12" t="s">
        <v>91</v>
      </c>
      <c r="F11" s="10" t="s">
        <v>29</v>
      </c>
      <c r="G11" s="12" t="s">
        <v>30</v>
      </c>
      <c r="H11" s="12" t="s">
        <v>31</v>
      </c>
      <c r="I11" s="10"/>
      <c r="J11" s="10"/>
      <c r="K11" s="12"/>
    </row>
    <row r="12">
      <c r="A12" s="3" t="s">
        <v>12</v>
      </c>
      <c r="B12" s="3" t="s">
        <v>14</v>
      </c>
      <c r="C12" s="3" t="s">
        <v>95</v>
      </c>
      <c r="D12" s="8" t="str">
        <f t="shared" si="1"/>
        <v>Abrir anúncio ↗</v>
      </c>
      <c r="E12" s="9" t="s">
        <v>96</v>
      </c>
      <c r="F12" s="3" t="s">
        <v>29</v>
      </c>
      <c r="G12" s="9" t="s">
        <v>30</v>
      </c>
      <c r="H12" s="9" t="s">
        <v>31</v>
      </c>
      <c r="I12" s="3"/>
      <c r="J12" s="3"/>
      <c r="K12" s="9"/>
    </row>
    <row r="13">
      <c r="A13" s="10" t="s">
        <v>12</v>
      </c>
      <c r="B13" s="10" t="s">
        <v>14</v>
      </c>
      <c r="C13" s="10" t="s">
        <v>101</v>
      </c>
      <c r="D13" s="11" t="str">
        <f t="shared" si="1"/>
        <v>Abrir anúncio ↗</v>
      </c>
      <c r="E13" s="12" t="s">
        <v>102</v>
      </c>
      <c r="F13" s="10" t="s">
        <v>29</v>
      </c>
      <c r="G13" s="12" t="s">
        <v>30</v>
      </c>
      <c r="H13" s="12" t="s">
        <v>31</v>
      </c>
      <c r="I13" s="10"/>
      <c r="J13" s="10"/>
      <c r="K13" s="12"/>
    </row>
    <row r="14">
      <c r="A14" s="3" t="s">
        <v>12</v>
      </c>
      <c r="B14" s="3" t="s">
        <v>14</v>
      </c>
      <c r="C14" s="3" t="s">
        <v>105</v>
      </c>
      <c r="D14" s="8" t="str">
        <f t="shared" si="1"/>
        <v>Abrir anúncio ↗</v>
      </c>
      <c r="E14" s="9" t="s">
        <v>108</v>
      </c>
      <c r="F14" s="3" t="s">
        <v>86</v>
      </c>
      <c r="G14" s="9" t="s">
        <v>109</v>
      </c>
      <c r="H14" s="9" t="s">
        <v>110</v>
      </c>
      <c r="I14" s="3"/>
      <c r="J14" s="3"/>
      <c r="K14" s="9"/>
    </row>
    <row r="15">
      <c r="A15" s="10" t="s">
        <v>12</v>
      </c>
      <c r="B15" s="10" t="s">
        <v>14</v>
      </c>
      <c r="C15" s="10" t="s">
        <v>112</v>
      </c>
      <c r="D15" s="11" t="str">
        <f t="shared" si="1"/>
        <v>Abrir anúncio ↗</v>
      </c>
      <c r="E15" s="12" t="s">
        <v>114</v>
      </c>
      <c r="F15" s="10" t="s">
        <v>29</v>
      </c>
      <c r="G15" s="12" t="s">
        <v>30</v>
      </c>
      <c r="H15" s="12" t="s">
        <v>31</v>
      </c>
      <c r="I15" s="10"/>
      <c r="J15" s="10"/>
      <c r="K15" s="12"/>
    </row>
    <row r="16">
      <c r="A16" s="3" t="s">
        <v>12</v>
      </c>
      <c r="B16" s="3" t="s">
        <v>14</v>
      </c>
      <c r="C16" s="3" t="s">
        <v>115</v>
      </c>
      <c r="D16" s="8" t="str">
        <f t="shared" si="1"/>
        <v>Abrir anúncio ↗</v>
      </c>
      <c r="E16" s="9" t="s">
        <v>116</v>
      </c>
      <c r="F16" s="3" t="s">
        <v>29</v>
      </c>
      <c r="G16" s="9" t="s">
        <v>109</v>
      </c>
      <c r="H16" s="9" t="s">
        <v>110</v>
      </c>
      <c r="I16" s="3"/>
      <c r="J16" s="3"/>
      <c r="K16" s="9"/>
    </row>
    <row r="17">
      <c r="A17" s="10" t="s">
        <v>12</v>
      </c>
      <c r="B17" s="10" t="s">
        <v>14</v>
      </c>
      <c r="C17" s="10" t="s">
        <v>120</v>
      </c>
      <c r="D17" s="11" t="str">
        <f t="shared" si="1"/>
        <v>Abrir anúncio ↗</v>
      </c>
      <c r="E17" s="12" t="s">
        <v>122</v>
      </c>
      <c r="F17" s="10" t="s">
        <v>29</v>
      </c>
      <c r="G17" s="12" t="s">
        <v>30</v>
      </c>
      <c r="H17" s="12" t="s">
        <v>31</v>
      </c>
      <c r="I17" s="10"/>
      <c r="J17" s="10"/>
      <c r="K17" s="12"/>
    </row>
    <row r="18">
      <c r="A18" s="3" t="s">
        <v>12</v>
      </c>
      <c r="B18" s="3" t="s">
        <v>14</v>
      </c>
      <c r="C18" s="3" t="s">
        <v>125</v>
      </c>
      <c r="D18" s="8" t="str">
        <f t="shared" si="1"/>
        <v>Abrir anúncio ↗</v>
      </c>
      <c r="E18" s="9" t="s">
        <v>127</v>
      </c>
      <c r="F18" s="3" t="s">
        <v>29</v>
      </c>
      <c r="G18" s="9" t="s">
        <v>67</v>
      </c>
      <c r="H18" s="9" t="s">
        <v>68</v>
      </c>
      <c r="I18" s="3"/>
      <c r="J18" s="3"/>
      <c r="K18" s="9"/>
    </row>
    <row r="19">
      <c r="A19" s="10" t="s">
        <v>12</v>
      </c>
      <c r="B19" s="10" t="s">
        <v>14</v>
      </c>
      <c r="C19" s="10" t="s">
        <v>130</v>
      </c>
      <c r="D19" s="11" t="str">
        <f t="shared" si="1"/>
        <v>Abrir anúncio ↗</v>
      </c>
      <c r="E19" s="12" t="s">
        <v>131</v>
      </c>
      <c r="F19" s="10" t="s">
        <v>86</v>
      </c>
      <c r="G19" s="12" t="s">
        <v>132</v>
      </c>
      <c r="H19" s="12" t="s">
        <v>133</v>
      </c>
      <c r="I19" s="10"/>
      <c r="J19" s="10"/>
      <c r="K19" s="12"/>
    </row>
    <row r="20">
      <c r="A20" s="3" t="s">
        <v>12</v>
      </c>
      <c r="B20" s="3" t="s">
        <v>14</v>
      </c>
      <c r="C20" s="3" t="s">
        <v>135</v>
      </c>
      <c r="D20" s="8" t="str">
        <f t="shared" si="1"/>
        <v>Abrir anúncio ↗</v>
      </c>
      <c r="E20" s="9" t="s">
        <v>137</v>
      </c>
      <c r="F20" s="3" t="s">
        <v>29</v>
      </c>
      <c r="G20" s="9" t="s">
        <v>30</v>
      </c>
      <c r="H20" s="9" t="s">
        <v>31</v>
      </c>
      <c r="I20" s="3"/>
      <c r="J20" s="3"/>
      <c r="K20" s="9"/>
    </row>
    <row r="21" ht="15.75" customHeight="1">
      <c r="A21" s="10" t="s">
        <v>12</v>
      </c>
      <c r="B21" s="10" t="s">
        <v>14</v>
      </c>
      <c r="C21" s="10" t="s">
        <v>139</v>
      </c>
      <c r="D21" s="11" t="str">
        <f t="shared" si="1"/>
        <v>Abrir anúncio ↗</v>
      </c>
      <c r="E21" s="12" t="s">
        <v>141</v>
      </c>
      <c r="F21" s="10" t="s">
        <v>29</v>
      </c>
      <c r="G21" s="12" t="s">
        <v>30</v>
      </c>
      <c r="H21" s="12" t="s">
        <v>31</v>
      </c>
      <c r="I21" s="10"/>
      <c r="J21" s="10"/>
      <c r="K21" s="12"/>
    </row>
    <row r="22" ht="15.75" customHeight="1">
      <c r="A22" s="3" t="s">
        <v>12</v>
      </c>
      <c r="B22" s="3" t="s">
        <v>14</v>
      </c>
      <c r="C22" s="3" t="s">
        <v>145</v>
      </c>
      <c r="D22" s="8" t="str">
        <f t="shared" si="1"/>
        <v>Abrir anúncio ↗</v>
      </c>
      <c r="E22" s="9" t="s">
        <v>147</v>
      </c>
      <c r="F22" s="3" t="s">
        <v>29</v>
      </c>
      <c r="G22" s="9" t="s">
        <v>30</v>
      </c>
      <c r="H22" s="9" t="s">
        <v>31</v>
      </c>
      <c r="I22" s="3"/>
      <c r="J22" s="3"/>
      <c r="K22" s="9"/>
    </row>
    <row r="23" ht="15.75" customHeight="1">
      <c r="A23" s="10" t="s">
        <v>12</v>
      </c>
      <c r="B23" s="10" t="s">
        <v>14</v>
      </c>
      <c r="C23" s="10" t="s">
        <v>151</v>
      </c>
      <c r="D23" s="11" t="str">
        <f t="shared" si="1"/>
        <v>Abrir anúncio ↗</v>
      </c>
      <c r="E23" s="12" t="s">
        <v>153</v>
      </c>
      <c r="F23" s="10" t="s">
        <v>29</v>
      </c>
      <c r="G23" s="12" t="s">
        <v>30</v>
      </c>
      <c r="H23" s="12" t="s">
        <v>31</v>
      </c>
      <c r="I23" s="10"/>
      <c r="J23" s="10"/>
      <c r="K23" s="12"/>
    </row>
    <row r="24" ht="15.75" customHeight="1">
      <c r="A24" s="3" t="s">
        <v>12</v>
      </c>
      <c r="B24" s="3" t="s">
        <v>14</v>
      </c>
      <c r="C24" s="3" t="s">
        <v>159</v>
      </c>
      <c r="D24" s="8" t="str">
        <f t="shared" si="1"/>
        <v>Abrir anúncio ↗</v>
      </c>
      <c r="E24" s="9" t="s">
        <v>161</v>
      </c>
      <c r="F24" s="3" t="s">
        <v>29</v>
      </c>
      <c r="G24" s="9" t="s">
        <v>67</v>
      </c>
      <c r="H24" s="9" t="s">
        <v>68</v>
      </c>
      <c r="I24" s="3"/>
      <c r="J24" s="3"/>
      <c r="K24" s="9"/>
    </row>
    <row r="25" ht="15.75" customHeight="1">
      <c r="A25" s="10" t="s">
        <v>12</v>
      </c>
      <c r="B25" s="10" t="s">
        <v>14</v>
      </c>
      <c r="C25" s="10" t="s">
        <v>165</v>
      </c>
      <c r="D25" s="11" t="str">
        <f t="shared" si="1"/>
        <v>Abrir anúncio ↗</v>
      </c>
      <c r="E25" s="12" t="s">
        <v>168</v>
      </c>
      <c r="F25" s="10" t="s">
        <v>29</v>
      </c>
      <c r="G25" s="12" t="s">
        <v>30</v>
      </c>
      <c r="H25" s="12" t="s">
        <v>31</v>
      </c>
      <c r="I25" s="10"/>
      <c r="J25" s="10"/>
      <c r="K25" s="12"/>
    </row>
    <row r="26" ht="15.75" customHeight="1">
      <c r="A26" s="3" t="s">
        <v>12</v>
      </c>
      <c r="B26" s="3" t="s">
        <v>14</v>
      </c>
      <c r="C26" s="3" t="s">
        <v>170</v>
      </c>
      <c r="D26" s="8" t="str">
        <f t="shared" si="1"/>
        <v>Abrir anúncio ↗</v>
      </c>
      <c r="E26" s="9" t="s">
        <v>172</v>
      </c>
      <c r="F26" s="3" t="s">
        <v>29</v>
      </c>
      <c r="G26" s="9" t="s">
        <v>30</v>
      </c>
      <c r="H26" s="9" t="s">
        <v>31</v>
      </c>
      <c r="I26" s="3"/>
      <c r="J26" s="3"/>
      <c r="K26" s="9"/>
    </row>
    <row r="27" ht="15.75" customHeight="1">
      <c r="A27" s="10" t="s">
        <v>12</v>
      </c>
      <c r="B27" s="10" t="s">
        <v>14</v>
      </c>
      <c r="C27" s="10" t="s">
        <v>176</v>
      </c>
      <c r="D27" s="11" t="str">
        <f t="shared" si="1"/>
        <v>Abrir anúncio ↗</v>
      </c>
      <c r="E27" s="12" t="s">
        <v>179</v>
      </c>
      <c r="F27" s="10" t="s">
        <v>29</v>
      </c>
      <c r="G27" s="12" t="s">
        <v>30</v>
      </c>
      <c r="H27" s="12" t="s">
        <v>31</v>
      </c>
      <c r="I27" s="10"/>
      <c r="J27" s="10"/>
      <c r="K27" s="12"/>
    </row>
    <row r="28" ht="15.75" customHeight="1">
      <c r="A28" s="3" t="s">
        <v>12</v>
      </c>
      <c r="B28" s="3" t="s">
        <v>14</v>
      </c>
      <c r="C28" s="3" t="s">
        <v>182</v>
      </c>
      <c r="D28" s="8" t="str">
        <f t="shared" si="1"/>
        <v>Abrir anúncio ↗</v>
      </c>
      <c r="E28" s="9" t="s">
        <v>185</v>
      </c>
      <c r="F28" s="3" t="s">
        <v>29</v>
      </c>
      <c r="G28" s="9" t="s">
        <v>30</v>
      </c>
      <c r="H28" s="9" t="s">
        <v>31</v>
      </c>
      <c r="I28" s="3"/>
      <c r="J28" s="3"/>
      <c r="K28" s="9"/>
    </row>
    <row r="29" ht="15.75" customHeight="1">
      <c r="A29" s="10" t="s">
        <v>12</v>
      </c>
      <c r="B29" s="10" t="s">
        <v>14</v>
      </c>
      <c r="C29" s="10" t="s">
        <v>188</v>
      </c>
      <c r="D29" s="11" t="str">
        <f t="shared" si="1"/>
        <v>Abrir anúncio ↗</v>
      </c>
      <c r="E29" s="12" t="s">
        <v>190</v>
      </c>
      <c r="F29" s="10" t="s">
        <v>29</v>
      </c>
      <c r="G29" s="12" t="s">
        <v>192</v>
      </c>
      <c r="H29" s="12" t="s">
        <v>195</v>
      </c>
      <c r="I29" s="10"/>
      <c r="J29" s="10"/>
      <c r="K29" s="12"/>
    </row>
    <row r="30" ht="15.75" customHeight="1">
      <c r="A30" s="3" t="s">
        <v>12</v>
      </c>
      <c r="B30" s="3" t="s">
        <v>14</v>
      </c>
      <c r="C30" s="3" t="s">
        <v>198</v>
      </c>
      <c r="D30" s="8" t="str">
        <f t="shared" si="1"/>
        <v>Abrir anúncio ↗</v>
      </c>
      <c r="E30" s="9" t="s">
        <v>199</v>
      </c>
      <c r="F30" s="3" t="s">
        <v>29</v>
      </c>
      <c r="G30" s="9" t="s">
        <v>30</v>
      </c>
      <c r="H30" s="9" t="s">
        <v>31</v>
      </c>
      <c r="I30" s="3"/>
      <c r="J30" s="3"/>
      <c r="K30" s="9"/>
    </row>
    <row r="31" ht="15.75" customHeight="1">
      <c r="A31" s="10" t="s">
        <v>12</v>
      </c>
      <c r="B31" s="10" t="s">
        <v>14</v>
      </c>
      <c r="C31" s="10" t="s">
        <v>204</v>
      </c>
      <c r="D31" s="11" t="str">
        <f t="shared" si="1"/>
        <v>Abrir anúncio ↗</v>
      </c>
      <c r="E31" s="12" t="s">
        <v>205</v>
      </c>
      <c r="F31" s="10" t="s">
        <v>29</v>
      </c>
      <c r="G31" s="12" t="s">
        <v>30</v>
      </c>
      <c r="H31" s="12" t="s">
        <v>31</v>
      </c>
      <c r="I31" s="10"/>
      <c r="J31" s="10"/>
      <c r="K31" s="12"/>
    </row>
    <row r="32" ht="15.75" customHeight="1">
      <c r="A32" s="3" t="s">
        <v>12</v>
      </c>
      <c r="B32" s="3" t="s">
        <v>14</v>
      </c>
      <c r="C32" s="3" t="s">
        <v>207</v>
      </c>
      <c r="D32" s="8" t="str">
        <f t="shared" si="1"/>
        <v>Abrir anúncio ↗</v>
      </c>
      <c r="E32" s="9" t="s">
        <v>210</v>
      </c>
      <c r="F32" s="3" t="s">
        <v>29</v>
      </c>
      <c r="G32" s="9" t="s">
        <v>30</v>
      </c>
      <c r="H32" s="9" t="s">
        <v>31</v>
      </c>
      <c r="I32" s="3"/>
      <c r="J32" s="3"/>
      <c r="K32" s="9"/>
    </row>
    <row r="33" ht="15.75" customHeight="1">
      <c r="A33" s="10" t="s">
        <v>12</v>
      </c>
      <c r="B33" s="10" t="s">
        <v>14</v>
      </c>
      <c r="C33" s="10" t="s">
        <v>214</v>
      </c>
      <c r="D33" s="11" t="str">
        <f t="shared" si="1"/>
        <v>Abrir anúncio ↗</v>
      </c>
      <c r="E33" s="12" t="s">
        <v>216</v>
      </c>
      <c r="F33" s="10" t="s">
        <v>29</v>
      </c>
      <c r="G33" s="12" t="s">
        <v>30</v>
      </c>
      <c r="H33" s="12" t="s">
        <v>31</v>
      </c>
      <c r="I33" s="10"/>
      <c r="J33" s="10"/>
      <c r="K33" s="12"/>
    </row>
    <row r="34" ht="15.75" customHeight="1">
      <c r="A34" s="3" t="s">
        <v>12</v>
      </c>
      <c r="B34" s="3" t="s">
        <v>14</v>
      </c>
      <c r="C34" s="3" t="s">
        <v>219</v>
      </c>
      <c r="D34" s="8" t="str">
        <f t="shared" si="1"/>
        <v>Abrir anúncio ↗</v>
      </c>
      <c r="E34" s="9" t="s">
        <v>221</v>
      </c>
      <c r="F34" s="3" t="s">
        <v>29</v>
      </c>
      <c r="G34" s="9" t="s">
        <v>30</v>
      </c>
      <c r="H34" s="9" t="s">
        <v>31</v>
      </c>
      <c r="I34" s="3"/>
      <c r="J34" s="3"/>
      <c r="K34" s="9"/>
    </row>
    <row r="35" ht="15.75" customHeight="1">
      <c r="A35" s="10" t="s">
        <v>12</v>
      </c>
      <c r="B35" s="10" t="s">
        <v>14</v>
      </c>
      <c r="C35" s="10" t="s">
        <v>225</v>
      </c>
      <c r="D35" s="11" t="str">
        <f t="shared" si="1"/>
        <v>Abrir anúncio ↗</v>
      </c>
      <c r="E35" s="12" t="s">
        <v>226</v>
      </c>
      <c r="F35" s="10" t="s">
        <v>29</v>
      </c>
      <c r="G35" s="12" t="s">
        <v>227</v>
      </c>
      <c r="H35" s="12" t="s">
        <v>228</v>
      </c>
      <c r="I35" s="10"/>
      <c r="J35" s="10"/>
      <c r="K35" s="12"/>
    </row>
    <row r="36" ht="15.75" customHeight="1">
      <c r="A36" s="3" t="s">
        <v>12</v>
      </c>
      <c r="B36" s="3" t="s">
        <v>14</v>
      </c>
      <c r="C36" s="3" t="s">
        <v>232</v>
      </c>
      <c r="D36" s="8" t="str">
        <f t="shared" si="1"/>
        <v>Abrir anúncio ↗</v>
      </c>
      <c r="E36" s="9" t="s">
        <v>233</v>
      </c>
      <c r="F36" s="3" t="s">
        <v>29</v>
      </c>
      <c r="G36" s="9" t="s">
        <v>30</v>
      </c>
      <c r="H36" s="9" t="s">
        <v>31</v>
      </c>
      <c r="I36" s="3"/>
      <c r="J36" s="3"/>
      <c r="K36" s="9"/>
    </row>
    <row r="37" ht="15.75" customHeight="1">
      <c r="A37" s="10" t="s">
        <v>12</v>
      </c>
      <c r="B37" s="10" t="s">
        <v>14</v>
      </c>
      <c r="C37" s="10" t="s">
        <v>235</v>
      </c>
      <c r="D37" s="11" t="str">
        <f t="shared" si="1"/>
        <v>Abrir anúncio ↗</v>
      </c>
      <c r="E37" s="12" t="s">
        <v>237</v>
      </c>
      <c r="F37" s="10" t="s">
        <v>29</v>
      </c>
      <c r="G37" s="12" t="s">
        <v>238</v>
      </c>
      <c r="H37" s="12" t="s">
        <v>240</v>
      </c>
      <c r="I37" s="10"/>
      <c r="J37" s="10"/>
      <c r="K37" s="12"/>
    </row>
    <row r="38" ht="15.75" customHeight="1">
      <c r="A38" s="3" t="s">
        <v>12</v>
      </c>
      <c r="B38" s="3" t="s">
        <v>14</v>
      </c>
      <c r="C38" s="3" t="s">
        <v>243</v>
      </c>
      <c r="D38" s="8" t="str">
        <f t="shared" si="1"/>
        <v>Abrir anúncio ↗</v>
      </c>
      <c r="E38" s="9" t="s">
        <v>244</v>
      </c>
      <c r="F38" s="3" t="s">
        <v>29</v>
      </c>
      <c r="G38" s="9" t="s">
        <v>30</v>
      </c>
      <c r="H38" s="9" t="s">
        <v>31</v>
      </c>
      <c r="I38" s="3"/>
      <c r="J38" s="3"/>
      <c r="K38" s="9"/>
    </row>
    <row r="39" ht="15.75" customHeight="1">
      <c r="A39" s="10" t="s">
        <v>12</v>
      </c>
      <c r="B39" s="10" t="s">
        <v>14</v>
      </c>
      <c r="C39" s="10" t="s">
        <v>247</v>
      </c>
      <c r="D39" s="11" t="str">
        <f t="shared" si="1"/>
        <v>Abrir anúncio ↗</v>
      </c>
      <c r="E39" s="12" t="s">
        <v>249</v>
      </c>
      <c r="F39" s="10" t="s">
        <v>29</v>
      </c>
      <c r="G39" s="12" t="s">
        <v>30</v>
      </c>
      <c r="H39" s="12" t="s">
        <v>31</v>
      </c>
      <c r="I39" s="10"/>
      <c r="J39" s="10"/>
      <c r="K39" s="12"/>
    </row>
    <row r="40" ht="15.75" customHeight="1">
      <c r="A40" s="3" t="s">
        <v>12</v>
      </c>
      <c r="B40" s="3" t="s">
        <v>14</v>
      </c>
      <c r="C40" s="3" t="s">
        <v>252</v>
      </c>
      <c r="D40" s="8" t="str">
        <f t="shared" si="1"/>
        <v>Abrir anúncio ↗</v>
      </c>
      <c r="E40" s="9" t="s">
        <v>254</v>
      </c>
      <c r="F40" s="3" t="s">
        <v>29</v>
      </c>
      <c r="G40" s="9" t="s">
        <v>30</v>
      </c>
      <c r="H40" s="9" t="s">
        <v>31</v>
      </c>
      <c r="I40" s="3"/>
      <c r="J40" s="3"/>
      <c r="K40" s="9"/>
    </row>
    <row r="41" ht="15.75" customHeight="1">
      <c r="A41" s="10" t="s">
        <v>12</v>
      </c>
      <c r="B41" s="10" t="s">
        <v>14</v>
      </c>
      <c r="C41" s="10" t="s">
        <v>258</v>
      </c>
      <c r="D41" s="11" t="str">
        <f t="shared" si="1"/>
        <v>Abrir anúncio ↗</v>
      </c>
      <c r="E41" s="12" t="s">
        <v>259</v>
      </c>
      <c r="F41" s="10" t="s">
        <v>29</v>
      </c>
      <c r="G41" s="12" t="s">
        <v>30</v>
      </c>
      <c r="H41" s="12" t="s">
        <v>31</v>
      </c>
      <c r="I41" s="10"/>
      <c r="J41" s="10"/>
      <c r="K41" s="12"/>
    </row>
    <row r="42" ht="15.75" customHeight="1">
      <c r="A42" s="3" t="s">
        <v>12</v>
      </c>
      <c r="B42" s="3" t="s">
        <v>14</v>
      </c>
      <c r="C42" s="3" t="s">
        <v>265</v>
      </c>
      <c r="D42" s="8" t="str">
        <f t="shared" si="1"/>
        <v>Abrir anúncio ↗</v>
      </c>
      <c r="E42" s="9" t="s">
        <v>267</v>
      </c>
      <c r="F42" s="3" t="s">
        <v>29</v>
      </c>
      <c r="G42" s="9" t="s">
        <v>30</v>
      </c>
      <c r="H42" s="9" t="s">
        <v>31</v>
      </c>
      <c r="I42" s="3"/>
      <c r="J42" s="3"/>
      <c r="K42" s="9"/>
    </row>
    <row r="43" ht="15.75" customHeight="1">
      <c r="A43" s="10" t="s">
        <v>12</v>
      </c>
      <c r="B43" s="10" t="s">
        <v>14</v>
      </c>
      <c r="C43" s="10" t="s">
        <v>269</v>
      </c>
      <c r="D43" s="11" t="str">
        <f t="shared" si="1"/>
        <v>Abrir anúncio ↗</v>
      </c>
      <c r="E43" s="12" t="s">
        <v>271</v>
      </c>
      <c r="F43" s="10" t="s">
        <v>29</v>
      </c>
      <c r="G43" s="12" t="s">
        <v>30</v>
      </c>
      <c r="H43" s="12" t="s">
        <v>31</v>
      </c>
      <c r="I43" s="10"/>
      <c r="J43" s="10"/>
      <c r="K43" s="12"/>
    </row>
    <row r="44" ht="15.75" customHeight="1">
      <c r="A44" s="3" t="s">
        <v>12</v>
      </c>
      <c r="B44" s="3" t="s">
        <v>14</v>
      </c>
      <c r="C44" s="3" t="s">
        <v>275</v>
      </c>
      <c r="D44" s="8" t="str">
        <f t="shared" si="1"/>
        <v>Abrir anúncio ↗</v>
      </c>
      <c r="E44" s="9" t="s">
        <v>276</v>
      </c>
      <c r="F44" s="3" t="s">
        <v>29</v>
      </c>
      <c r="G44" s="9" t="s">
        <v>30</v>
      </c>
      <c r="H44" s="9" t="s">
        <v>31</v>
      </c>
      <c r="I44" s="3"/>
      <c r="J44" s="3"/>
      <c r="K44" s="9"/>
    </row>
    <row r="45" ht="15.75" customHeight="1">
      <c r="A45" s="10" t="s">
        <v>12</v>
      </c>
      <c r="B45" s="10" t="s">
        <v>14</v>
      </c>
      <c r="C45" s="10" t="s">
        <v>280</v>
      </c>
      <c r="D45" s="11" t="str">
        <f t="shared" si="1"/>
        <v>Abrir anúncio ↗</v>
      </c>
      <c r="E45" s="12" t="s">
        <v>281</v>
      </c>
      <c r="F45" s="10" t="s">
        <v>29</v>
      </c>
      <c r="G45" s="12" t="s">
        <v>227</v>
      </c>
      <c r="H45" s="12" t="s">
        <v>228</v>
      </c>
      <c r="I45" s="10"/>
      <c r="J45" s="10"/>
      <c r="K45" s="12"/>
    </row>
    <row r="46" ht="15.75" customHeight="1">
      <c r="A46" s="3" t="s">
        <v>12</v>
      </c>
      <c r="B46" s="3" t="s">
        <v>14</v>
      </c>
      <c r="C46" s="3" t="s">
        <v>285</v>
      </c>
      <c r="D46" s="8" t="str">
        <f t="shared" si="1"/>
        <v>Abrir anúncio ↗</v>
      </c>
      <c r="E46" s="9" t="s">
        <v>286</v>
      </c>
      <c r="F46" s="3" t="s">
        <v>29</v>
      </c>
      <c r="G46" s="9" t="s">
        <v>30</v>
      </c>
      <c r="H46" s="9" t="s">
        <v>31</v>
      </c>
      <c r="I46" s="3"/>
      <c r="J46" s="3"/>
      <c r="K46" s="9"/>
    </row>
    <row r="47" ht="15.75" customHeight="1">
      <c r="A47" s="10" t="s">
        <v>12</v>
      </c>
      <c r="B47" s="10" t="s">
        <v>14</v>
      </c>
      <c r="C47" s="10" t="s">
        <v>289</v>
      </c>
      <c r="D47" s="11" t="str">
        <f t="shared" si="1"/>
        <v>Abrir anúncio ↗</v>
      </c>
      <c r="E47" s="12" t="s">
        <v>291</v>
      </c>
      <c r="F47" s="10" t="s">
        <v>29</v>
      </c>
      <c r="G47" s="12" t="s">
        <v>30</v>
      </c>
      <c r="H47" s="12" t="s">
        <v>31</v>
      </c>
      <c r="I47" s="10"/>
      <c r="J47" s="10"/>
      <c r="K47" s="12"/>
    </row>
    <row r="48" ht="15.75" customHeight="1">
      <c r="A48" s="3" t="s">
        <v>12</v>
      </c>
      <c r="B48" s="3" t="s">
        <v>14</v>
      </c>
      <c r="C48" s="3" t="s">
        <v>293</v>
      </c>
      <c r="D48" s="8" t="str">
        <f t="shared" si="1"/>
        <v>Abrir anúncio ↗</v>
      </c>
      <c r="E48" s="9" t="s">
        <v>294</v>
      </c>
      <c r="F48" s="3" t="s">
        <v>29</v>
      </c>
      <c r="G48" s="9" t="s">
        <v>297</v>
      </c>
      <c r="H48" s="9" t="s">
        <v>298</v>
      </c>
      <c r="I48" s="3"/>
      <c r="J48" s="3"/>
      <c r="K48" s="9"/>
    </row>
    <row r="49" ht="15.75" customHeight="1">
      <c r="A49" s="10" t="s">
        <v>12</v>
      </c>
      <c r="B49" s="10" t="s">
        <v>14</v>
      </c>
      <c r="C49" s="10" t="s">
        <v>301</v>
      </c>
      <c r="D49" s="11" t="str">
        <f t="shared" si="1"/>
        <v>Abrir anúncio ↗</v>
      </c>
      <c r="E49" s="12" t="s">
        <v>302</v>
      </c>
      <c r="F49" s="10" t="s">
        <v>29</v>
      </c>
      <c r="G49" s="12" t="s">
        <v>303</v>
      </c>
      <c r="H49" s="12" t="s">
        <v>304</v>
      </c>
      <c r="I49" s="10"/>
      <c r="J49" s="10"/>
      <c r="K49" s="12"/>
    </row>
    <row r="50" ht="15.75" customHeight="1">
      <c r="A50" s="3" t="s">
        <v>12</v>
      </c>
      <c r="B50" s="3" t="s">
        <v>14</v>
      </c>
      <c r="C50" s="3" t="s">
        <v>308</v>
      </c>
      <c r="D50" s="8" t="str">
        <f t="shared" si="1"/>
        <v>Abrir anúncio ↗</v>
      </c>
      <c r="E50" s="9" t="s">
        <v>309</v>
      </c>
      <c r="F50" s="3" t="s">
        <v>29</v>
      </c>
      <c r="G50" s="9" t="s">
        <v>30</v>
      </c>
      <c r="H50" s="9" t="s">
        <v>31</v>
      </c>
      <c r="I50" s="3"/>
      <c r="J50" s="3"/>
      <c r="K50" s="9"/>
    </row>
    <row r="51" ht="15.75" customHeight="1">
      <c r="A51" s="10" t="s">
        <v>12</v>
      </c>
      <c r="B51" s="10" t="s">
        <v>14</v>
      </c>
      <c r="C51" s="10" t="s">
        <v>312</v>
      </c>
      <c r="D51" s="11" t="str">
        <f t="shared" si="1"/>
        <v>Abrir anúncio ↗</v>
      </c>
      <c r="E51" s="12" t="s">
        <v>314</v>
      </c>
      <c r="F51" s="10" t="s">
        <v>29</v>
      </c>
      <c r="G51" s="12" t="s">
        <v>30</v>
      </c>
      <c r="H51" s="12" t="s">
        <v>31</v>
      </c>
      <c r="I51" s="10"/>
      <c r="J51" s="10"/>
      <c r="K51" s="12"/>
    </row>
    <row r="52" ht="15.75" customHeight="1">
      <c r="A52" s="3" t="s">
        <v>12</v>
      </c>
      <c r="B52" s="3" t="s">
        <v>14</v>
      </c>
      <c r="C52" s="3" t="s">
        <v>317</v>
      </c>
      <c r="D52" s="8" t="str">
        <f t="shared" si="1"/>
        <v>Abrir anúncio ↗</v>
      </c>
      <c r="E52" s="9" t="s">
        <v>319</v>
      </c>
      <c r="F52" s="3" t="s">
        <v>29</v>
      </c>
      <c r="G52" s="9" t="s">
        <v>30</v>
      </c>
      <c r="H52" s="9" t="s">
        <v>31</v>
      </c>
      <c r="I52" s="3"/>
      <c r="J52" s="3"/>
      <c r="K52" s="9"/>
    </row>
    <row r="53" ht="15.75" customHeight="1">
      <c r="A53" s="10" t="s">
        <v>12</v>
      </c>
      <c r="B53" s="10" t="s">
        <v>14</v>
      </c>
      <c r="C53" s="10" t="s">
        <v>322</v>
      </c>
      <c r="D53" s="11" t="str">
        <f t="shared" si="1"/>
        <v>Abrir anúncio ↗</v>
      </c>
      <c r="E53" s="12" t="s">
        <v>325</v>
      </c>
      <c r="F53" s="10" t="s">
        <v>29</v>
      </c>
      <c r="G53" s="12" t="s">
        <v>192</v>
      </c>
      <c r="H53" s="12" t="s">
        <v>195</v>
      </c>
      <c r="I53" s="10"/>
      <c r="J53" s="10"/>
      <c r="K53" s="12"/>
    </row>
    <row r="54" ht="15.75" customHeight="1">
      <c r="A54" s="3" t="s">
        <v>12</v>
      </c>
      <c r="B54" s="3" t="s">
        <v>14</v>
      </c>
      <c r="C54" s="3" t="s">
        <v>329</v>
      </c>
      <c r="D54" s="8" t="str">
        <f t="shared" si="1"/>
        <v>Abrir anúncio ↗</v>
      </c>
      <c r="E54" s="9" t="s">
        <v>331</v>
      </c>
      <c r="F54" s="3" t="s">
        <v>29</v>
      </c>
      <c r="G54" s="9" t="s">
        <v>30</v>
      </c>
      <c r="H54" s="9" t="s">
        <v>31</v>
      </c>
      <c r="I54" s="3"/>
      <c r="J54" s="3"/>
      <c r="K54" s="9"/>
    </row>
    <row r="55" ht="15.75" customHeight="1">
      <c r="A55" s="10" t="s">
        <v>12</v>
      </c>
      <c r="B55" s="10" t="s">
        <v>14</v>
      </c>
      <c r="C55" s="10" t="s">
        <v>334</v>
      </c>
      <c r="D55" s="11" t="str">
        <f t="shared" si="1"/>
        <v>Abrir anúncio ↗</v>
      </c>
      <c r="E55" s="12" t="s">
        <v>336</v>
      </c>
      <c r="F55" s="10" t="s">
        <v>29</v>
      </c>
      <c r="G55" s="12" t="s">
        <v>67</v>
      </c>
      <c r="H55" s="12" t="s">
        <v>68</v>
      </c>
      <c r="I55" s="10"/>
      <c r="J55" s="10"/>
      <c r="K55" s="12"/>
    </row>
    <row r="56" ht="15.75" customHeight="1">
      <c r="A56" s="3" t="s">
        <v>12</v>
      </c>
      <c r="B56" s="3" t="s">
        <v>14</v>
      </c>
      <c r="C56" s="3" t="s">
        <v>339</v>
      </c>
      <c r="D56" s="8" t="str">
        <f t="shared" si="1"/>
        <v>Abrir anúncio ↗</v>
      </c>
      <c r="E56" s="9" t="s">
        <v>340</v>
      </c>
      <c r="F56" s="3" t="s">
        <v>29</v>
      </c>
      <c r="G56" s="9" t="s">
        <v>30</v>
      </c>
      <c r="H56" s="9" t="s">
        <v>31</v>
      </c>
      <c r="I56" s="3"/>
      <c r="J56" s="3"/>
      <c r="K56" s="9"/>
    </row>
    <row r="57" ht="15.75" customHeight="1">
      <c r="A57" s="10" t="s">
        <v>12</v>
      </c>
      <c r="B57" s="10" t="s">
        <v>14</v>
      </c>
      <c r="C57" s="10" t="s">
        <v>343</v>
      </c>
      <c r="D57" s="11" t="str">
        <f t="shared" si="1"/>
        <v>Abrir anúncio ↗</v>
      </c>
      <c r="E57" s="12" t="s">
        <v>344</v>
      </c>
      <c r="F57" s="10" t="s">
        <v>29</v>
      </c>
      <c r="G57" s="12" t="s">
        <v>30</v>
      </c>
      <c r="H57" s="12" t="s">
        <v>31</v>
      </c>
      <c r="I57" s="10"/>
      <c r="J57" s="10"/>
      <c r="K57" s="12"/>
    </row>
    <row r="58" ht="15.75" customHeight="1">
      <c r="A58" s="3" t="s">
        <v>12</v>
      </c>
      <c r="B58" s="3" t="s">
        <v>14</v>
      </c>
      <c r="C58" s="3" t="s">
        <v>348</v>
      </c>
      <c r="D58" s="8" t="str">
        <f t="shared" si="1"/>
        <v>Abrir anúncio ↗</v>
      </c>
      <c r="E58" s="9" t="s">
        <v>350</v>
      </c>
      <c r="F58" s="3" t="s">
        <v>29</v>
      </c>
      <c r="G58" s="9" t="s">
        <v>30</v>
      </c>
      <c r="H58" s="9" t="s">
        <v>31</v>
      </c>
      <c r="I58" s="3"/>
      <c r="J58" s="3"/>
      <c r="K58" s="9"/>
    </row>
    <row r="59" ht="15.75" customHeight="1">
      <c r="A59" s="10" t="s">
        <v>12</v>
      </c>
      <c r="B59" s="10" t="s">
        <v>14</v>
      </c>
      <c r="C59" s="10" t="s">
        <v>352</v>
      </c>
      <c r="D59" s="11" t="str">
        <f t="shared" si="1"/>
        <v>Abrir anúncio ↗</v>
      </c>
      <c r="E59" s="12" t="s">
        <v>354</v>
      </c>
      <c r="F59" s="10" t="s">
        <v>29</v>
      </c>
      <c r="G59" s="12" t="s">
        <v>30</v>
      </c>
      <c r="H59" s="12" t="s">
        <v>31</v>
      </c>
      <c r="I59" s="10"/>
      <c r="J59" s="10"/>
      <c r="K59" s="12"/>
    </row>
    <row r="60" ht="15.75" customHeight="1">
      <c r="A60" s="3" t="s">
        <v>12</v>
      </c>
      <c r="B60" s="3" t="s">
        <v>14</v>
      </c>
      <c r="C60" s="3" t="s">
        <v>357</v>
      </c>
      <c r="D60" s="8" t="str">
        <f t="shared" si="1"/>
        <v>Abrir anúncio ↗</v>
      </c>
      <c r="E60" s="9" t="s">
        <v>358</v>
      </c>
      <c r="F60" s="3" t="s">
        <v>86</v>
      </c>
      <c r="G60" s="9" t="s">
        <v>30</v>
      </c>
      <c r="H60" s="9" t="s">
        <v>31</v>
      </c>
      <c r="I60" s="3"/>
      <c r="J60" s="3"/>
      <c r="K60" s="9"/>
    </row>
    <row r="61" ht="15.75" customHeight="1">
      <c r="A61" s="10" t="s">
        <v>12</v>
      </c>
      <c r="B61" s="10" t="s">
        <v>14</v>
      </c>
      <c r="C61" s="10" t="s">
        <v>362</v>
      </c>
      <c r="D61" s="11" t="str">
        <f t="shared" si="1"/>
        <v>Abrir anúncio ↗</v>
      </c>
      <c r="E61" s="12" t="s">
        <v>364</v>
      </c>
      <c r="F61" s="10" t="s">
        <v>29</v>
      </c>
      <c r="G61" s="12" t="s">
        <v>30</v>
      </c>
      <c r="H61" s="12" t="s">
        <v>31</v>
      </c>
      <c r="I61" s="10"/>
      <c r="J61" s="10"/>
      <c r="K61" s="12"/>
    </row>
    <row r="62" ht="15.75" customHeight="1">
      <c r="A62" s="3" t="s">
        <v>12</v>
      </c>
      <c r="B62" s="3" t="s">
        <v>14</v>
      </c>
      <c r="C62" s="3" t="s">
        <v>366</v>
      </c>
      <c r="D62" s="8" t="str">
        <f t="shared" si="1"/>
        <v>Abrir anúncio ↗</v>
      </c>
      <c r="E62" s="9" t="s">
        <v>368</v>
      </c>
      <c r="F62" s="3" t="s">
        <v>29</v>
      </c>
      <c r="G62" s="9" t="s">
        <v>30</v>
      </c>
      <c r="H62" s="9" t="s">
        <v>31</v>
      </c>
      <c r="I62" s="3"/>
      <c r="J62" s="3"/>
      <c r="K62" s="9"/>
    </row>
    <row r="63" ht="15.75" customHeight="1">
      <c r="A63" s="10" t="s">
        <v>12</v>
      </c>
      <c r="B63" s="10" t="s">
        <v>14</v>
      </c>
      <c r="C63" s="10" t="s">
        <v>371</v>
      </c>
      <c r="D63" s="11" t="str">
        <f t="shared" si="1"/>
        <v>Abrir anúncio ↗</v>
      </c>
      <c r="E63" s="12" t="s">
        <v>373</v>
      </c>
      <c r="F63" s="10" t="s">
        <v>29</v>
      </c>
      <c r="G63" s="12" t="s">
        <v>30</v>
      </c>
      <c r="H63" s="12" t="s">
        <v>31</v>
      </c>
      <c r="I63" s="10"/>
      <c r="J63" s="10"/>
      <c r="K63" s="12"/>
    </row>
    <row r="64" ht="15.75" customHeight="1">
      <c r="A64" s="3" t="s">
        <v>12</v>
      </c>
      <c r="B64" s="3" t="s">
        <v>14</v>
      </c>
      <c r="C64" s="3" t="s">
        <v>376</v>
      </c>
      <c r="D64" s="8" t="str">
        <f t="shared" si="1"/>
        <v>Abrir anúncio ↗</v>
      </c>
      <c r="E64" s="9" t="s">
        <v>377</v>
      </c>
      <c r="F64" s="3" t="s">
        <v>29</v>
      </c>
      <c r="G64" s="9" t="s">
        <v>30</v>
      </c>
      <c r="H64" s="9" t="s">
        <v>31</v>
      </c>
      <c r="I64" s="3"/>
      <c r="J64" s="3"/>
      <c r="K64" s="9"/>
    </row>
    <row r="65" ht="15.75" customHeight="1">
      <c r="A65" s="10" t="s">
        <v>12</v>
      </c>
      <c r="B65" s="10" t="s">
        <v>14</v>
      </c>
      <c r="C65" s="10" t="s">
        <v>382</v>
      </c>
      <c r="D65" s="11" t="str">
        <f t="shared" si="1"/>
        <v>Abrir anúncio ↗</v>
      </c>
      <c r="E65" s="12" t="s">
        <v>383</v>
      </c>
      <c r="F65" s="10" t="s">
        <v>29</v>
      </c>
      <c r="G65" s="12" t="s">
        <v>30</v>
      </c>
      <c r="H65" s="12" t="s">
        <v>31</v>
      </c>
      <c r="I65" s="10"/>
      <c r="J65" s="10"/>
      <c r="K65" s="12"/>
    </row>
    <row r="66" ht="15.75" customHeight="1">
      <c r="A66" s="3" t="s">
        <v>12</v>
      </c>
      <c r="B66" s="3" t="s">
        <v>14</v>
      </c>
      <c r="C66" s="3" t="s">
        <v>384</v>
      </c>
      <c r="D66" s="8" t="str">
        <f t="shared" si="1"/>
        <v>Abrir anúncio ↗</v>
      </c>
      <c r="E66" s="9" t="s">
        <v>386</v>
      </c>
      <c r="F66" s="3" t="s">
        <v>29</v>
      </c>
      <c r="G66" s="9" t="s">
        <v>30</v>
      </c>
      <c r="H66" s="9" t="s">
        <v>31</v>
      </c>
      <c r="I66" s="3"/>
      <c r="J66" s="3"/>
      <c r="K66" s="9"/>
    </row>
    <row r="67" ht="15.75" customHeight="1">
      <c r="A67" s="10" t="s">
        <v>12</v>
      </c>
      <c r="B67" s="10" t="s">
        <v>14</v>
      </c>
      <c r="C67" s="10" t="s">
        <v>390</v>
      </c>
      <c r="D67" s="11" t="str">
        <f t="shared" si="1"/>
        <v>Abrir anúncio ↗</v>
      </c>
      <c r="E67" s="12" t="s">
        <v>391</v>
      </c>
      <c r="F67" s="10" t="s">
        <v>29</v>
      </c>
      <c r="G67" s="12" t="s">
        <v>30</v>
      </c>
      <c r="H67" s="12" t="s">
        <v>31</v>
      </c>
      <c r="I67" s="10"/>
      <c r="J67" s="10"/>
      <c r="K67" s="12"/>
    </row>
    <row r="68" ht="15.75" customHeight="1">
      <c r="A68" s="3" t="s">
        <v>12</v>
      </c>
      <c r="B68" s="3" t="s">
        <v>14</v>
      </c>
      <c r="C68" s="3" t="s">
        <v>396</v>
      </c>
      <c r="D68" s="8" t="str">
        <f t="shared" si="1"/>
        <v>Abrir anúncio ↗</v>
      </c>
      <c r="E68" s="9" t="s">
        <v>397</v>
      </c>
      <c r="F68" s="3" t="s">
        <v>29</v>
      </c>
      <c r="G68" s="9" t="s">
        <v>52</v>
      </c>
      <c r="H68" s="9" t="s">
        <v>53</v>
      </c>
      <c r="I68" s="3"/>
      <c r="J68" s="3"/>
      <c r="K68" s="9"/>
    </row>
    <row r="69" ht="15.75" customHeight="1">
      <c r="A69" s="10" t="s">
        <v>12</v>
      </c>
      <c r="B69" s="10" t="s">
        <v>14</v>
      </c>
      <c r="C69" s="10" t="s">
        <v>401</v>
      </c>
      <c r="D69" s="11" t="str">
        <f t="shared" si="1"/>
        <v>Abrir anúncio ↗</v>
      </c>
      <c r="E69" s="12" t="s">
        <v>404</v>
      </c>
      <c r="F69" s="10" t="s">
        <v>29</v>
      </c>
      <c r="G69" s="12" t="s">
        <v>30</v>
      </c>
      <c r="H69" s="12" t="s">
        <v>31</v>
      </c>
      <c r="I69" s="10"/>
      <c r="J69" s="10"/>
      <c r="K69" s="12"/>
    </row>
    <row r="70" ht="15.75" customHeight="1">
      <c r="A70" s="3" t="s">
        <v>12</v>
      </c>
      <c r="B70" s="3" t="s">
        <v>14</v>
      </c>
      <c r="C70" s="3" t="s">
        <v>405</v>
      </c>
      <c r="D70" s="8" t="str">
        <f t="shared" si="1"/>
        <v>Abrir anúncio ↗</v>
      </c>
      <c r="E70" s="9" t="s">
        <v>407</v>
      </c>
      <c r="F70" s="3" t="s">
        <v>29</v>
      </c>
      <c r="G70" s="9" t="s">
        <v>30</v>
      </c>
      <c r="H70" s="9" t="s">
        <v>31</v>
      </c>
      <c r="I70" s="3"/>
      <c r="J70" s="3"/>
      <c r="K70" s="9"/>
    </row>
    <row r="71" ht="15.75" customHeight="1">
      <c r="A71" s="10" t="s">
        <v>12</v>
      </c>
      <c r="B71" s="10" t="s">
        <v>14</v>
      </c>
      <c r="C71" s="10" t="s">
        <v>411</v>
      </c>
      <c r="D71" s="11" t="str">
        <f t="shared" si="1"/>
        <v>Abrir anúncio ↗</v>
      </c>
      <c r="E71" s="12" t="s">
        <v>412</v>
      </c>
      <c r="F71" s="10" t="s">
        <v>29</v>
      </c>
      <c r="G71" s="12" t="s">
        <v>30</v>
      </c>
      <c r="H71" s="12" t="s">
        <v>31</v>
      </c>
      <c r="I71" s="10"/>
      <c r="J71" s="10"/>
      <c r="K71" s="12"/>
    </row>
    <row r="72" ht="15.75" customHeight="1">
      <c r="A72" s="3" t="s">
        <v>12</v>
      </c>
      <c r="B72" s="3" t="s">
        <v>14</v>
      </c>
      <c r="C72" s="3" t="s">
        <v>417</v>
      </c>
      <c r="D72" s="8" t="str">
        <f t="shared" si="1"/>
        <v>Abrir anúncio ↗</v>
      </c>
      <c r="E72" s="9" t="s">
        <v>418</v>
      </c>
      <c r="F72" s="3" t="s">
        <v>29</v>
      </c>
      <c r="G72" s="9" t="s">
        <v>30</v>
      </c>
      <c r="H72" s="9" t="s">
        <v>31</v>
      </c>
      <c r="I72" s="3"/>
      <c r="J72" s="3"/>
      <c r="K72" s="9"/>
    </row>
    <row r="73" ht="15.75" customHeight="1">
      <c r="A73" s="10" t="s">
        <v>12</v>
      </c>
      <c r="B73" s="10" t="s">
        <v>14</v>
      </c>
      <c r="C73" s="10" t="s">
        <v>420</v>
      </c>
      <c r="D73" s="11" t="str">
        <f t="shared" si="1"/>
        <v>Abrir anúncio ↗</v>
      </c>
      <c r="E73" s="12" t="s">
        <v>423</v>
      </c>
      <c r="F73" s="10" t="s">
        <v>29</v>
      </c>
      <c r="G73" s="12" t="s">
        <v>30</v>
      </c>
      <c r="H73" s="12" t="s">
        <v>31</v>
      </c>
      <c r="I73" s="10"/>
      <c r="J73" s="10"/>
      <c r="K73" s="12"/>
    </row>
    <row r="74" ht="15.75" customHeight="1">
      <c r="A74" s="3" t="s">
        <v>12</v>
      </c>
      <c r="B74" s="3" t="s">
        <v>14</v>
      </c>
      <c r="C74" s="3" t="s">
        <v>425</v>
      </c>
      <c r="D74" s="8" t="str">
        <f t="shared" si="1"/>
        <v>Abrir anúncio ↗</v>
      </c>
      <c r="E74" s="9" t="s">
        <v>427</v>
      </c>
      <c r="F74" s="3" t="s">
        <v>29</v>
      </c>
      <c r="G74" s="9" t="s">
        <v>30</v>
      </c>
      <c r="H74" s="9" t="s">
        <v>31</v>
      </c>
      <c r="I74" s="3"/>
      <c r="J74" s="3"/>
      <c r="K74" s="9"/>
    </row>
    <row r="75" ht="15.75" customHeight="1">
      <c r="A75" s="10" t="s">
        <v>12</v>
      </c>
      <c r="B75" s="10" t="s">
        <v>14</v>
      </c>
      <c r="C75" s="10" t="s">
        <v>431</v>
      </c>
      <c r="D75" s="11" t="str">
        <f t="shared" si="1"/>
        <v>Abrir anúncio ↗</v>
      </c>
      <c r="E75" s="12" t="s">
        <v>432</v>
      </c>
      <c r="F75" s="10" t="s">
        <v>29</v>
      </c>
      <c r="G75" s="12" t="s">
        <v>30</v>
      </c>
      <c r="H75" s="12" t="s">
        <v>31</v>
      </c>
      <c r="I75" s="10"/>
      <c r="J75" s="10"/>
      <c r="K75" s="12"/>
    </row>
    <row r="76" ht="15.75" customHeight="1">
      <c r="A76" s="3" t="s">
        <v>12</v>
      </c>
      <c r="B76" s="3" t="s">
        <v>14</v>
      </c>
      <c r="C76" s="3" t="s">
        <v>435</v>
      </c>
      <c r="D76" s="8" t="str">
        <f t="shared" si="1"/>
        <v>Abrir anúncio ↗</v>
      </c>
      <c r="E76" s="9" t="s">
        <v>437</v>
      </c>
      <c r="F76" s="3" t="s">
        <v>29</v>
      </c>
      <c r="G76" s="9" t="s">
        <v>192</v>
      </c>
      <c r="H76" s="9" t="s">
        <v>195</v>
      </c>
      <c r="I76" s="3"/>
      <c r="J76" s="3"/>
      <c r="K76" s="9"/>
    </row>
    <row r="77" ht="15.75" customHeight="1">
      <c r="A77" s="10" t="s">
        <v>12</v>
      </c>
      <c r="B77" s="10" t="s">
        <v>14</v>
      </c>
      <c r="C77" s="10" t="s">
        <v>442</v>
      </c>
      <c r="D77" s="11" t="str">
        <f t="shared" si="1"/>
        <v>Abrir anúncio ↗</v>
      </c>
      <c r="E77" s="12" t="s">
        <v>443</v>
      </c>
      <c r="F77" s="10" t="s">
        <v>29</v>
      </c>
      <c r="G77" s="12" t="s">
        <v>30</v>
      </c>
      <c r="H77" s="12" t="s">
        <v>31</v>
      </c>
      <c r="I77" s="10"/>
      <c r="J77" s="10"/>
      <c r="K77" s="12"/>
    </row>
    <row r="78" ht="15.75" customHeight="1">
      <c r="A78" s="3" t="s">
        <v>12</v>
      </c>
      <c r="B78" s="3" t="s">
        <v>14</v>
      </c>
      <c r="C78" s="3" t="s">
        <v>446</v>
      </c>
      <c r="D78" s="8" t="str">
        <f t="shared" si="1"/>
        <v>Abrir anúncio ↗</v>
      </c>
      <c r="E78" s="9" t="s">
        <v>447</v>
      </c>
      <c r="F78" s="3" t="s">
        <v>29</v>
      </c>
      <c r="G78" s="9" t="s">
        <v>30</v>
      </c>
      <c r="H78" s="9" t="s">
        <v>31</v>
      </c>
      <c r="I78" s="3"/>
      <c r="J78" s="3"/>
      <c r="K78" s="9"/>
    </row>
    <row r="79" ht="15.75" customHeight="1">
      <c r="A79" s="10" t="s">
        <v>12</v>
      </c>
      <c r="B79" s="10" t="s">
        <v>14</v>
      </c>
      <c r="C79" s="10" t="s">
        <v>452</v>
      </c>
      <c r="D79" s="11" t="str">
        <f t="shared" si="1"/>
        <v>Abrir anúncio ↗</v>
      </c>
      <c r="E79" s="12" t="s">
        <v>453</v>
      </c>
      <c r="F79" s="10" t="s">
        <v>29</v>
      </c>
      <c r="G79" s="12" t="s">
        <v>52</v>
      </c>
      <c r="H79" s="12" t="s">
        <v>53</v>
      </c>
      <c r="I79" s="10"/>
      <c r="J79" s="10"/>
      <c r="K79" s="12"/>
    </row>
    <row r="80" ht="15.75" customHeight="1">
      <c r="A80" s="3" t="s">
        <v>12</v>
      </c>
      <c r="B80" s="3" t="s">
        <v>14</v>
      </c>
      <c r="C80" s="3" t="s">
        <v>457</v>
      </c>
      <c r="D80" s="8" t="str">
        <f t="shared" si="1"/>
        <v>Abrir anúncio ↗</v>
      </c>
      <c r="E80" s="9" t="s">
        <v>458</v>
      </c>
      <c r="F80" s="3" t="s">
        <v>29</v>
      </c>
      <c r="G80" s="9" t="s">
        <v>30</v>
      </c>
      <c r="H80" s="9" t="s">
        <v>31</v>
      </c>
      <c r="I80" s="3"/>
      <c r="J80" s="3"/>
      <c r="K80" s="9"/>
    </row>
    <row r="81" ht="15.75" customHeight="1">
      <c r="A81" s="10" t="s">
        <v>12</v>
      </c>
      <c r="B81" s="10" t="s">
        <v>14</v>
      </c>
      <c r="C81" s="10" t="s">
        <v>461</v>
      </c>
      <c r="D81" s="11" t="str">
        <f t="shared" si="1"/>
        <v>Abrir anúncio ↗</v>
      </c>
      <c r="E81" s="12" t="s">
        <v>463</v>
      </c>
      <c r="F81" s="10" t="s">
        <v>29</v>
      </c>
      <c r="G81" s="12" t="s">
        <v>30</v>
      </c>
      <c r="H81" s="12" t="s">
        <v>31</v>
      </c>
      <c r="I81" s="10"/>
      <c r="J81" s="10"/>
      <c r="K81" s="12"/>
    </row>
    <row r="82" ht="15.75" customHeight="1">
      <c r="A82" s="3" t="s">
        <v>12</v>
      </c>
      <c r="B82" s="3" t="s">
        <v>14</v>
      </c>
      <c r="C82" s="3" t="s">
        <v>471</v>
      </c>
      <c r="D82" s="8" t="str">
        <f t="shared" si="1"/>
        <v>Abrir anúncio ↗</v>
      </c>
      <c r="E82" s="9" t="s">
        <v>473</v>
      </c>
      <c r="F82" s="3" t="s">
        <v>29</v>
      </c>
      <c r="G82" s="9" t="s">
        <v>30</v>
      </c>
      <c r="H82" s="9" t="s">
        <v>31</v>
      </c>
      <c r="I82" s="3"/>
      <c r="J82" s="3"/>
      <c r="K82" s="9"/>
    </row>
    <row r="83" ht="15.75" customHeight="1">
      <c r="A83" s="10" t="s">
        <v>12</v>
      </c>
      <c r="B83" s="10" t="s">
        <v>14</v>
      </c>
      <c r="C83" s="10" t="s">
        <v>476</v>
      </c>
      <c r="D83" s="11" t="str">
        <f t="shared" si="1"/>
        <v>Abrir anúncio ↗</v>
      </c>
      <c r="E83" s="12" t="s">
        <v>478</v>
      </c>
      <c r="F83" s="10" t="s">
        <v>29</v>
      </c>
      <c r="G83" s="12" t="s">
        <v>30</v>
      </c>
      <c r="H83" s="12" t="s">
        <v>31</v>
      </c>
      <c r="I83" s="10"/>
      <c r="J83" s="10"/>
      <c r="K83" s="12"/>
    </row>
    <row r="84" ht="15.75" customHeight="1">
      <c r="A84" s="3" t="s">
        <v>12</v>
      </c>
      <c r="B84" s="3" t="s">
        <v>14</v>
      </c>
      <c r="C84" s="3" t="s">
        <v>482</v>
      </c>
      <c r="D84" s="8" t="str">
        <f t="shared" si="1"/>
        <v>Abrir anúncio ↗</v>
      </c>
      <c r="E84" s="9" t="s">
        <v>484</v>
      </c>
      <c r="F84" s="3" t="s">
        <v>29</v>
      </c>
      <c r="G84" s="9" t="s">
        <v>30</v>
      </c>
      <c r="H84" s="9" t="s">
        <v>31</v>
      </c>
      <c r="I84" s="3"/>
      <c r="J84" s="3"/>
      <c r="K84" s="9"/>
    </row>
    <row r="85" ht="15.75" customHeight="1">
      <c r="A85" s="10" t="s">
        <v>12</v>
      </c>
      <c r="B85" s="10" t="s">
        <v>14</v>
      </c>
      <c r="C85" s="10" t="s">
        <v>487</v>
      </c>
      <c r="D85" s="11" t="str">
        <f t="shared" si="1"/>
        <v>Abrir anúncio ↗</v>
      </c>
      <c r="E85" s="12" t="s">
        <v>489</v>
      </c>
      <c r="F85" s="10" t="s">
        <v>29</v>
      </c>
      <c r="G85" s="12" t="s">
        <v>30</v>
      </c>
      <c r="H85" s="12" t="s">
        <v>31</v>
      </c>
      <c r="I85" s="10"/>
      <c r="J85" s="10"/>
      <c r="K85" s="12"/>
    </row>
    <row r="86" ht="15.75" customHeight="1">
      <c r="A86" s="3" t="s">
        <v>12</v>
      </c>
      <c r="B86" s="3" t="s">
        <v>14</v>
      </c>
      <c r="C86" s="3" t="s">
        <v>495</v>
      </c>
      <c r="D86" s="8" t="str">
        <f t="shared" si="1"/>
        <v>Abrir anúncio ↗</v>
      </c>
      <c r="E86" s="9" t="s">
        <v>496</v>
      </c>
      <c r="F86" s="3" t="s">
        <v>29</v>
      </c>
      <c r="G86" s="9" t="s">
        <v>30</v>
      </c>
      <c r="H86" s="9" t="s">
        <v>31</v>
      </c>
      <c r="I86" s="3"/>
      <c r="J86" s="3"/>
      <c r="K86" s="9"/>
    </row>
    <row r="87" ht="15.75" customHeight="1">
      <c r="A87" s="10" t="s">
        <v>12</v>
      </c>
      <c r="B87" s="10" t="s">
        <v>14</v>
      </c>
      <c r="C87" s="10" t="s">
        <v>501</v>
      </c>
      <c r="D87" s="11" t="str">
        <f t="shared" si="1"/>
        <v>Abrir anúncio ↗</v>
      </c>
      <c r="E87" s="12" t="s">
        <v>502</v>
      </c>
      <c r="F87" s="10" t="s">
        <v>29</v>
      </c>
      <c r="G87" s="12" t="s">
        <v>30</v>
      </c>
      <c r="H87" s="12" t="s">
        <v>31</v>
      </c>
      <c r="I87" s="10"/>
      <c r="J87" s="10"/>
      <c r="K87" s="12"/>
    </row>
    <row r="88" ht="15.75" customHeight="1">
      <c r="A88" s="3" t="s">
        <v>12</v>
      </c>
      <c r="B88" s="3" t="s">
        <v>14</v>
      </c>
      <c r="C88" s="3" t="s">
        <v>504</v>
      </c>
      <c r="D88" s="8" t="str">
        <f t="shared" si="1"/>
        <v>Abrir anúncio ↗</v>
      </c>
      <c r="E88" s="9" t="s">
        <v>507</v>
      </c>
      <c r="F88" s="3" t="s">
        <v>29</v>
      </c>
      <c r="G88" s="9" t="s">
        <v>30</v>
      </c>
      <c r="H88" s="9" t="s">
        <v>31</v>
      </c>
      <c r="I88" s="3"/>
      <c r="J88" s="3"/>
      <c r="K88" s="9"/>
    </row>
    <row r="89" ht="15.75" customHeight="1">
      <c r="A89" s="10" t="s">
        <v>12</v>
      </c>
      <c r="B89" s="10" t="s">
        <v>14</v>
      </c>
      <c r="C89" s="10" t="s">
        <v>510</v>
      </c>
      <c r="D89" s="11" t="str">
        <f t="shared" si="1"/>
        <v>Abrir anúncio ↗</v>
      </c>
      <c r="E89" s="12" t="s">
        <v>511</v>
      </c>
      <c r="F89" s="10" t="s">
        <v>29</v>
      </c>
      <c r="G89" s="12" t="s">
        <v>30</v>
      </c>
      <c r="H89" s="12" t="s">
        <v>31</v>
      </c>
      <c r="I89" s="10"/>
      <c r="J89" s="10"/>
      <c r="K89" s="12"/>
    </row>
    <row r="90" ht="15.75" customHeight="1">
      <c r="A90" s="3" t="s">
        <v>12</v>
      </c>
      <c r="B90" s="3" t="s">
        <v>14</v>
      </c>
      <c r="C90" s="3" t="s">
        <v>516</v>
      </c>
      <c r="D90" s="8" t="str">
        <f t="shared" si="1"/>
        <v>Abrir anúncio ↗</v>
      </c>
      <c r="E90" s="9" t="s">
        <v>517</v>
      </c>
      <c r="F90" s="3" t="s">
        <v>29</v>
      </c>
      <c r="G90" s="9" t="s">
        <v>30</v>
      </c>
      <c r="H90" s="9" t="s">
        <v>31</v>
      </c>
      <c r="I90" s="3"/>
      <c r="J90" s="3"/>
      <c r="K90" s="9"/>
    </row>
    <row r="91" ht="15.75" customHeight="1">
      <c r="A91" s="10" t="s">
        <v>12</v>
      </c>
      <c r="B91" s="10" t="s">
        <v>14</v>
      </c>
      <c r="C91" s="10" t="s">
        <v>522</v>
      </c>
      <c r="D91" s="11" t="str">
        <f t="shared" si="1"/>
        <v>Abrir anúncio ↗</v>
      </c>
      <c r="E91" s="12" t="s">
        <v>525</v>
      </c>
      <c r="F91" s="10" t="s">
        <v>29</v>
      </c>
      <c r="G91" s="12" t="s">
        <v>30</v>
      </c>
      <c r="H91" s="12" t="s">
        <v>31</v>
      </c>
      <c r="I91" s="10"/>
      <c r="J91" s="10"/>
      <c r="K91" s="12"/>
    </row>
    <row r="92" ht="15.75" customHeight="1">
      <c r="A92" s="3" t="s">
        <v>12</v>
      </c>
      <c r="B92" s="3" t="s">
        <v>14</v>
      </c>
      <c r="C92" s="3" t="s">
        <v>526</v>
      </c>
      <c r="D92" s="8" t="str">
        <f t="shared" si="1"/>
        <v>Abrir anúncio ↗</v>
      </c>
      <c r="E92" s="9" t="s">
        <v>528</v>
      </c>
      <c r="F92" s="3" t="s">
        <v>29</v>
      </c>
      <c r="G92" s="9" t="s">
        <v>30</v>
      </c>
      <c r="H92" s="9" t="s">
        <v>31</v>
      </c>
      <c r="I92" s="3"/>
      <c r="J92" s="3"/>
      <c r="K92" s="9"/>
    </row>
    <row r="93" ht="15.75" customHeight="1">
      <c r="A93" s="10" t="s">
        <v>12</v>
      </c>
      <c r="B93" s="10" t="s">
        <v>14</v>
      </c>
      <c r="C93" s="10" t="s">
        <v>531</v>
      </c>
      <c r="D93" s="11" t="str">
        <f t="shared" si="1"/>
        <v>Abrir anúncio ↗</v>
      </c>
      <c r="E93" s="12" t="s">
        <v>533</v>
      </c>
      <c r="F93" s="10" t="s">
        <v>29</v>
      </c>
      <c r="G93" s="12" t="s">
        <v>30</v>
      </c>
      <c r="H93" s="12" t="s">
        <v>31</v>
      </c>
      <c r="I93" s="10"/>
      <c r="J93" s="10"/>
      <c r="K93" s="12"/>
    </row>
    <row r="94" ht="15.75" customHeight="1">
      <c r="A94" s="3" t="s">
        <v>12</v>
      </c>
      <c r="B94" s="3" t="s">
        <v>14</v>
      </c>
      <c r="C94" s="3" t="s">
        <v>536</v>
      </c>
      <c r="D94" s="8" t="str">
        <f t="shared" si="1"/>
        <v>Abrir anúncio ↗</v>
      </c>
      <c r="E94" s="9" t="s">
        <v>538</v>
      </c>
      <c r="F94" s="3" t="s">
        <v>29</v>
      </c>
      <c r="G94" s="9" t="s">
        <v>30</v>
      </c>
      <c r="H94" s="9" t="s">
        <v>31</v>
      </c>
      <c r="I94" s="3"/>
      <c r="J94" s="3"/>
      <c r="K94" s="9"/>
    </row>
    <row r="95" ht="15.75" customHeight="1">
      <c r="A95" s="10" t="s">
        <v>12</v>
      </c>
      <c r="B95" s="10" t="s">
        <v>14</v>
      </c>
      <c r="C95" s="10" t="s">
        <v>541</v>
      </c>
      <c r="D95" s="11" t="str">
        <f t="shared" si="1"/>
        <v>Abrir anúncio ↗</v>
      </c>
      <c r="E95" s="12" t="s">
        <v>544</v>
      </c>
      <c r="F95" s="10" t="s">
        <v>29</v>
      </c>
      <c r="G95" s="12" t="s">
        <v>30</v>
      </c>
      <c r="H95" s="12" t="s">
        <v>31</v>
      </c>
      <c r="I95" s="10"/>
      <c r="J95" s="10"/>
      <c r="K95" s="12"/>
    </row>
    <row r="96" ht="15.75" customHeight="1">
      <c r="A96" s="3" t="s">
        <v>12</v>
      </c>
      <c r="B96" s="3" t="s">
        <v>14</v>
      </c>
      <c r="C96" s="3" t="s">
        <v>546</v>
      </c>
      <c r="D96" s="8" t="str">
        <f t="shared" si="1"/>
        <v>Abrir anúncio ↗</v>
      </c>
      <c r="E96" s="9" t="s">
        <v>547</v>
      </c>
      <c r="F96" s="3" t="s">
        <v>29</v>
      </c>
      <c r="G96" s="9" t="s">
        <v>30</v>
      </c>
      <c r="H96" s="9" t="s">
        <v>31</v>
      </c>
      <c r="I96" s="3"/>
      <c r="J96" s="3"/>
      <c r="K96" s="9"/>
    </row>
    <row r="97" ht="15.75" customHeight="1">
      <c r="A97" s="10" t="s">
        <v>12</v>
      </c>
      <c r="B97" s="10" t="s">
        <v>14</v>
      </c>
      <c r="C97" s="10" t="s">
        <v>553</v>
      </c>
      <c r="D97" s="11" t="str">
        <f t="shared" si="1"/>
        <v>Abrir anúncio ↗</v>
      </c>
      <c r="E97" s="12" t="s">
        <v>554</v>
      </c>
      <c r="F97" s="10" t="s">
        <v>29</v>
      </c>
      <c r="G97" s="12" t="s">
        <v>30</v>
      </c>
      <c r="H97" s="12" t="s">
        <v>31</v>
      </c>
      <c r="I97" s="10"/>
      <c r="J97" s="10"/>
      <c r="K97" s="12"/>
    </row>
    <row r="98" ht="15.75" customHeight="1">
      <c r="A98" s="3" t="s">
        <v>12</v>
      </c>
      <c r="B98" s="3" t="s">
        <v>14</v>
      </c>
      <c r="C98" s="3" t="s">
        <v>557</v>
      </c>
      <c r="D98" s="8" t="str">
        <f t="shared" si="1"/>
        <v>Abrir anúncio ↗</v>
      </c>
      <c r="E98" s="9" t="s">
        <v>559</v>
      </c>
      <c r="F98" s="3" t="s">
        <v>29</v>
      </c>
      <c r="G98" s="9" t="s">
        <v>30</v>
      </c>
      <c r="H98" s="9" t="s">
        <v>31</v>
      </c>
      <c r="I98" s="3"/>
      <c r="J98" s="3"/>
      <c r="K98" s="9"/>
    </row>
    <row r="99" ht="15.75" customHeight="1">
      <c r="A99" s="10" t="s">
        <v>12</v>
      </c>
      <c r="B99" s="10" t="s">
        <v>14</v>
      </c>
      <c r="C99" s="10" t="s">
        <v>564</v>
      </c>
      <c r="D99" s="11" t="str">
        <f t="shared" si="1"/>
        <v>Abrir anúncio ↗</v>
      </c>
      <c r="E99" s="12" t="s">
        <v>565</v>
      </c>
      <c r="F99" s="10" t="s">
        <v>29</v>
      </c>
      <c r="G99" s="12" t="s">
        <v>30</v>
      </c>
      <c r="H99" s="12" t="s">
        <v>31</v>
      </c>
      <c r="I99" s="10"/>
      <c r="J99" s="10"/>
      <c r="K99" s="12"/>
    </row>
    <row r="100" ht="15.75" customHeight="1">
      <c r="A100" s="3" t="s">
        <v>12</v>
      </c>
      <c r="B100" s="3" t="s">
        <v>14</v>
      </c>
      <c r="C100" s="3" t="s">
        <v>568</v>
      </c>
      <c r="D100" s="8" t="str">
        <f t="shared" si="1"/>
        <v>Abrir anúncio ↗</v>
      </c>
      <c r="E100" s="9" t="s">
        <v>570</v>
      </c>
      <c r="F100" s="3" t="s">
        <v>29</v>
      </c>
      <c r="G100" s="9" t="s">
        <v>192</v>
      </c>
      <c r="H100" s="9" t="s">
        <v>195</v>
      </c>
      <c r="I100" s="3"/>
      <c r="J100" s="3"/>
      <c r="K100" s="9"/>
    </row>
    <row r="101" ht="15.75" customHeight="1">
      <c r="A101" s="10" t="s">
        <v>12</v>
      </c>
      <c r="B101" s="10" t="s">
        <v>14</v>
      </c>
      <c r="C101" s="10" t="s">
        <v>576</v>
      </c>
      <c r="D101" s="11" t="str">
        <f t="shared" si="1"/>
        <v>Abrir anúncio ↗</v>
      </c>
      <c r="E101" s="12" t="s">
        <v>577</v>
      </c>
      <c r="F101" s="10" t="s">
        <v>29</v>
      </c>
      <c r="G101" s="12" t="s">
        <v>30</v>
      </c>
      <c r="H101" s="12" t="s">
        <v>31</v>
      </c>
      <c r="I101" s="10"/>
      <c r="J101" s="10"/>
      <c r="K101" s="12"/>
    </row>
    <row r="102" ht="15.75" customHeight="1">
      <c r="A102" s="3" t="s">
        <v>12</v>
      </c>
      <c r="B102" s="3" t="s">
        <v>14</v>
      </c>
      <c r="C102" s="3" t="s">
        <v>582</v>
      </c>
      <c r="D102" s="8" t="str">
        <f t="shared" si="1"/>
        <v>Abrir anúncio ↗</v>
      </c>
      <c r="E102" s="9" t="s">
        <v>585</v>
      </c>
      <c r="F102" s="3" t="s">
        <v>29</v>
      </c>
      <c r="G102" s="9" t="s">
        <v>30</v>
      </c>
      <c r="H102" s="9" t="s">
        <v>31</v>
      </c>
      <c r="I102" s="3"/>
      <c r="J102" s="3"/>
      <c r="K102" s="9"/>
    </row>
    <row r="103" ht="15.75" customHeight="1">
      <c r="A103" s="10" t="s">
        <v>12</v>
      </c>
      <c r="B103" s="10" t="s">
        <v>14</v>
      </c>
      <c r="C103" s="10" t="s">
        <v>587</v>
      </c>
      <c r="D103" s="11" t="str">
        <f t="shared" si="1"/>
        <v>Abrir anúncio ↗</v>
      </c>
      <c r="E103" s="12" t="s">
        <v>590</v>
      </c>
      <c r="F103" s="10" t="s">
        <v>29</v>
      </c>
      <c r="G103" s="12" t="s">
        <v>30</v>
      </c>
      <c r="H103" s="12" t="s">
        <v>31</v>
      </c>
      <c r="I103" s="10"/>
      <c r="J103" s="10"/>
      <c r="K103" s="12"/>
    </row>
    <row r="104" ht="15.75" customHeight="1">
      <c r="A104" s="3" t="s">
        <v>12</v>
      </c>
      <c r="B104" s="3" t="s">
        <v>14</v>
      </c>
      <c r="C104" s="3" t="s">
        <v>593</v>
      </c>
      <c r="D104" s="8" t="str">
        <f t="shared" si="1"/>
        <v>Abrir anúncio ↗</v>
      </c>
      <c r="E104" s="9" t="s">
        <v>594</v>
      </c>
      <c r="F104" s="3" t="s">
        <v>29</v>
      </c>
      <c r="G104" s="9" t="s">
        <v>30</v>
      </c>
      <c r="H104" s="9" t="s">
        <v>31</v>
      </c>
      <c r="I104" s="3"/>
      <c r="J104" s="3"/>
      <c r="K104" s="9"/>
    </row>
    <row r="105" ht="15.75" customHeight="1">
      <c r="A105" s="10" t="s">
        <v>12</v>
      </c>
      <c r="B105" s="10" t="s">
        <v>14</v>
      </c>
      <c r="C105" s="10" t="s">
        <v>598</v>
      </c>
      <c r="D105" s="11" t="str">
        <f t="shared" si="1"/>
        <v>Abrir anúncio ↗</v>
      </c>
      <c r="E105" s="12" t="s">
        <v>599</v>
      </c>
      <c r="F105" s="10" t="s">
        <v>29</v>
      </c>
      <c r="G105" s="12" t="s">
        <v>30</v>
      </c>
      <c r="H105" s="12" t="s">
        <v>31</v>
      </c>
      <c r="I105" s="10"/>
      <c r="J105" s="10"/>
      <c r="K105" s="12"/>
    </row>
    <row r="106" ht="15.75" customHeight="1">
      <c r="A106" s="3" t="s">
        <v>12</v>
      </c>
      <c r="B106" s="3" t="s">
        <v>14</v>
      </c>
      <c r="C106" s="3" t="s">
        <v>605</v>
      </c>
      <c r="D106" s="8" t="str">
        <f t="shared" si="1"/>
        <v>Abrir anúncio ↗</v>
      </c>
      <c r="E106" s="9" t="s">
        <v>606</v>
      </c>
      <c r="F106" s="3" t="s">
        <v>29</v>
      </c>
      <c r="G106" s="9" t="s">
        <v>30</v>
      </c>
      <c r="H106" s="9" t="s">
        <v>31</v>
      </c>
      <c r="I106" s="3"/>
      <c r="J106" s="3"/>
      <c r="K106" s="9"/>
    </row>
    <row r="107" ht="15.75" customHeight="1">
      <c r="A107" s="10" t="s">
        <v>12</v>
      </c>
      <c r="B107" s="10" t="s">
        <v>14</v>
      </c>
      <c r="C107" s="10" t="s">
        <v>609</v>
      </c>
      <c r="D107" s="11" t="str">
        <f t="shared" si="1"/>
        <v>Abrir anúncio ↗</v>
      </c>
      <c r="E107" s="12" t="s">
        <v>611</v>
      </c>
      <c r="F107" s="10" t="s">
        <v>29</v>
      </c>
      <c r="G107" s="12" t="s">
        <v>30</v>
      </c>
      <c r="H107" s="12" t="s">
        <v>31</v>
      </c>
      <c r="I107" s="10"/>
      <c r="J107" s="10"/>
      <c r="K107" s="12"/>
    </row>
    <row r="108" ht="15.75" customHeight="1">
      <c r="A108" s="3" t="s">
        <v>12</v>
      </c>
      <c r="B108" s="3" t="s">
        <v>14</v>
      </c>
      <c r="C108" s="3" t="s">
        <v>613</v>
      </c>
      <c r="D108" s="8" t="str">
        <f t="shared" si="1"/>
        <v>Abrir anúncio ↗</v>
      </c>
      <c r="E108" s="9" t="s">
        <v>614</v>
      </c>
      <c r="F108" s="3" t="s">
        <v>29</v>
      </c>
      <c r="G108" s="9" t="s">
        <v>192</v>
      </c>
      <c r="H108" s="9" t="s">
        <v>617</v>
      </c>
      <c r="I108" s="3"/>
      <c r="J108" s="3"/>
      <c r="K108" s="9"/>
    </row>
    <row r="109" ht="15.75" customHeight="1">
      <c r="A109" s="10" t="s">
        <v>12</v>
      </c>
      <c r="B109" s="10" t="s">
        <v>14</v>
      </c>
      <c r="C109" s="10" t="s">
        <v>619</v>
      </c>
      <c r="D109" s="11" t="str">
        <f t="shared" si="1"/>
        <v>Abrir anúncio ↗</v>
      </c>
      <c r="E109" s="12" t="s">
        <v>621</v>
      </c>
      <c r="F109" s="10" t="s">
        <v>29</v>
      </c>
      <c r="G109" s="12" t="s">
        <v>30</v>
      </c>
      <c r="H109" s="12" t="s">
        <v>31</v>
      </c>
      <c r="I109" s="10"/>
      <c r="J109" s="10"/>
      <c r="K109" s="12"/>
    </row>
    <row r="110" ht="15.75" customHeight="1">
      <c r="A110" s="3" t="s">
        <v>12</v>
      </c>
      <c r="B110" s="3" t="s">
        <v>14</v>
      </c>
      <c r="C110" s="3" t="s">
        <v>623</v>
      </c>
      <c r="D110" s="8" t="str">
        <f t="shared" si="1"/>
        <v>Abrir anúncio ↗</v>
      </c>
      <c r="E110" s="9" t="s">
        <v>624</v>
      </c>
      <c r="F110" s="3" t="s">
        <v>29</v>
      </c>
      <c r="G110" s="9" t="s">
        <v>192</v>
      </c>
      <c r="H110" s="9" t="s">
        <v>195</v>
      </c>
      <c r="I110" s="3"/>
      <c r="J110" s="3"/>
      <c r="K110" s="9"/>
    </row>
    <row r="111" ht="15.75" customHeight="1">
      <c r="A111" s="10" t="s">
        <v>12</v>
      </c>
      <c r="B111" s="10" t="s">
        <v>14</v>
      </c>
      <c r="C111" s="10" t="s">
        <v>629</v>
      </c>
      <c r="D111" s="11" t="str">
        <f t="shared" si="1"/>
        <v>Abrir anúncio ↗</v>
      </c>
      <c r="E111" s="12" t="s">
        <v>632</v>
      </c>
      <c r="F111" s="10" t="s">
        <v>29</v>
      </c>
      <c r="G111" s="12" t="s">
        <v>30</v>
      </c>
      <c r="H111" s="12" t="s">
        <v>31</v>
      </c>
      <c r="I111" s="10"/>
      <c r="J111" s="10"/>
      <c r="K111" s="12"/>
    </row>
    <row r="112" ht="15.75" customHeight="1">
      <c r="A112" s="3" t="s">
        <v>12</v>
      </c>
      <c r="B112" s="3" t="s">
        <v>14</v>
      </c>
      <c r="C112" s="3" t="s">
        <v>636</v>
      </c>
      <c r="D112" s="8" t="str">
        <f t="shared" si="1"/>
        <v>Abrir anúncio ↗</v>
      </c>
      <c r="E112" s="9" t="s">
        <v>638</v>
      </c>
      <c r="F112" s="3" t="s">
        <v>29</v>
      </c>
      <c r="G112" s="9" t="s">
        <v>30</v>
      </c>
      <c r="H112" s="9" t="s">
        <v>31</v>
      </c>
      <c r="I112" s="3"/>
      <c r="J112" s="3"/>
      <c r="K112" s="9"/>
    </row>
    <row r="113" ht="15.75" customHeight="1">
      <c r="A113" s="10" t="s">
        <v>12</v>
      </c>
      <c r="B113" s="10" t="s">
        <v>14</v>
      </c>
      <c r="C113" s="10" t="s">
        <v>641</v>
      </c>
      <c r="D113" s="11" t="str">
        <f t="shared" si="1"/>
        <v>Abrir anúncio ↗</v>
      </c>
      <c r="E113" s="12" t="s">
        <v>642</v>
      </c>
      <c r="F113" s="10" t="s">
        <v>29</v>
      </c>
      <c r="G113" s="12" t="s">
        <v>30</v>
      </c>
      <c r="H113" s="12" t="s">
        <v>31</v>
      </c>
      <c r="I113" s="10"/>
      <c r="J113" s="10"/>
      <c r="K113" s="12"/>
    </row>
    <row r="114" ht="15.75" customHeight="1">
      <c r="A114" s="3" t="s">
        <v>12</v>
      </c>
      <c r="B114" s="3" t="s">
        <v>14</v>
      </c>
      <c r="C114" s="3" t="s">
        <v>647</v>
      </c>
      <c r="D114" s="8" t="str">
        <f t="shared" si="1"/>
        <v>Abrir anúncio ↗</v>
      </c>
      <c r="E114" s="9" t="s">
        <v>648</v>
      </c>
      <c r="F114" s="3" t="s">
        <v>29</v>
      </c>
      <c r="G114" s="9" t="s">
        <v>30</v>
      </c>
      <c r="H114" s="9" t="s">
        <v>31</v>
      </c>
      <c r="I114" s="3"/>
      <c r="J114" s="3"/>
      <c r="K114" s="9"/>
    </row>
    <row r="115" ht="15.75" customHeight="1">
      <c r="A115" s="10" t="s">
        <v>12</v>
      </c>
      <c r="B115" s="10" t="s">
        <v>14</v>
      </c>
      <c r="C115" s="10" t="s">
        <v>653</v>
      </c>
      <c r="D115" s="11" t="str">
        <f t="shared" si="1"/>
        <v>Abrir anúncio ↗</v>
      </c>
      <c r="E115" s="12" t="s">
        <v>654</v>
      </c>
      <c r="F115" s="10" t="s">
        <v>29</v>
      </c>
      <c r="G115" s="12" t="s">
        <v>30</v>
      </c>
      <c r="H115" s="12" t="s">
        <v>31</v>
      </c>
      <c r="I115" s="10"/>
      <c r="J115" s="10"/>
      <c r="K115" s="12"/>
    </row>
    <row r="116" ht="15.75" customHeight="1">
      <c r="A116" s="3" t="s">
        <v>12</v>
      </c>
      <c r="B116" s="3" t="s">
        <v>14</v>
      </c>
      <c r="C116" s="3" t="s">
        <v>657</v>
      </c>
      <c r="D116" s="8" t="str">
        <f t="shared" si="1"/>
        <v>Abrir anúncio ↗</v>
      </c>
      <c r="E116" s="9" t="s">
        <v>659</v>
      </c>
      <c r="F116" s="3" t="s">
        <v>29</v>
      </c>
      <c r="G116" s="9" t="s">
        <v>30</v>
      </c>
      <c r="H116" s="9" t="s">
        <v>31</v>
      </c>
      <c r="I116" s="3"/>
      <c r="J116" s="3"/>
      <c r="K116" s="9"/>
    </row>
    <row r="117" ht="15.75" customHeight="1">
      <c r="A117" s="10" t="s">
        <v>12</v>
      </c>
      <c r="B117" s="10" t="s">
        <v>14</v>
      </c>
      <c r="C117" s="10" t="s">
        <v>662</v>
      </c>
      <c r="D117" s="11" t="str">
        <f t="shared" si="1"/>
        <v>Abrir anúncio ↗</v>
      </c>
      <c r="E117" s="12" t="s">
        <v>664</v>
      </c>
      <c r="F117" s="10" t="s">
        <v>29</v>
      </c>
      <c r="G117" s="12" t="s">
        <v>30</v>
      </c>
      <c r="H117" s="12" t="s">
        <v>31</v>
      </c>
      <c r="I117" s="10"/>
      <c r="J117" s="10"/>
      <c r="K117" s="12"/>
    </row>
    <row r="118" ht="15.75" customHeight="1">
      <c r="A118" s="3" t="s">
        <v>12</v>
      </c>
      <c r="B118" s="3" t="s">
        <v>14</v>
      </c>
      <c r="C118" s="3" t="s">
        <v>667</v>
      </c>
      <c r="D118" s="8" t="str">
        <f t="shared" si="1"/>
        <v>Abrir anúncio ↗</v>
      </c>
      <c r="E118" s="9" t="s">
        <v>669</v>
      </c>
      <c r="F118" s="3" t="s">
        <v>29</v>
      </c>
      <c r="G118" s="9" t="s">
        <v>30</v>
      </c>
      <c r="H118" s="9" t="s">
        <v>31</v>
      </c>
      <c r="I118" s="3"/>
      <c r="J118" s="3"/>
      <c r="K118" s="9"/>
    </row>
    <row r="119" ht="15.75" customHeight="1">
      <c r="A119" s="10" t="s">
        <v>12</v>
      </c>
      <c r="B119" s="10" t="s">
        <v>14</v>
      </c>
      <c r="C119" s="10" t="s">
        <v>672</v>
      </c>
      <c r="D119" s="11" t="str">
        <f t="shared" si="1"/>
        <v>Abrir anúncio ↗</v>
      </c>
      <c r="E119" s="12" t="s">
        <v>673</v>
      </c>
      <c r="F119" s="10" t="s">
        <v>29</v>
      </c>
      <c r="G119" s="12" t="s">
        <v>30</v>
      </c>
      <c r="H119" s="12" t="s">
        <v>31</v>
      </c>
      <c r="I119" s="10"/>
      <c r="J119" s="10"/>
      <c r="K119" s="12"/>
    </row>
    <row r="120" ht="15.75" customHeight="1">
      <c r="A120" s="3" t="s">
        <v>12</v>
      </c>
      <c r="B120" s="3" t="s">
        <v>14</v>
      </c>
      <c r="C120" s="3" t="s">
        <v>677</v>
      </c>
      <c r="D120" s="8" t="str">
        <f t="shared" si="1"/>
        <v>Abrir anúncio ↗</v>
      </c>
      <c r="E120" s="9" t="s">
        <v>678</v>
      </c>
      <c r="F120" s="3" t="s">
        <v>29</v>
      </c>
      <c r="G120" s="9" t="s">
        <v>30</v>
      </c>
      <c r="H120" s="9" t="s">
        <v>31</v>
      </c>
      <c r="I120" s="3"/>
      <c r="J120" s="3"/>
      <c r="K120" s="9"/>
    </row>
    <row r="121" ht="15.75" customHeight="1">
      <c r="A121" s="10" t="s">
        <v>12</v>
      </c>
      <c r="B121" s="10" t="s">
        <v>14</v>
      </c>
      <c r="C121" s="10" t="s">
        <v>683</v>
      </c>
      <c r="D121" s="11" t="str">
        <f t="shared" si="1"/>
        <v>Abrir anúncio ↗</v>
      </c>
      <c r="E121" s="12" t="s">
        <v>684</v>
      </c>
      <c r="F121" s="10" t="s">
        <v>29</v>
      </c>
      <c r="G121" s="12" t="s">
        <v>30</v>
      </c>
      <c r="H121" s="12" t="s">
        <v>31</v>
      </c>
      <c r="I121" s="10"/>
      <c r="J121" s="10"/>
      <c r="K121" s="12"/>
    </row>
    <row r="122" ht="15.75" customHeight="1">
      <c r="A122" s="3" t="s">
        <v>12</v>
      </c>
      <c r="B122" s="3" t="s">
        <v>14</v>
      </c>
      <c r="C122" s="3" t="s">
        <v>685</v>
      </c>
      <c r="D122" s="8" t="str">
        <f t="shared" si="1"/>
        <v>Abrir anúncio ↗</v>
      </c>
      <c r="E122" s="9" t="s">
        <v>688</v>
      </c>
      <c r="F122" s="3" t="s">
        <v>29</v>
      </c>
      <c r="G122" s="9" t="s">
        <v>30</v>
      </c>
      <c r="H122" s="9" t="s">
        <v>31</v>
      </c>
      <c r="I122" s="3"/>
      <c r="J122" s="3"/>
      <c r="K122" s="9"/>
    </row>
    <row r="123" ht="15.75" customHeight="1">
      <c r="A123" s="10" t="s">
        <v>12</v>
      </c>
      <c r="B123" s="10" t="s">
        <v>14</v>
      </c>
      <c r="C123" s="10" t="s">
        <v>691</v>
      </c>
      <c r="D123" s="11" t="str">
        <f t="shared" si="1"/>
        <v>Abrir anúncio ↗</v>
      </c>
      <c r="E123" s="12" t="s">
        <v>692</v>
      </c>
      <c r="F123" s="10" t="s">
        <v>29</v>
      </c>
      <c r="G123" s="12" t="s">
        <v>30</v>
      </c>
      <c r="H123" s="12" t="s">
        <v>31</v>
      </c>
      <c r="I123" s="10"/>
      <c r="J123" s="10"/>
      <c r="K123" s="12"/>
    </row>
    <row r="124" ht="15.75" customHeight="1">
      <c r="A124" s="3" t="s">
        <v>12</v>
      </c>
      <c r="B124" s="3" t="s">
        <v>14</v>
      </c>
      <c r="C124" s="3" t="s">
        <v>697</v>
      </c>
      <c r="D124" s="8" t="str">
        <f t="shared" si="1"/>
        <v>Abrir anúncio ↗</v>
      </c>
      <c r="E124" s="9" t="s">
        <v>698</v>
      </c>
      <c r="F124" s="3" t="s">
        <v>29</v>
      </c>
      <c r="G124" s="9" t="s">
        <v>30</v>
      </c>
      <c r="H124" s="9" t="s">
        <v>31</v>
      </c>
      <c r="I124" s="3"/>
      <c r="J124" s="3"/>
      <c r="K124" s="9"/>
    </row>
    <row r="125" ht="15.75" customHeight="1">
      <c r="A125" s="10" t="s">
        <v>12</v>
      </c>
      <c r="B125" s="10" t="s">
        <v>14</v>
      </c>
      <c r="C125" s="10" t="s">
        <v>702</v>
      </c>
      <c r="D125" s="11" t="str">
        <f t="shared" si="1"/>
        <v>Abrir anúncio ↗</v>
      </c>
      <c r="E125" s="12" t="s">
        <v>703</v>
      </c>
      <c r="F125" s="10" t="s">
        <v>29</v>
      </c>
      <c r="G125" s="12" t="s">
        <v>30</v>
      </c>
      <c r="H125" s="12" t="s">
        <v>31</v>
      </c>
      <c r="I125" s="10"/>
      <c r="J125" s="10"/>
      <c r="K125" s="12"/>
    </row>
    <row r="126" ht="15.75" customHeight="1">
      <c r="A126" s="3" t="s">
        <v>12</v>
      </c>
      <c r="B126" s="3" t="s">
        <v>14</v>
      </c>
      <c r="C126" s="3" t="s">
        <v>706</v>
      </c>
      <c r="D126" s="8" t="str">
        <f t="shared" si="1"/>
        <v>Abrir anúncio ↗</v>
      </c>
      <c r="E126" s="9" t="s">
        <v>709</v>
      </c>
      <c r="F126" s="3" t="s">
        <v>29</v>
      </c>
      <c r="G126" s="9" t="s">
        <v>30</v>
      </c>
      <c r="H126" s="9" t="s">
        <v>31</v>
      </c>
      <c r="I126" s="3"/>
      <c r="J126" s="3"/>
      <c r="K126" s="9"/>
    </row>
    <row r="127" ht="15.75" customHeight="1">
      <c r="A127" s="10" t="s">
        <v>12</v>
      </c>
      <c r="B127" s="10" t="s">
        <v>14</v>
      </c>
      <c r="C127" s="10" t="s">
        <v>711</v>
      </c>
      <c r="D127" s="11" t="str">
        <f t="shared" si="1"/>
        <v>Abrir anúncio ↗</v>
      </c>
      <c r="E127" s="12" t="s">
        <v>712</v>
      </c>
      <c r="F127" s="10" t="s">
        <v>29</v>
      </c>
      <c r="G127" s="12" t="s">
        <v>30</v>
      </c>
      <c r="H127" s="12" t="s">
        <v>31</v>
      </c>
      <c r="I127" s="10"/>
      <c r="J127" s="10"/>
      <c r="K127" s="12"/>
    </row>
    <row r="128" ht="15.75" customHeight="1">
      <c r="A128" s="3" t="s">
        <v>12</v>
      </c>
      <c r="B128" s="3" t="s">
        <v>14</v>
      </c>
      <c r="C128" s="3" t="s">
        <v>718</v>
      </c>
      <c r="D128" s="8" t="str">
        <f t="shared" si="1"/>
        <v>Abrir anúncio ↗</v>
      </c>
      <c r="E128" s="9" t="s">
        <v>719</v>
      </c>
      <c r="F128" s="3" t="s">
        <v>29</v>
      </c>
      <c r="G128" s="9" t="s">
        <v>30</v>
      </c>
      <c r="H128" s="9" t="s">
        <v>31</v>
      </c>
      <c r="I128" s="3"/>
      <c r="J128" s="3"/>
      <c r="K128" s="9"/>
    </row>
    <row r="129" ht="15.75" customHeight="1">
      <c r="A129" s="10" t="s">
        <v>12</v>
      </c>
      <c r="B129" s="10" t="s">
        <v>14</v>
      </c>
      <c r="C129" s="10" t="s">
        <v>725</v>
      </c>
      <c r="D129" s="11" t="str">
        <f t="shared" si="1"/>
        <v>Abrir anúncio ↗</v>
      </c>
      <c r="E129" s="12" t="s">
        <v>727</v>
      </c>
      <c r="F129" s="10" t="s">
        <v>29</v>
      </c>
      <c r="G129" s="12" t="s">
        <v>30</v>
      </c>
      <c r="H129" s="12" t="s">
        <v>31</v>
      </c>
      <c r="I129" s="10"/>
      <c r="J129" s="10"/>
      <c r="K129" s="12"/>
    </row>
    <row r="130" ht="15.75" customHeight="1">
      <c r="A130" s="3" t="s">
        <v>12</v>
      </c>
      <c r="B130" s="3" t="s">
        <v>14</v>
      </c>
      <c r="C130" s="3" t="s">
        <v>733</v>
      </c>
      <c r="D130" s="8" t="str">
        <f t="shared" si="1"/>
        <v>Abrir anúncio ↗</v>
      </c>
      <c r="E130" s="9" t="s">
        <v>734</v>
      </c>
      <c r="F130" s="3" t="s">
        <v>29</v>
      </c>
      <c r="G130" s="9" t="s">
        <v>30</v>
      </c>
      <c r="H130" s="9" t="s">
        <v>31</v>
      </c>
      <c r="I130" s="3"/>
      <c r="J130" s="3"/>
      <c r="K130" s="9"/>
    </row>
    <row r="131" ht="15.75" customHeight="1">
      <c r="A131" s="10" t="s">
        <v>12</v>
      </c>
      <c r="B131" s="10" t="s">
        <v>14</v>
      </c>
      <c r="C131" s="10" t="s">
        <v>736</v>
      </c>
      <c r="D131" s="11" t="str">
        <f t="shared" si="1"/>
        <v>Abrir anúncio ↗</v>
      </c>
      <c r="E131" s="12" t="s">
        <v>739</v>
      </c>
      <c r="F131" s="10" t="s">
        <v>29</v>
      </c>
      <c r="G131" s="12" t="s">
        <v>30</v>
      </c>
      <c r="H131" s="12" t="s">
        <v>31</v>
      </c>
      <c r="I131" s="10"/>
      <c r="J131" s="10"/>
      <c r="K131" s="12"/>
    </row>
    <row r="132" ht="15.75" customHeight="1">
      <c r="A132" s="3" t="s">
        <v>12</v>
      </c>
      <c r="B132" s="3" t="s">
        <v>14</v>
      </c>
      <c r="C132" s="3" t="s">
        <v>743</v>
      </c>
      <c r="D132" s="8" t="str">
        <f t="shared" si="1"/>
        <v>Abrir anúncio ↗</v>
      </c>
      <c r="E132" s="9" t="s">
        <v>489</v>
      </c>
      <c r="F132" s="3" t="s">
        <v>29</v>
      </c>
      <c r="G132" s="9" t="s">
        <v>744</v>
      </c>
      <c r="H132" s="9" t="s">
        <v>745</v>
      </c>
      <c r="I132" s="3"/>
      <c r="J132" s="3"/>
      <c r="K132" s="9"/>
    </row>
    <row r="133" ht="15.75" customHeight="1">
      <c r="A133" s="10" t="s">
        <v>12</v>
      </c>
      <c r="B133" s="10" t="s">
        <v>14</v>
      </c>
      <c r="C133" s="10" t="s">
        <v>750</v>
      </c>
      <c r="D133" s="11" t="str">
        <f t="shared" si="1"/>
        <v>Abrir anúncio ↗</v>
      </c>
      <c r="E133" s="12" t="s">
        <v>752</v>
      </c>
      <c r="F133" s="10" t="s">
        <v>29</v>
      </c>
      <c r="G133" s="12" t="s">
        <v>744</v>
      </c>
      <c r="H133" s="12" t="s">
        <v>745</v>
      </c>
      <c r="I133" s="10"/>
      <c r="J133" s="10"/>
      <c r="K133" s="12"/>
    </row>
    <row r="134" ht="15.75" customHeight="1">
      <c r="A134" s="3" t="s">
        <v>12</v>
      </c>
      <c r="B134" s="3" t="s">
        <v>14</v>
      </c>
      <c r="C134" s="3" t="s">
        <v>754</v>
      </c>
      <c r="D134" s="8" t="str">
        <f t="shared" si="1"/>
        <v>Abrir anúncio ↗</v>
      </c>
      <c r="E134" s="9" t="s">
        <v>544</v>
      </c>
      <c r="F134" s="3" t="s">
        <v>29</v>
      </c>
      <c r="G134" s="9" t="s">
        <v>744</v>
      </c>
      <c r="H134" s="9" t="s">
        <v>745</v>
      </c>
      <c r="I134" s="3"/>
      <c r="J134" s="3"/>
      <c r="K134" s="9"/>
    </row>
    <row r="135" ht="15.75" customHeight="1">
      <c r="A135" s="10" t="s">
        <v>12</v>
      </c>
      <c r="B135" s="10" t="s">
        <v>14</v>
      </c>
      <c r="C135" s="10" t="s">
        <v>761</v>
      </c>
      <c r="D135" s="11" t="str">
        <f t="shared" si="1"/>
        <v>Abrir anúncio ↗</v>
      </c>
      <c r="E135" s="12" t="s">
        <v>763</v>
      </c>
      <c r="F135" s="10" t="s">
        <v>29</v>
      </c>
      <c r="G135" s="12" t="s">
        <v>744</v>
      </c>
      <c r="H135" s="12" t="s">
        <v>745</v>
      </c>
      <c r="I135" s="10"/>
      <c r="J135" s="10"/>
      <c r="K135" s="12"/>
    </row>
    <row r="136" ht="15.75" customHeight="1">
      <c r="A136" s="3" t="s">
        <v>12</v>
      </c>
      <c r="B136" s="3" t="s">
        <v>14</v>
      </c>
      <c r="C136" s="3" t="s">
        <v>765</v>
      </c>
      <c r="D136" s="8" t="str">
        <f t="shared" si="1"/>
        <v>Abrir anúncio ↗</v>
      </c>
      <c r="E136" s="9" t="s">
        <v>768</v>
      </c>
      <c r="F136" s="3" t="s">
        <v>86</v>
      </c>
      <c r="G136" s="9" t="s">
        <v>744</v>
      </c>
      <c r="H136" s="9" t="s">
        <v>745</v>
      </c>
      <c r="I136" s="3"/>
      <c r="J136" s="3"/>
      <c r="K136" s="9"/>
    </row>
    <row r="137" ht="15.75" customHeight="1">
      <c r="A137" s="10" t="s">
        <v>12</v>
      </c>
      <c r="B137" s="10" t="s">
        <v>14</v>
      </c>
      <c r="C137" s="10" t="s">
        <v>773</v>
      </c>
      <c r="D137" s="11" t="str">
        <f t="shared" si="1"/>
        <v>Abrir anúncio ↗</v>
      </c>
      <c r="E137" s="12" t="s">
        <v>774</v>
      </c>
      <c r="F137" s="10" t="s">
        <v>29</v>
      </c>
      <c r="G137" s="12" t="s">
        <v>744</v>
      </c>
      <c r="H137" s="12" t="s">
        <v>745</v>
      </c>
      <c r="I137" s="10"/>
      <c r="J137" s="10"/>
      <c r="K137" s="12"/>
    </row>
    <row r="138" ht="15.75" customHeight="1">
      <c r="A138" s="3" t="s">
        <v>12</v>
      </c>
      <c r="B138" s="3" t="s">
        <v>14</v>
      </c>
      <c r="C138" s="3" t="s">
        <v>777</v>
      </c>
      <c r="D138" s="8" t="str">
        <f t="shared" si="1"/>
        <v>Abrir anúncio ↗</v>
      </c>
      <c r="E138" s="9" t="s">
        <v>91</v>
      </c>
      <c r="F138" s="3" t="s">
        <v>29</v>
      </c>
      <c r="G138" s="9" t="s">
        <v>744</v>
      </c>
      <c r="H138" s="9" t="s">
        <v>745</v>
      </c>
      <c r="I138" s="3"/>
      <c r="J138" s="3"/>
      <c r="K138" s="9"/>
    </row>
    <row r="139" ht="15.75" customHeight="1">
      <c r="A139" s="10" t="s">
        <v>12</v>
      </c>
      <c r="B139" s="10" t="s">
        <v>14</v>
      </c>
      <c r="C139" s="10" t="s">
        <v>782</v>
      </c>
      <c r="D139" s="11" t="str">
        <f t="shared" si="1"/>
        <v>Abrir anúncio ↗</v>
      </c>
      <c r="E139" s="12" t="s">
        <v>784</v>
      </c>
      <c r="F139" s="10" t="s">
        <v>29</v>
      </c>
      <c r="G139" s="12" t="s">
        <v>30</v>
      </c>
      <c r="H139" s="12" t="s">
        <v>31</v>
      </c>
      <c r="I139" s="10"/>
      <c r="J139" s="10"/>
      <c r="K139" s="12"/>
    </row>
    <row r="140" ht="15.75" customHeight="1">
      <c r="A140" s="3" t="s">
        <v>12</v>
      </c>
      <c r="B140" s="3" t="s">
        <v>14</v>
      </c>
      <c r="C140" s="3" t="s">
        <v>788</v>
      </c>
      <c r="D140" s="8" t="str">
        <f t="shared" si="1"/>
        <v>Abrir anúncio ↗</v>
      </c>
      <c r="E140" s="9" t="s">
        <v>790</v>
      </c>
      <c r="F140" s="3" t="s">
        <v>29</v>
      </c>
      <c r="G140" s="9" t="s">
        <v>30</v>
      </c>
      <c r="H140" s="9" t="s">
        <v>31</v>
      </c>
      <c r="I140" s="3"/>
      <c r="J140" s="3"/>
      <c r="K140" s="9"/>
    </row>
    <row r="141" ht="15.75" customHeight="1">
      <c r="A141" s="10" t="s">
        <v>12</v>
      </c>
      <c r="B141" s="10" t="s">
        <v>14</v>
      </c>
      <c r="C141" s="10" t="s">
        <v>793</v>
      </c>
      <c r="D141" s="11" t="str">
        <f t="shared" si="1"/>
        <v>Abrir anúncio ↗</v>
      </c>
      <c r="E141" s="12" t="s">
        <v>794</v>
      </c>
      <c r="F141" s="10" t="s">
        <v>29</v>
      </c>
      <c r="G141" s="12" t="s">
        <v>30</v>
      </c>
      <c r="H141" s="12" t="s">
        <v>31</v>
      </c>
      <c r="I141" s="10"/>
      <c r="J141" s="10"/>
      <c r="K141" s="12"/>
    </row>
    <row r="142" ht="15.75" customHeight="1">
      <c r="A142" s="3" t="s">
        <v>12</v>
      </c>
      <c r="B142" s="3" t="s">
        <v>14</v>
      </c>
      <c r="C142" s="3" t="s">
        <v>796</v>
      </c>
      <c r="D142" s="8" t="str">
        <f t="shared" si="1"/>
        <v>Abrir anúncio ↗</v>
      </c>
      <c r="E142" s="9" t="s">
        <v>797</v>
      </c>
      <c r="F142" s="3" t="s">
        <v>29</v>
      </c>
      <c r="G142" s="9" t="s">
        <v>30</v>
      </c>
      <c r="H142" s="9" t="s">
        <v>31</v>
      </c>
      <c r="I142" s="3"/>
      <c r="J142" s="3"/>
      <c r="K142" s="9"/>
    </row>
    <row r="143" ht="15.75" customHeight="1">
      <c r="A143" s="10" t="s">
        <v>12</v>
      </c>
      <c r="B143" s="10" t="s">
        <v>14</v>
      </c>
      <c r="C143" s="10" t="s">
        <v>801</v>
      </c>
      <c r="D143" s="11" t="str">
        <f t="shared" si="1"/>
        <v>Abrir anúncio ↗</v>
      </c>
      <c r="E143" s="12" t="s">
        <v>484</v>
      </c>
      <c r="F143" s="10" t="s">
        <v>29</v>
      </c>
      <c r="G143" s="12" t="s">
        <v>744</v>
      </c>
      <c r="H143" s="12" t="s">
        <v>745</v>
      </c>
      <c r="I143" s="10"/>
      <c r="J143" s="10"/>
      <c r="K143" s="12"/>
    </row>
    <row r="144" ht="15.75" customHeight="1">
      <c r="A144" s="3" t="s">
        <v>12</v>
      </c>
      <c r="B144" s="3" t="s">
        <v>14</v>
      </c>
      <c r="C144" s="3" t="s">
        <v>806</v>
      </c>
      <c r="D144" s="8" t="str">
        <f t="shared" si="1"/>
        <v>Abrir anúncio ↗</v>
      </c>
      <c r="E144" s="9" t="s">
        <v>319</v>
      </c>
      <c r="F144" s="3" t="s">
        <v>29</v>
      </c>
      <c r="G144" s="9" t="s">
        <v>30</v>
      </c>
      <c r="H144" s="9" t="s">
        <v>31</v>
      </c>
      <c r="I144" s="3"/>
      <c r="J144" s="3"/>
      <c r="K144" s="9"/>
    </row>
    <row r="145" ht="15.75" customHeight="1">
      <c r="A145" s="10" t="s">
        <v>12</v>
      </c>
      <c r="B145" s="10" t="s">
        <v>14</v>
      </c>
      <c r="C145" s="10" t="s">
        <v>810</v>
      </c>
      <c r="D145" s="11" t="str">
        <f t="shared" si="1"/>
        <v>Abrir anúncio ↗</v>
      </c>
      <c r="E145" s="12" t="s">
        <v>811</v>
      </c>
      <c r="F145" s="10" t="s">
        <v>86</v>
      </c>
      <c r="G145" s="12" t="s">
        <v>30</v>
      </c>
      <c r="H145" s="12" t="s">
        <v>31</v>
      </c>
      <c r="I145" s="10"/>
      <c r="J145" s="10"/>
      <c r="K145" s="12"/>
    </row>
    <row r="146" ht="15.75" customHeight="1">
      <c r="A146" s="3" t="s">
        <v>12</v>
      </c>
      <c r="B146" s="3" t="s">
        <v>14</v>
      </c>
      <c r="C146" s="3" t="s">
        <v>815</v>
      </c>
      <c r="D146" s="8" t="str">
        <f t="shared" si="1"/>
        <v>Abrir anúncio ↗</v>
      </c>
      <c r="E146" s="9" t="s">
        <v>547</v>
      </c>
      <c r="F146" s="3" t="s">
        <v>29</v>
      </c>
      <c r="G146" s="9" t="s">
        <v>744</v>
      </c>
      <c r="H146" s="9" t="s">
        <v>745</v>
      </c>
      <c r="I146" s="3"/>
      <c r="J146" s="3"/>
      <c r="K146" s="9"/>
    </row>
    <row r="147" ht="15.75" customHeight="1">
      <c r="A147" s="10" t="s">
        <v>12</v>
      </c>
      <c r="B147" s="10" t="s">
        <v>14</v>
      </c>
      <c r="C147" s="10" t="s">
        <v>818</v>
      </c>
      <c r="D147" s="11" t="str">
        <f t="shared" si="1"/>
        <v>Abrir anúncio ↗</v>
      </c>
      <c r="E147" s="12" t="s">
        <v>820</v>
      </c>
      <c r="F147" s="10" t="s">
        <v>29</v>
      </c>
      <c r="G147" s="12" t="s">
        <v>744</v>
      </c>
      <c r="H147" s="12" t="s">
        <v>745</v>
      </c>
      <c r="I147" s="10"/>
      <c r="J147" s="10"/>
      <c r="K147" s="12"/>
    </row>
    <row r="148" ht="15.75" customHeight="1">
      <c r="A148" s="3" t="s">
        <v>12</v>
      </c>
      <c r="B148" s="3" t="s">
        <v>14</v>
      </c>
      <c r="C148" s="3" t="s">
        <v>825</v>
      </c>
      <c r="D148" s="8" t="str">
        <f t="shared" si="1"/>
        <v>Abrir anúncio ↗</v>
      </c>
      <c r="E148" s="9" t="s">
        <v>826</v>
      </c>
      <c r="F148" s="3" t="s">
        <v>29</v>
      </c>
      <c r="G148" s="9" t="s">
        <v>744</v>
      </c>
      <c r="H148" s="9" t="s">
        <v>745</v>
      </c>
      <c r="I148" s="3"/>
      <c r="J148" s="3"/>
      <c r="K148" s="9"/>
    </row>
    <row r="149" ht="15.75" customHeight="1">
      <c r="A149" s="10" t="s">
        <v>12</v>
      </c>
      <c r="B149" s="10" t="s">
        <v>14</v>
      </c>
      <c r="C149" s="10" t="s">
        <v>830</v>
      </c>
      <c r="D149" s="11" t="str">
        <f t="shared" si="1"/>
        <v>Abrir anúncio ↗</v>
      </c>
      <c r="E149" s="12" t="s">
        <v>833</v>
      </c>
      <c r="F149" s="10" t="s">
        <v>29</v>
      </c>
      <c r="G149" s="12" t="s">
        <v>744</v>
      </c>
      <c r="H149" s="12" t="s">
        <v>745</v>
      </c>
      <c r="I149" s="10"/>
      <c r="J149" s="10"/>
      <c r="K149" s="12"/>
    </row>
    <row r="150" ht="15.75" customHeight="1">
      <c r="A150" s="3" t="s">
        <v>12</v>
      </c>
      <c r="B150" s="3" t="s">
        <v>14</v>
      </c>
      <c r="C150" s="3" t="s">
        <v>836</v>
      </c>
      <c r="D150" s="8" t="str">
        <f t="shared" si="1"/>
        <v>Abrir anúncio ↗</v>
      </c>
      <c r="E150" s="9" t="s">
        <v>839</v>
      </c>
      <c r="F150" s="3" t="s">
        <v>29</v>
      </c>
      <c r="G150" s="9" t="s">
        <v>841</v>
      </c>
      <c r="H150" s="9" t="s">
        <v>842</v>
      </c>
      <c r="I150" s="3"/>
      <c r="J150" s="3"/>
      <c r="K150" s="9"/>
    </row>
    <row r="151" ht="15.75" customHeight="1">
      <c r="A151" s="10" t="s">
        <v>12</v>
      </c>
      <c r="B151" s="10" t="s">
        <v>14</v>
      </c>
      <c r="C151" s="10" t="s">
        <v>846</v>
      </c>
      <c r="D151" s="11" t="str">
        <f t="shared" si="1"/>
        <v>Abrir anúncio ↗</v>
      </c>
      <c r="E151" s="12" t="s">
        <v>847</v>
      </c>
      <c r="F151" s="10" t="s">
        <v>29</v>
      </c>
      <c r="G151" s="12" t="s">
        <v>744</v>
      </c>
      <c r="H151" s="12" t="s">
        <v>745</v>
      </c>
      <c r="I151" s="10"/>
      <c r="J151" s="10"/>
      <c r="K151" s="12"/>
    </row>
    <row r="152" ht="15.75" customHeight="1">
      <c r="A152" s="3" t="s">
        <v>12</v>
      </c>
      <c r="B152" s="3" t="s">
        <v>14</v>
      </c>
      <c r="C152" s="3" t="s">
        <v>852</v>
      </c>
      <c r="D152" s="8" t="str">
        <f t="shared" si="1"/>
        <v>Abrir anúncio ↗</v>
      </c>
      <c r="E152" s="9" t="s">
        <v>443</v>
      </c>
      <c r="F152" s="3" t="s">
        <v>29</v>
      </c>
      <c r="G152" s="9" t="s">
        <v>744</v>
      </c>
      <c r="H152" s="9" t="s">
        <v>745</v>
      </c>
      <c r="I152" s="3"/>
      <c r="J152" s="3"/>
      <c r="K152" s="9"/>
    </row>
    <row r="153" ht="15.75" customHeight="1">
      <c r="A153" s="10" t="s">
        <v>12</v>
      </c>
      <c r="B153" s="10" t="s">
        <v>14</v>
      </c>
      <c r="C153" s="10" t="s">
        <v>857</v>
      </c>
      <c r="D153" s="11" t="str">
        <f t="shared" si="1"/>
        <v>Abrir anúncio ↗</v>
      </c>
      <c r="E153" s="12" t="s">
        <v>858</v>
      </c>
      <c r="F153" s="10" t="s">
        <v>29</v>
      </c>
      <c r="G153" s="12" t="s">
        <v>744</v>
      </c>
      <c r="H153" s="12" t="s">
        <v>745</v>
      </c>
      <c r="I153" s="10"/>
      <c r="J153" s="10"/>
      <c r="K153" s="12"/>
    </row>
    <row r="154" ht="15.75" customHeight="1">
      <c r="A154" s="3" t="s">
        <v>12</v>
      </c>
      <c r="B154" s="3" t="s">
        <v>14</v>
      </c>
      <c r="C154" s="3" t="s">
        <v>863</v>
      </c>
      <c r="D154" s="8" t="str">
        <f t="shared" si="1"/>
        <v>Abrir anúncio ↗</v>
      </c>
      <c r="E154" s="9" t="s">
        <v>611</v>
      </c>
      <c r="F154" s="3" t="s">
        <v>29</v>
      </c>
      <c r="G154" s="9" t="s">
        <v>744</v>
      </c>
      <c r="H154" s="9" t="s">
        <v>745</v>
      </c>
      <c r="I154" s="3"/>
      <c r="J154" s="3"/>
      <c r="K154" s="9"/>
    </row>
    <row r="155" ht="15.75" customHeight="1">
      <c r="A155" s="10" t="s">
        <v>12</v>
      </c>
      <c r="B155" s="10" t="s">
        <v>14</v>
      </c>
      <c r="C155" s="10" t="s">
        <v>866</v>
      </c>
      <c r="D155" s="11" t="str">
        <f t="shared" si="1"/>
        <v>Abrir anúncio ↗</v>
      </c>
      <c r="E155" s="12" t="s">
        <v>868</v>
      </c>
      <c r="F155" s="10" t="s">
        <v>29</v>
      </c>
      <c r="G155" s="12" t="s">
        <v>238</v>
      </c>
      <c r="H155" s="12" t="s">
        <v>871</v>
      </c>
      <c r="I155" s="10"/>
      <c r="J155" s="10"/>
      <c r="K155" s="12"/>
    </row>
    <row r="156" ht="15.75" customHeight="1">
      <c r="A156" s="3" t="s">
        <v>12</v>
      </c>
      <c r="B156" s="3" t="s">
        <v>14</v>
      </c>
      <c r="C156" s="3" t="s">
        <v>874</v>
      </c>
      <c r="D156" s="8" t="str">
        <f t="shared" si="1"/>
        <v>Abrir anúncio ↗</v>
      </c>
      <c r="E156" s="9" t="s">
        <v>875</v>
      </c>
      <c r="F156" s="3" t="s">
        <v>29</v>
      </c>
      <c r="G156" s="9" t="s">
        <v>30</v>
      </c>
      <c r="H156" s="9" t="s">
        <v>31</v>
      </c>
      <c r="I156" s="3"/>
      <c r="J156" s="3"/>
      <c r="K156" s="9"/>
    </row>
    <row r="157" ht="15.75" customHeight="1">
      <c r="A157" s="10" t="s">
        <v>12</v>
      </c>
      <c r="B157" s="10" t="s">
        <v>14</v>
      </c>
      <c r="C157" s="10" t="s">
        <v>878</v>
      </c>
      <c r="D157" s="11" t="str">
        <f t="shared" si="1"/>
        <v>Abrir anúncio ↗</v>
      </c>
      <c r="E157" s="12" t="s">
        <v>533</v>
      </c>
      <c r="F157" s="10" t="s">
        <v>29</v>
      </c>
      <c r="G157" s="12" t="s">
        <v>30</v>
      </c>
      <c r="H157" s="12" t="s">
        <v>31</v>
      </c>
      <c r="I157" s="10"/>
      <c r="J157" s="10"/>
      <c r="K157" s="12"/>
    </row>
    <row r="158" ht="15.75" customHeight="1">
      <c r="A158" s="3" t="s">
        <v>12</v>
      </c>
      <c r="B158" s="3" t="s">
        <v>14</v>
      </c>
      <c r="C158" s="3" t="s">
        <v>884</v>
      </c>
      <c r="D158" s="8" t="str">
        <f t="shared" si="1"/>
        <v>Abrir anúncio ↗</v>
      </c>
      <c r="E158" s="9" t="s">
        <v>590</v>
      </c>
      <c r="F158" s="3" t="s">
        <v>29</v>
      </c>
      <c r="G158" s="9" t="s">
        <v>30</v>
      </c>
      <c r="H158" s="9" t="s">
        <v>31</v>
      </c>
      <c r="I158" s="3"/>
      <c r="J158" s="3"/>
      <c r="K158" s="9"/>
    </row>
    <row r="159" ht="15.75" customHeight="1">
      <c r="A159" s="10" t="s">
        <v>12</v>
      </c>
      <c r="B159" s="10" t="s">
        <v>14</v>
      </c>
      <c r="C159" s="10" t="s">
        <v>888</v>
      </c>
      <c r="D159" s="11" t="str">
        <f t="shared" si="1"/>
        <v>Abrir anúncio ↗</v>
      </c>
      <c r="E159" s="12" t="s">
        <v>891</v>
      </c>
      <c r="F159" s="10" t="s">
        <v>29</v>
      </c>
      <c r="G159" s="12" t="s">
        <v>892</v>
      </c>
      <c r="H159" s="12" t="s">
        <v>894</v>
      </c>
      <c r="I159" s="10"/>
      <c r="J159" s="10"/>
      <c r="K159" s="12"/>
    </row>
    <row r="160" ht="15.75" customHeight="1">
      <c r="A160" s="3" t="s">
        <v>12</v>
      </c>
      <c r="B160" s="3" t="s">
        <v>14</v>
      </c>
      <c r="C160" s="3" t="s">
        <v>896</v>
      </c>
      <c r="D160" s="8" t="str">
        <f t="shared" si="1"/>
        <v>Abrir anúncio ↗</v>
      </c>
      <c r="E160" s="9" t="s">
        <v>478</v>
      </c>
      <c r="F160" s="3" t="s">
        <v>29</v>
      </c>
      <c r="G160" s="9" t="s">
        <v>30</v>
      </c>
      <c r="H160" s="9" t="s">
        <v>31</v>
      </c>
      <c r="I160" s="3"/>
      <c r="J160" s="3"/>
      <c r="K160" s="9"/>
    </row>
    <row r="161" ht="15.75" customHeight="1">
      <c r="A161" s="10" t="s">
        <v>12</v>
      </c>
      <c r="B161" s="10" t="s">
        <v>14</v>
      </c>
      <c r="C161" s="10" t="s">
        <v>902</v>
      </c>
      <c r="D161" s="11" t="str">
        <f t="shared" si="1"/>
        <v>Abrir anúncio ↗</v>
      </c>
      <c r="E161" s="12" t="s">
        <v>904</v>
      </c>
      <c r="F161" s="10" t="s">
        <v>29</v>
      </c>
      <c r="G161" s="12" t="s">
        <v>238</v>
      </c>
      <c r="H161" s="12" t="s">
        <v>906</v>
      </c>
      <c r="I161" s="10"/>
      <c r="J161" s="10"/>
      <c r="K161" s="12"/>
    </row>
    <row r="162" ht="15.75" customHeight="1">
      <c r="A162" s="3" t="s">
        <v>12</v>
      </c>
      <c r="B162" s="3" t="s">
        <v>14</v>
      </c>
      <c r="C162" s="3" t="s">
        <v>910</v>
      </c>
      <c r="D162" s="8" t="str">
        <f t="shared" si="1"/>
        <v>Abrir anúncio ↗</v>
      </c>
      <c r="E162" s="9" t="s">
        <v>911</v>
      </c>
      <c r="F162" s="3" t="s">
        <v>29</v>
      </c>
      <c r="G162" s="9" t="s">
        <v>30</v>
      </c>
      <c r="H162" s="9" t="s">
        <v>31</v>
      </c>
      <c r="I162" s="3"/>
      <c r="J162" s="3"/>
      <c r="K162" s="9"/>
    </row>
    <row r="163" ht="15.75" customHeight="1">
      <c r="A163" s="10" t="s">
        <v>12</v>
      </c>
      <c r="B163" s="10" t="s">
        <v>14</v>
      </c>
      <c r="C163" s="10" t="s">
        <v>913</v>
      </c>
      <c r="D163" s="11" t="str">
        <f t="shared" si="1"/>
        <v>Abrir anúncio ↗</v>
      </c>
      <c r="E163" s="12" t="s">
        <v>915</v>
      </c>
      <c r="F163" s="10" t="s">
        <v>29</v>
      </c>
      <c r="G163" s="12" t="s">
        <v>238</v>
      </c>
      <c r="H163" s="12" t="s">
        <v>918</v>
      </c>
      <c r="I163" s="10"/>
      <c r="J163" s="10"/>
      <c r="K163" s="12"/>
    </row>
    <row r="164" ht="15.75" customHeight="1">
      <c r="A164" s="3" t="s">
        <v>12</v>
      </c>
      <c r="B164" s="3" t="s">
        <v>14</v>
      </c>
      <c r="C164" s="3" t="s">
        <v>921</v>
      </c>
      <c r="D164" s="8" t="str">
        <f t="shared" si="1"/>
        <v>Abrir anúncio ↗</v>
      </c>
      <c r="E164" s="9" t="s">
        <v>922</v>
      </c>
      <c r="F164" s="3" t="s">
        <v>29</v>
      </c>
      <c r="G164" s="9" t="s">
        <v>30</v>
      </c>
      <c r="H164" s="9" t="s">
        <v>31</v>
      </c>
      <c r="I164" s="3"/>
      <c r="J164" s="3"/>
      <c r="K164" s="9"/>
    </row>
    <row r="165" ht="15.75" customHeight="1">
      <c r="A165" s="10" t="s">
        <v>12</v>
      </c>
      <c r="B165" s="10" t="s">
        <v>14</v>
      </c>
      <c r="C165" s="10" t="s">
        <v>925</v>
      </c>
      <c r="D165" s="11" t="str">
        <f t="shared" si="1"/>
        <v>Abrir anúncio ↗</v>
      </c>
      <c r="E165" s="12" t="s">
        <v>927</v>
      </c>
      <c r="F165" s="10" t="s">
        <v>29</v>
      </c>
      <c r="G165" s="12" t="s">
        <v>30</v>
      </c>
      <c r="H165" s="12" t="s">
        <v>31</v>
      </c>
      <c r="I165" s="10"/>
      <c r="J165" s="10"/>
      <c r="K165" s="12"/>
    </row>
    <row r="166" ht="15.75" customHeight="1">
      <c r="A166" s="3" t="s">
        <v>12</v>
      </c>
      <c r="B166" s="3" t="s">
        <v>14</v>
      </c>
      <c r="C166" s="3" t="s">
        <v>931</v>
      </c>
      <c r="D166" s="8" t="str">
        <f t="shared" si="1"/>
        <v>Abrir anúncio ↗</v>
      </c>
      <c r="E166" s="9" t="s">
        <v>932</v>
      </c>
      <c r="F166" s="3" t="s">
        <v>29</v>
      </c>
      <c r="G166" s="9" t="s">
        <v>238</v>
      </c>
      <c r="H166" s="9" t="s">
        <v>934</v>
      </c>
      <c r="I166" s="3"/>
      <c r="J166" s="3"/>
      <c r="K166" s="9"/>
    </row>
    <row r="167" ht="15.75" customHeight="1">
      <c r="A167" s="10" t="s">
        <v>12</v>
      </c>
      <c r="B167" s="10" t="s">
        <v>14</v>
      </c>
      <c r="C167" s="10" t="s">
        <v>936</v>
      </c>
      <c r="D167" s="11" t="str">
        <f t="shared" si="1"/>
        <v>Abrir anúncio ↗</v>
      </c>
      <c r="E167" s="12" t="s">
        <v>939</v>
      </c>
      <c r="F167" s="10" t="s">
        <v>29</v>
      </c>
      <c r="G167" s="12" t="s">
        <v>30</v>
      </c>
      <c r="H167" s="12" t="s">
        <v>31</v>
      </c>
      <c r="I167" s="10"/>
      <c r="J167" s="10"/>
      <c r="K167" s="12"/>
    </row>
    <row r="168" ht="15.75" customHeight="1">
      <c r="A168" s="3" t="s">
        <v>12</v>
      </c>
      <c r="B168" s="3" t="s">
        <v>14</v>
      </c>
      <c r="C168" s="3" t="s">
        <v>943</v>
      </c>
      <c r="D168" s="8" t="str">
        <f t="shared" si="1"/>
        <v>Abrir anúncio ↗</v>
      </c>
      <c r="E168" s="9" t="s">
        <v>797</v>
      </c>
      <c r="F168" s="3" t="s">
        <v>29</v>
      </c>
      <c r="G168" s="9" t="s">
        <v>30</v>
      </c>
      <c r="H168" s="9" t="s">
        <v>31</v>
      </c>
      <c r="I168" s="3"/>
      <c r="J168" s="3"/>
      <c r="K168" s="9"/>
    </row>
    <row r="169" ht="15.75" customHeight="1">
      <c r="A169" s="10" t="s">
        <v>12</v>
      </c>
      <c r="B169" s="10" t="s">
        <v>14</v>
      </c>
      <c r="C169" s="10" t="s">
        <v>947</v>
      </c>
      <c r="D169" s="11" t="str">
        <f t="shared" si="1"/>
        <v>Abrir anúncio ↗</v>
      </c>
      <c r="E169" s="12" t="s">
        <v>948</v>
      </c>
      <c r="F169" s="10" t="s">
        <v>29</v>
      </c>
      <c r="G169" s="12" t="s">
        <v>30</v>
      </c>
      <c r="H169" s="12" t="s">
        <v>31</v>
      </c>
      <c r="I169" s="10"/>
      <c r="J169" s="10"/>
      <c r="K169" s="12"/>
    </row>
    <row r="170" ht="15.75" customHeight="1">
      <c r="A170" s="3" t="s">
        <v>12</v>
      </c>
      <c r="B170" s="3" t="s">
        <v>14</v>
      </c>
      <c r="C170" s="3" t="s">
        <v>953</v>
      </c>
      <c r="D170" s="8" t="str">
        <f t="shared" si="1"/>
        <v>Abrir anúncio ↗</v>
      </c>
      <c r="E170" s="9" t="s">
        <v>954</v>
      </c>
      <c r="F170" s="3" t="s">
        <v>29</v>
      </c>
      <c r="G170" s="9" t="s">
        <v>238</v>
      </c>
      <c r="H170" s="9" t="s">
        <v>955</v>
      </c>
      <c r="I170" s="3"/>
      <c r="J170" s="3"/>
      <c r="K170" s="9"/>
    </row>
    <row r="171" ht="15.75" customHeight="1">
      <c r="A171" s="10" t="s">
        <v>12</v>
      </c>
      <c r="B171" s="10" t="s">
        <v>14</v>
      </c>
      <c r="C171" s="10" t="s">
        <v>959</v>
      </c>
      <c r="D171" s="11" t="str">
        <f t="shared" si="1"/>
        <v>Abrir anúncio ↗</v>
      </c>
      <c r="E171" s="12" t="s">
        <v>961</v>
      </c>
      <c r="F171" s="10" t="s">
        <v>29</v>
      </c>
      <c r="G171" s="12" t="s">
        <v>238</v>
      </c>
      <c r="H171" s="12" t="s">
        <v>963</v>
      </c>
      <c r="I171" s="10"/>
      <c r="J171" s="10"/>
      <c r="K171" s="12"/>
    </row>
    <row r="172" ht="15.75" customHeight="1">
      <c r="A172" s="3" t="s">
        <v>12</v>
      </c>
      <c r="B172" s="3" t="s">
        <v>14</v>
      </c>
      <c r="C172" s="3" t="s">
        <v>966</v>
      </c>
      <c r="D172" s="8" t="str">
        <f t="shared" si="1"/>
        <v>Abrir anúncio ↗</v>
      </c>
      <c r="E172" s="9" t="s">
        <v>502</v>
      </c>
      <c r="F172" s="3" t="s">
        <v>29</v>
      </c>
      <c r="G172" s="9" t="s">
        <v>30</v>
      </c>
      <c r="H172" s="9" t="s">
        <v>31</v>
      </c>
      <c r="I172" s="3"/>
      <c r="J172" s="3"/>
      <c r="K172" s="9"/>
    </row>
    <row r="173" ht="15.75" customHeight="1">
      <c r="A173" s="10" t="s">
        <v>12</v>
      </c>
      <c r="B173" s="10" t="s">
        <v>14</v>
      </c>
      <c r="C173" s="10" t="s">
        <v>973</v>
      </c>
      <c r="D173" s="11" t="str">
        <f t="shared" si="1"/>
        <v>Abrir anúncio ↗</v>
      </c>
      <c r="E173" s="12" t="s">
        <v>975</v>
      </c>
      <c r="F173" s="10" t="s">
        <v>29</v>
      </c>
      <c r="G173" s="12" t="s">
        <v>238</v>
      </c>
      <c r="H173" s="12" t="s">
        <v>977</v>
      </c>
      <c r="I173" s="10"/>
      <c r="J173" s="10"/>
      <c r="K173" s="12"/>
    </row>
    <row r="174" ht="15.75" customHeight="1">
      <c r="A174" s="3" t="s">
        <v>12</v>
      </c>
      <c r="B174" s="3" t="s">
        <v>14</v>
      </c>
      <c r="C174" s="3" t="s">
        <v>981</v>
      </c>
      <c r="D174" s="8" t="str">
        <f t="shared" si="1"/>
        <v>Abrir anúncio ↗</v>
      </c>
      <c r="E174" s="9" t="s">
        <v>983</v>
      </c>
      <c r="F174" s="3" t="s">
        <v>29</v>
      </c>
      <c r="G174" s="9" t="s">
        <v>30</v>
      </c>
      <c r="H174" s="9" t="s">
        <v>31</v>
      </c>
      <c r="I174" s="3"/>
      <c r="J174" s="3"/>
      <c r="K174" s="9"/>
    </row>
    <row r="175" ht="15.75" customHeight="1">
      <c r="A175" s="10" t="s">
        <v>12</v>
      </c>
      <c r="B175" s="10" t="s">
        <v>14</v>
      </c>
      <c r="C175" s="10" t="s">
        <v>987</v>
      </c>
      <c r="D175" s="11" t="str">
        <f t="shared" si="1"/>
        <v>Abrir anúncio ↗</v>
      </c>
      <c r="E175" s="12" t="s">
        <v>989</v>
      </c>
      <c r="F175" s="10" t="s">
        <v>29</v>
      </c>
      <c r="G175" s="12" t="s">
        <v>892</v>
      </c>
      <c r="H175" s="12" t="s">
        <v>992</v>
      </c>
      <c r="I175" s="10"/>
      <c r="J175" s="10"/>
      <c r="K175" s="12"/>
    </row>
    <row r="176" ht="15.75" customHeight="1">
      <c r="A176" s="3" t="s">
        <v>12</v>
      </c>
      <c r="B176" s="3" t="s">
        <v>14</v>
      </c>
      <c r="C176" s="3" t="s">
        <v>995</v>
      </c>
      <c r="D176" s="8" t="str">
        <f t="shared" si="1"/>
        <v>Abrir anúncio ↗</v>
      </c>
      <c r="E176" s="9" t="s">
        <v>688</v>
      </c>
      <c r="F176" s="3" t="s">
        <v>29</v>
      </c>
      <c r="G176" s="9" t="s">
        <v>30</v>
      </c>
      <c r="H176" s="9" t="s">
        <v>31</v>
      </c>
      <c r="I176" s="3"/>
      <c r="J176" s="3"/>
      <c r="K176" s="9"/>
    </row>
    <row r="177" ht="15.75" customHeight="1">
      <c r="A177" s="10" t="s">
        <v>12</v>
      </c>
      <c r="B177" s="10" t="s">
        <v>14</v>
      </c>
      <c r="C177" s="10" t="s">
        <v>1002</v>
      </c>
      <c r="D177" s="11" t="str">
        <f t="shared" si="1"/>
        <v>Abrir anúncio ↗</v>
      </c>
      <c r="E177" s="12" t="s">
        <v>1004</v>
      </c>
      <c r="F177" s="10" t="s">
        <v>29</v>
      </c>
      <c r="G177" s="12" t="s">
        <v>238</v>
      </c>
      <c r="H177" s="12" t="s">
        <v>1006</v>
      </c>
      <c r="I177" s="10"/>
      <c r="J177" s="10"/>
      <c r="K177" s="12"/>
    </row>
    <row r="178" ht="15.75" customHeight="1">
      <c r="A178" s="3" t="s">
        <v>12</v>
      </c>
      <c r="B178" s="3" t="s">
        <v>14</v>
      </c>
      <c r="C178" s="3" t="s">
        <v>1008</v>
      </c>
      <c r="D178" s="8" t="str">
        <f t="shared" si="1"/>
        <v>Abrir anúncio ↗</v>
      </c>
      <c r="E178" s="9" t="s">
        <v>1010</v>
      </c>
      <c r="F178" s="3" t="s">
        <v>29</v>
      </c>
      <c r="G178" s="9" t="s">
        <v>238</v>
      </c>
      <c r="H178" s="9" t="s">
        <v>977</v>
      </c>
      <c r="I178" s="3"/>
      <c r="J178" s="3"/>
      <c r="K178" s="9"/>
    </row>
    <row r="179" ht="15.75" customHeight="1">
      <c r="A179" s="10" t="s">
        <v>12</v>
      </c>
      <c r="B179" s="10" t="s">
        <v>14</v>
      </c>
      <c r="C179" s="10" t="s">
        <v>1016</v>
      </c>
      <c r="D179" s="11" t="str">
        <f t="shared" si="1"/>
        <v>Abrir anúncio ↗</v>
      </c>
      <c r="E179" s="12" t="s">
        <v>594</v>
      </c>
      <c r="F179" s="10" t="s">
        <v>29</v>
      </c>
      <c r="G179" s="12" t="s">
        <v>30</v>
      </c>
      <c r="H179" s="12" t="s">
        <v>31</v>
      </c>
      <c r="I179" s="10"/>
      <c r="J179" s="10"/>
      <c r="K179" s="12"/>
    </row>
    <row r="180" ht="15.75" customHeight="1">
      <c r="A180" s="3" t="s">
        <v>12</v>
      </c>
      <c r="B180" s="3" t="s">
        <v>14</v>
      </c>
      <c r="C180" s="3" t="s">
        <v>1021</v>
      </c>
      <c r="D180" s="8" t="str">
        <f t="shared" si="1"/>
        <v>Abrir anúncio ↗</v>
      </c>
      <c r="E180" s="9" t="s">
        <v>1024</v>
      </c>
      <c r="F180" s="3" t="s">
        <v>29</v>
      </c>
      <c r="G180" s="9" t="s">
        <v>30</v>
      </c>
      <c r="H180" s="9" t="s">
        <v>31</v>
      </c>
      <c r="I180" s="3"/>
      <c r="J180" s="3"/>
      <c r="K180" s="9"/>
    </row>
    <row r="181" ht="15.75" customHeight="1">
      <c r="A181" s="10" t="s">
        <v>12</v>
      </c>
      <c r="B181" s="10" t="s">
        <v>14</v>
      </c>
      <c r="C181" s="10" t="s">
        <v>1026</v>
      </c>
      <c r="D181" s="11" t="str">
        <f t="shared" si="1"/>
        <v>Abrir anúncio ↗</v>
      </c>
      <c r="E181" s="12" t="s">
        <v>1027</v>
      </c>
      <c r="F181" s="10" t="s">
        <v>29</v>
      </c>
      <c r="G181" s="12" t="s">
        <v>238</v>
      </c>
      <c r="H181" s="12" t="s">
        <v>1031</v>
      </c>
      <c r="I181" s="10"/>
      <c r="J181" s="10"/>
      <c r="K181" s="12"/>
    </row>
    <row r="182" ht="15.75" customHeight="1">
      <c r="A182" s="3" t="s">
        <v>12</v>
      </c>
      <c r="B182" s="3" t="s">
        <v>14</v>
      </c>
      <c r="C182" s="3" t="s">
        <v>1034</v>
      </c>
      <c r="D182" s="8" t="str">
        <f t="shared" si="1"/>
        <v>Abrir anúncio ↗</v>
      </c>
      <c r="E182" s="9" t="s">
        <v>1024</v>
      </c>
      <c r="F182" s="3" t="s">
        <v>29</v>
      </c>
      <c r="G182" s="9" t="s">
        <v>30</v>
      </c>
      <c r="H182" s="9" t="s">
        <v>31</v>
      </c>
      <c r="I182" s="3"/>
      <c r="J182" s="3"/>
      <c r="K182" s="9"/>
    </row>
    <row r="183" ht="15.75" customHeight="1">
      <c r="A183" s="10" t="s">
        <v>12</v>
      </c>
      <c r="B183" s="10" t="s">
        <v>14</v>
      </c>
      <c r="C183" s="10" t="s">
        <v>1036</v>
      </c>
      <c r="D183" s="11" t="str">
        <f t="shared" si="1"/>
        <v>Abrir anúncio ↗</v>
      </c>
      <c r="E183" s="12" t="s">
        <v>1038</v>
      </c>
      <c r="F183" s="10" t="s">
        <v>86</v>
      </c>
      <c r="G183" s="12" t="s">
        <v>30</v>
      </c>
      <c r="H183" s="12" t="s">
        <v>31</v>
      </c>
      <c r="I183" s="10"/>
      <c r="J183" s="10"/>
      <c r="K183" s="12"/>
    </row>
    <row r="184" ht="15.75" customHeight="1">
      <c r="A184" s="3" t="s">
        <v>12</v>
      </c>
      <c r="B184" s="3" t="s">
        <v>14</v>
      </c>
      <c r="C184" s="3" t="s">
        <v>1042</v>
      </c>
      <c r="D184" s="8" t="str">
        <f t="shared" si="1"/>
        <v>Abrir anúncio ↗</v>
      </c>
      <c r="E184" s="9" t="s">
        <v>383</v>
      </c>
      <c r="F184" s="3" t="s">
        <v>29</v>
      </c>
      <c r="G184" s="9" t="s">
        <v>30</v>
      </c>
      <c r="H184" s="9" t="s">
        <v>31</v>
      </c>
      <c r="I184" s="3"/>
      <c r="J184" s="3"/>
      <c r="K184" s="9"/>
    </row>
    <row r="185" ht="15.75" customHeight="1">
      <c r="A185" s="10" t="s">
        <v>12</v>
      </c>
      <c r="B185" s="10" t="s">
        <v>14</v>
      </c>
      <c r="C185" s="10" t="s">
        <v>1049</v>
      </c>
      <c r="D185" s="11" t="str">
        <f t="shared" si="1"/>
        <v>Abrir anúncio ↗</v>
      </c>
      <c r="E185" s="12" t="s">
        <v>1050</v>
      </c>
      <c r="F185" s="10" t="s">
        <v>86</v>
      </c>
      <c r="G185" s="12" t="s">
        <v>30</v>
      </c>
      <c r="H185" s="12" t="s">
        <v>31</v>
      </c>
      <c r="I185" s="10"/>
      <c r="J185" s="10"/>
      <c r="K185" s="12"/>
    </row>
    <row r="186" ht="15.75" customHeight="1">
      <c r="A186" s="3" t="s">
        <v>12</v>
      </c>
      <c r="B186" s="3" t="s">
        <v>14</v>
      </c>
      <c r="C186" s="3" t="s">
        <v>1053</v>
      </c>
      <c r="D186" s="8" t="str">
        <f t="shared" si="1"/>
        <v>Abrir anúncio ↗</v>
      </c>
      <c r="E186" s="9" t="s">
        <v>1057</v>
      </c>
      <c r="F186" s="3" t="s">
        <v>29</v>
      </c>
      <c r="G186" s="9" t="s">
        <v>30</v>
      </c>
      <c r="H186" s="9" t="s">
        <v>31</v>
      </c>
      <c r="I186" s="3"/>
      <c r="J186" s="3"/>
      <c r="K186" s="9"/>
    </row>
    <row r="187" ht="15.75" customHeight="1">
      <c r="A187" s="10" t="s">
        <v>12</v>
      </c>
      <c r="B187" s="10" t="s">
        <v>14</v>
      </c>
      <c r="C187" s="10" t="s">
        <v>1062</v>
      </c>
      <c r="D187" s="11" t="str">
        <f t="shared" si="1"/>
        <v>Abrir anúncio ↗</v>
      </c>
      <c r="E187" s="12" t="s">
        <v>1063</v>
      </c>
      <c r="F187" s="10" t="s">
        <v>29</v>
      </c>
      <c r="G187" s="12" t="s">
        <v>238</v>
      </c>
      <c r="H187" s="12" t="s">
        <v>934</v>
      </c>
      <c r="I187" s="10"/>
      <c r="J187" s="10"/>
      <c r="K187" s="12"/>
    </row>
    <row r="188" ht="15.75" customHeight="1">
      <c r="A188" s="3" t="s">
        <v>12</v>
      </c>
      <c r="B188" s="3" t="s">
        <v>14</v>
      </c>
      <c r="C188" s="3" t="s">
        <v>1066</v>
      </c>
      <c r="D188" s="8" t="str">
        <f t="shared" si="1"/>
        <v>Abrir anúncio ↗</v>
      </c>
      <c r="E188" s="9" t="s">
        <v>84</v>
      </c>
      <c r="F188" s="3" t="s">
        <v>29</v>
      </c>
      <c r="G188" s="9" t="s">
        <v>1068</v>
      </c>
      <c r="H188" s="9" t="s">
        <v>1070</v>
      </c>
      <c r="I188" s="3"/>
      <c r="J188" s="3"/>
      <c r="K188" s="9"/>
    </row>
    <row r="189" ht="15.75" customHeight="1">
      <c r="A189" s="10" t="s">
        <v>12</v>
      </c>
      <c r="B189" s="10" t="s">
        <v>14</v>
      </c>
      <c r="C189" s="10" t="s">
        <v>1073</v>
      </c>
      <c r="D189" s="11" t="str">
        <f t="shared" si="1"/>
        <v>Abrir anúncio ↗</v>
      </c>
      <c r="E189" s="12" t="s">
        <v>1075</v>
      </c>
      <c r="F189" s="10" t="s">
        <v>29</v>
      </c>
      <c r="G189" s="12" t="s">
        <v>1077</v>
      </c>
      <c r="H189" s="12" t="s">
        <v>1078</v>
      </c>
      <c r="I189" s="10"/>
      <c r="J189" s="10"/>
      <c r="K189" s="12"/>
    </row>
    <row r="190" ht="15.75" customHeight="1">
      <c r="A190" s="3" t="s">
        <v>12</v>
      </c>
      <c r="B190" s="3" t="s">
        <v>14</v>
      </c>
      <c r="C190" s="3" t="s">
        <v>1081</v>
      </c>
      <c r="D190" s="8" t="str">
        <f t="shared" si="1"/>
        <v>Abrir anúncio ↗</v>
      </c>
      <c r="E190" s="9" t="s">
        <v>108</v>
      </c>
      <c r="F190" s="3" t="s">
        <v>86</v>
      </c>
      <c r="G190" s="9" t="s">
        <v>109</v>
      </c>
      <c r="H190" s="9" t="s">
        <v>110</v>
      </c>
      <c r="I190" s="3"/>
      <c r="J190" s="3"/>
      <c r="K190" s="9"/>
    </row>
    <row r="191" ht="15.75" customHeight="1">
      <c r="A191" s="10" t="s">
        <v>12</v>
      </c>
      <c r="B191" s="10" t="s">
        <v>14</v>
      </c>
      <c r="C191" s="10" t="s">
        <v>1087</v>
      </c>
      <c r="D191" s="11" t="str">
        <f t="shared" si="1"/>
        <v>Abrir anúncio ↗</v>
      </c>
      <c r="E191" s="12" t="s">
        <v>237</v>
      </c>
      <c r="F191" s="10" t="s">
        <v>29</v>
      </c>
      <c r="G191" s="12" t="s">
        <v>238</v>
      </c>
      <c r="H191" s="12" t="s">
        <v>240</v>
      </c>
      <c r="I191" s="10"/>
      <c r="J191" s="10"/>
      <c r="K191" s="12"/>
    </row>
    <row r="192" ht="15.75" customHeight="1">
      <c r="A192" s="3" t="s">
        <v>12</v>
      </c>
      <c r="B192" s="3" t="s">
        <v>14</v>
      </c>
      <c r="C192" s="3" t="s">
        <v>1092</v>
      </c>
      <c r="D192" s="8" t="str">
        <f t="shared" si="1"/>
        <v>Abrir anúncio ↗</v>
      </c>
      <c r="E192" s="9" t="s">
        <v>1094</v>
      </c>
      <c r="F192" s="3" t="s">
        <v>29</v>
      </c>
      <c r="G192" s="9" t="s">
        <v>30</v>
      </c>
      <c r="H192" s="9" t="s">
        <v>31</v>
      </c>
      <c r="I192" s="3"/>
      <c r="J192" s="3"/>
      <c r="K192" s="9"/>
    </row>
    <row r="193" ht="15.75" customHeight="1">
      <c r="A193" s="10" t="s">
        <v>12</v>
      </c>
      <c r="B193" s="10" t="s">
        <v>14</v>
      </c>
      <c r="C193" s="10" t="s">
        <v>1097</v>
      </c>
      <c r="D193" s="11" t="str">
        <f t="shared" si="1"/>
        <v>Abrir anúncio ↗</v>
      </c>
      <c r="E193" s="12" t="s">
        <v>1098</v>
      </c>
      <c r="F193" s="10" t="s">
        <v>29</v>
      </c>
      <c r="G193" s="12" t="s">
        <v>30</v>
      </c>
      <c r="H193" s="12" t="s">
        <v>31</v>
      </c>
      <c r="I193" s="10"/>
      <c r="J193" s="10"/>
      <c r="K193" s="12"/>
    </row>
    <row r="194" ht="15.75" customHeight="1">
      <c r="A194" s="3" t="s">
        <v>12</v>
      </c>
      <c r="B194" s="3" t="s">
        <v>14</v>
      </c>
      <c r="C194" s="3" t="s">
        <v>1102</v>
      </c>
      <c r="D194" s="8" t="str">
        <f t="shared" si="1"/>
        <v>Abrir anúncio ↗</v>
      </c>
      <c r="E194" s="9" t="s">
        <v>153</v>
      </c>
      <c r="F194" s="3" t="s">
        <v>29</v>
      </c>
      <c r="G194" s="9" t="s">
        <v>30</v>
      </c>
      <c r="H194" s="9" t="s">
        <v>31</v>
      </c>
      <c r="I194" s="3"/>
      <c r="J194" s="3"/>
      <c r="K194" s="9"/>
    </row>
    <row r="195" ht="15.75" customHeight="1">
      <c r="A195" s="10" t="s">
        <v>12</v>
      </c>
      <c r="B195" s="10" t="s">
        <v>14</v>
      </c>
      <c r="C195" s="10" t="s">
        <v>1108</v>
      </c>
      <c r="D195" s="11" t="str">
        <f t="shared" si="1"/>
        <v>Abrir anúncio ↗</v>
      </c>
      <c r="E195" s="12" t="s">
        <v>1110</v>
      </c>
      <c r="F195" s="10" t="s">
        <v>29</v>
      </c>
      <c r="G195" s="12" t="s">
        <v>1111</v>
      </c>
      <c r="H195" s="12" t="s">
        <v>1113</v>
      </c>
      <c r="I195" s="10"/>
      <c r="J195" s="10"/>
      <c r="K195" s="12"/>
    </row>
    <row r="196" ht="15.75" customHeight="1">
      <c r="A196" s="3" t="s">
        <v>12</v>
      </c>
      <c r="B196" s="3" t="s">
        <v>14</v>
      </c>
      <c r="C196" s="3" t="s">
        <v>1117</v>
      </c>
      <c r="D196" s="8" t="str">
        <f t="shared" si="1"/>
        <v>Abrir anúncio ↗</v>
      </c>
      <c r="E196" s="9" t="s">
        <v>1118</v>
      </c>
      <c r="F196" s="3" t="s">
        <v>29</v>
      </c>
      <c r="G196" s="9" t="s">
        <v>30</v>
      </c>
      <c r="H196" s="9" t="s">
        <v>31</v>
      </c>
      <c r="I196" s="3"/>
      <c r="J196" s="3"/>
      <c r="K196" s="9"/>
    </row>
    <row r="197" ht="15.75" customHeight="1">
      <c r="A197" s="10" t="s">
        <v>12</v>
      </c>
      <c r="B197" s="10" t="s">
        <v>14</v>
      </c>
      <c r="C197" s="10" t="s">
        <v>1120</v>
      </c>
      <c r="D197" s="11" t="str">
        <f t="shared" si="1"/>
        <v>Abrir anúncio ↗</v>
      </c>
      <c r="E197" s="12" t="s">
        <v>1122</v>
      </c>
      <c r="F197" s="10" t="s">
        <v>29</v>
      </c>
      <c r="G197" s="12" t="s">
        <v>841</v>
      </c>
      <c r="H197" s="12" t="s">
        <v>1125</v>
      </c>
      <c r="I197" s="10"/>
      <c r="J197" s="10"/>
      <c r="K197" s="12"/>
    </row>
    <row r="198" ht="15.75" customHeight="1">
      <c r="A198" s="3" t="s">
        <v>12</v>
      </c>
      <c r="B198" s="3" t="s">
        <v>14</v>
      </c>
      <c r="C198" s="3" t="s">
        <v>1128</v>
      </c>
      <c r="D198" s="8" t="str">
        <f t="shared" si="1"/>
        <v>Abrir anúncio ↗</v>
      </c>
      <c r="E198" s="9" t="s">
        <v>1130</v>
      </c>
      <c r="F198" s="3" t="s">
        <v>29</v>
      </c>
      <c r="G198" s="9" t="s">
        <v>30</v>
      </c>
      <c r="H198" s="9" t="s">
        <v>31</v>
      </c>
      <c r="I198" s="3"/>
      <c r="J198" s="3"/>
      <c r="K198" s="9"/>
    </row>
    <row r="199" ht="15.75" customHeight="1">
      <c r="A199" s="10" t="s">
        <v>12</v>
      </c>
      <c r="B199" s="10" t="s">
        <v>14</v>
      </c>
      <c r="C199" s="10" t="s">
        <v>1133</v>
      </c>
      <c r="D199" s="11" t="str">
        <f t="shared" si="1"/>
        <v>Abrir anúncio ↗</v>
      </c>
      <c r="E199" s="12" t="s">
        <v>1135</v>
      </c>
      <c r="F199" s="10" t="s">
        <v>29</v>
      </c>
      <c r="G199" s="12" t="s">
        <v>30</v>
      </c>
      <c r="H199" s="12" t="s">
        <v>31</v>
      </c>
      <c r="I199" s="10"/>
      <c r="J199" s="10"/>
      <c r="K199" s="12"/>
    </row>
    <row r="200" ht="15.75" customHeight="1">
      <c r="A200" s="3" t="s">
        <v>12</v>
      </c>
      <c r="B200" s="3" t="s">
        <v>14</v>
      </c>
      <c r="C200" s="3" t="s">
        <v>1139</v>
      </c>
      <c r="D200" s="8" t="str">
        <f t="shared" si="1"/>
        <v>Abrir anúncio ↗</v>
      </c>
      <c r="E200" s="9" t="s">
        <v>1140</v>
      </c>
      <c r="F200" s="3" t="s">
        <v>29</v>
      </c>
      <c r="G200" s="9" t="s">
        <v>1077</v>
      </c>
      <c r="H200" s="9" t="s">
        <v>1142</v>
      </c>
      <c r="I200" s="3"/>
      <c r="J200" s="3"/>
      <c r="K200" s="9"/>
    </row>
    <row r="201" ht="15.75" customHeight="1">
      <c r="A201" s="10" t="s">
        <v>12</v>
      </c>
      <c r="B201" s="10" t="s">
        <v>14</v>
      </c>
      <c r="C201" s="10" t="s">
        <v>1145</v>
      </c>
      <c r="D201" s="11" t="str">
        <f t="shared" si="1"/>
        <v>Abrir anúncio ↗</v>
      </c>
      <c r="E201" s="12" t="s">
        <v>1147</v>
      </c>
      <c r="F201" s="10" t="s">
        <v>29</v>
      </c>
      <c r="G201" s="12" t="s">
        <v>238</v>
      </c>
      <c r="H201" s="12" t="s">
        <v>1149</v>
      </c>
      <c r="I201" s="10"/>
      <c r="J201" s="10"/>
      <c r="K201" s="12"/>
    </row>
    <row r="202" ht="15.75" customHeight="1">
      <c r="A202" s="3" t="s">
        <v>12</v>
      </c>
      <c r="B202" s="3" t="s">
        <v>14</v>
      </c>
      <c r="C202" s="3" t="s">
        <v>1153</v>
      </c>
      <c r="D202" s="8" t="str">
        <f t="shared" si="1"/>
        <v>Abrir anúncio ↗</v>
      </c>
      <c r="E202" s="9" t="s">
        <v>1154</v>
      </c>
      <c r="F202" s="3" t="s">
        <v>29</v>
      </c>
      <c r="G202" s="9" t="s">
        <v>30</v>
      </c>
      <c r="H202" s="9" t="s">
        <v>31</v>
      </c>
      <c r="I202" s="3"/>
      <c r="J202" s="3"/>
      <c r="K202" s="9"/>
    </row>
    <row r="203" ht="15.75" customHeight="1">
      <c r="A203" s="10" t="s">
        <v>12</v>
      </c>
      <c r="B203" s="10" t="s">
        <v>14</v>
      </c>
      <c r="C203" s="10" t="s">
        <v>1158</v>
      </c>
      <c r="D203" s="11" t="str">
        <f t="shared" si="1"/>
        <v>Abrir anúncio ↗</v>
      </c>
      <c r="E203" s="12" t="s">
        <v>1159</v>
      </c>
      <c r="F203" s="10" t="s">
        <v>29</v>
      </c>
      <c r="G203" s="12" t="s">
        <v>744</v>
      </c>
      <c r="H203" s="12" t="s">
        <v>745</v>
      </c>
      <c r="I203" s="10"/>
      <c r="J203" s="10"/>
      <c r="K203" s="12"/>
    </row>
    <row r="204" ht="15.75" customHeight="1">
      <c r="A204" s="3" t="s">
        <v>12</v>
      </c>
      <c r="B204" s="3" t="s">
        <v>14</v>
      </c>
      <c r="C204" s="3" t="s">
        <v>1165</v>
      </c>
      <c r="D204" s="8" t="str">
        <f t="shared" si="1"/>
        <v>Abrir anúncio ↗</v>
      </c>
      <c r="E204" s="9" t="s">
        <v>1154</v>
      </c>
      <c r="F204" s="3" t="s">
        <v>29</v>
      </c>
      <c r="G204" s="9" t="s">
        <v>744</v>
      </c>
      <c r="H204" s="9" t="s">
        <v>745</v>
      </c>
      <c r="I204" s="3"/>
      <c r="J204" s="3"/>
      <c r="K204" s="9"/>
    </row>
    <row r="205" ht="15.75" customHeight="1">
      <c r="A205" s="10" t="s">
        <v>12</v>
      </c>
      <c r="B205" s="10" t="s">
        <v>14</v>
      </c>
      <c r="C205" s="10" t="s">
        <v>1170</v>
      </c>
      <c r="D205" s="11" t="str">
        <f t="shared" si="1"/>
        <v>Abrir anúncio ↗</v>
      </c>
      <c r="E205" s="12" t="s">
        <v>1172</v>
      </c>
      <c r="F205" s="10" t="s">
        <v>29</v>
      </c>
      <c r="G205" s="12" t="s">
        <v>744</v>
      </c>
      <c r="H205" s="12" t="s">
        <v>745</v>
      </c>
      <c r="I205" s="10"/>
      <c r="J205" s="10"/>
      <c r="K205" s="12"/>
    </row>
    <row r="206" ht="15.75" customHeight="1">
      <c r="A206" s="3" t="s">
        <v>12</v>
      </c>
      <c r="B206" s="3" t="s">
        <v>14</v>
      </c>
      <c r="C206" s="3" t="s">
        <v>1175</v>
      </c>
      <c r="D206" s="8" t="str">
        <f t="shared" si="1"/>
        <v>Abrir anúncio ↗</v>
      </c>
      <c r="E206" s="9" t="s">
        <v>1178</v>
      </c>
      <c r="F206" s="3" t="s">
        <v>29</v>
      </c>
      <c r="G206" s="9" t="s">
        <v>30</v>
      </c>
      <c r="H206" s="9" t="s">
        <v>31</v>
      </c>
      <c r="I206" s="3"/>
      <c r="J206" s="3"/>
      <c r="K206" s="9"/>
    </row>
    <row r="207" ht="15.75" customHeight="1">
      <c r="A207" s="10" t="s">
        <v>12</v>
      </c>
      <c r="B207" s="10" t="s">
        <v>14</v>
      </c>
      <c r="C207" s="10" t="s">
        <v>1181</v>
      </c>
      <c r="D207" s="11" t="str">
        <f t="shared" si="1"/>
        <v>Abrir anúncio ↗</v>
      </c>
      <c r="E207" s="12" t="s">
        <v>1183</v>
      </c>
      <c r="F207" s="10" t="s">
        <v>29</v>
      </c>
      <c r="G207" s="12" t="s">
        <v>30</v>
      </c>
      <c r="H207" s="12" t="s">
        <v>31</v>
      </c>
      <c r="I207" s="10"/>
      <c r="J207" s="10"/>
      <c r="K207" s="12"/>
    </row>
    <row r="208" ht="15.75" customHeight="1">
      <c r="A208" s="3" t="s">
        <v>12</v>
      </c>
      <c r="B208" s="3" t="s">
        <v>14</v>
      </c>
      <c r="C208" s="3" t="s">
        <v>1188</v>
      </c>
      <c r="D208" s="8" t="str">
        <f t="shared" si="1"/>
        <v>Abrir anúncio ↗</v>
      </c>
      <c r="E208" s="9" t="s">
        <v>1189</v>
      </c>
      <c r="F208" s="3" t="s">
        <v>29</v>
      </c>
      <c r="G208" s="9" t="s">
        <v>744</v>
      </c>
      <c r="H208" s="9" t="s">
        <v>745</v>
      </c>
      <c r="I208" s="3"/>
      <c r="J208" s="3"/>
      <c r="K208" s="9"/>
    </row>
    <row r="209" ht="15.75" customHeight="1">
      <c r="A209" s="10" t="s">
        <v>12</v>
      </c>
      <c r="B209" s="10" t="s">
        <v>14</v>
      </c>
      <c r="C209" s="10" t="s">
        <v>1192</v>
      </c>
      <c r="D209" s="11" t="str">
        <f t="shared" si="1"/>
        <v>Abrir anúncio ↗</v>
      </c>
      <c r="E209" s="12" t="s">
        <v>1194</v>
      </c>
      <c r="F209" s="10" t="s">
        <v>29</v>
      </c>
      <c r="G209" s="12" t="s">
        <v>238</v>
      </c>
      <c r="H209" s="12" t="s">
        <v>1197</v>
      </c>
      <c r="I209" s="10"/>
      <c r="J209" s="10"/>
      <c r="K209" s="12"/>
    </row>
    <row r="210" ht="15.75" customHeight="1">
      <c r="A210" s="3" t="s">
        <v>12</v>
      </c>
      <c r="B210" s="3" t="s">
        <v>14</v>
      </c>
      <c r="C210" s="3" t="s">
        <v>1199</v>
      </c>
      <c r="D210" s="8" t="str">
        <f t="shared" si="1"/>
        <v>Abrir anúncio ↗</v>
      </c>
      <c r="E210" s="9" t="s">
        <v>1200</v>
      </c>
      <c r="F210" s="3" t="s">
        <v>29</v>
      </c>
      <c r="G210" s="9" t="s">
        <v>1077</v>
      </c>
      <c r="H210" s="9" t="s">
        <v>1142</v>
      </c>
      <c r="I210" s="3"/>
      <c r="J210" s="3"/>
      <c r="K210" s="9"/>
    </row>
    <row r="211" ht="15.75" customHeight="1">
      <c r="A211" s="10" t="s">
        <v>12</v>
      </c>
      <c r="B211" s="10" t="s">
        <v>14</v>
      </c>
      <c r="C211" s="10" t="s">
        <v>1205</v>
      </c>
      <c r="D211" s="11" t="str">
        <f t="shared" si="1"/>
        <v>Abrir anúncio ↗</v>
      </c>
      <c r="E211" s="12" t="s">
        <v>1207</v>
      </c>
      <c r="F211" s="10" t="s">
        <v>29</v>
      </c>
      <c r="G211" s="12" t="s">
        <v>238</v>
      </c>
      <c r="H211" s="12" t="s">
        <v>1209</v>
      </c>
      <c r="I211" s="10"/>
      <c r="J211" s="10"/>
      <c r="K211" s="12"/>
    </row>
    <row r="212" ht="15.75" customHeight="1">
      <c r="A212" s="3" t="s">
        <v>12</v>
      </c>
      <c r="B212" s="3" t="s">
        <v>14</v>
      </c>
      <c r="C212" s="3" t="s">
        <v>1210</v>
      </c>
      <c r="D212" s="8" t="str">
        <f t="shared" si="1"/>
        <v>Abrir anúncio ↗</v>
      </c>
      <c r="E212" s="9" t="s">
        <v>210</v>
      </c>
      <c r="F212" s="3" t="s">
        <v>29</v>
      </c>
      <c r="G212" s="9" t="s">
        <v>30</v>
      </c>
      <c r="H212" s="9" t="s">
        <v>31</v>
      </c>
      <c r="I212" s="3"/>
      <c r="J212" s="3"/>
      <c r="K212" s="9"/>
    </row>
    <row r="213" ht="15.75" customHeight="1">
      <c r="A213" s="10" t="s">
        <v>12</v>
      </c>
      <c r="B213" s="10" t="s">
        <v>14</v>
      </c>
      <c r="C213" s="10" t="s">
        <v>1214</v>
      </c>
      <c r="D213" s="11" t="str">
        <f t="shared" si="1"/>
        <v>Abrir anúncio ↗</v>
      </c>
      <c r="E213" s="12" t="s">
        <v>1215</v>
      </c>
      <c r="F213" s="10" t="s">
        <v>29</v>
      </c>
      <c r="G213" s="12" t="s">
        <v>744</v>
      </c>
      <c r="H213" s="12" t="s">
        <v>745</v>
      </c>
      <c r="I213" s="10"/>
      <c r="J213" s="10"/>
      <c r="K213" s="12"/>
    </row>
    <row r="214" ht="15.75" customHeight="1">
      <c r="A214" s="3" t="s">
        <v>12</v>
      </c>
      <c r="B214" s="3" t="s">
        <v>14</v>
      </c>
      <c r="C214" s="3" t="s">
        <v>1220</v>
      </c>
      <c r="D214" s="8" t="str">
        <f t="shared" si="1"/>
        <v>Abrir anúncio ↗</v>
      </c>
      <c r="E214" s="9" t="s">
        <v>1221</v>
      </c>
      <c r="F214" s="3" t="s">
        <v>29</v>
      </c>
      <c r="G214" s="9" t="s">
        <v>238</v>
      </c>
      <c r="H214" s="9" t="s">
        <v>1223</v>
      </c>
      <c r="I214" s="3"/>
      <c r="J214" s="3"/>
      <c r="K214" s="9"/>
    </row>
    <row r="215" ht="15.75" customHeight="1">
      <c r="A215" s="10" t="s">
        <v>12</v>
      </c>
      <c r="B215" s="10" t="s">
        <v>14</v>
      </c>
      <c r="C215" s="10" t="s">
        <v>1225</v>
      </c>
      <c r="D215" s="11" t="str">
        <f t="shared" si="1"/>
        <v>Abrir anúncio ↗</v>
      </c>
      <c r="E215" s="12" t="s">
        <v>427</v>
      </c>
      <c r="F215" s="10" t="s">
        <v>29</v>
      </c>
      <c r="G215" s="12" t="s">
        <v>744</v>
      </c>
      <c r="H215" s="12" t="s">
        <v>745</v>
      </c>
      <c r="I215" s="10"/>
      <c r="J215" s="10"/>
      <c r="K215" s="12"/>
    </row>
    <row r="216" ht="15.75" customHeight="1">
      <c r="A216" s="3" t="s">
        <v>12</v>
      </c>
      <c r="B216" s="3" t="s">
        <v>14</v>
      </c>
      <c r="C216" s="3" t="s">
        <v>1231</v>
      </c>
      <c r="D216" s="8" t="str">
        <f t="shared" si="1"/>
        <v>Abrir anúncio ↗</v>
      </c>
      <c r="E216" s="9" t="s">
        <v>1232</v>
      </c>
      <c r="F216" s="3" t="s">
        <v>29</v>
      </c>
      <c r="G216" s="9" t="s">
        <v>744</v>
      </c>
      <c r="H216" s="9" t="s">
        <v>745</v>
      </c>
      <c r="I216" s="3"/>
      <c r="J216" s="3"/>
      <c r="K216" s="9"/>
    </row>
    <row r="217" ht="15.75" customHeight="1">
      <c r="A217" s="10" t="s">
        <v>12</v>
      </c>
      <c r="B217" s="10" t="s">
        <v>14</v>
      </c>
      <c r="C217" s="10" t="s">
        <v>1236</v>
      </c>
      <c r="D217" s="11" t="str">
        <f t="shared" si="1"/>
        <v>Abrir anúncio ↗</v>
      </c>
      <c r="E217" s="12" t="s">
        <v>1239</v>
      </c>
      <c r="F217" s="10" t="s">
        <v>29</v>
      </c>
      <c r="G217" s="12" t="s">
        <v>30</v>
      </c>
      <c r="H217" s="12" t="s">
        <v>31</v>
      </c>
      <c r="I217" s="10"/>
      <c r="J217" s="10"/>
      <c r="K217" s="12"/>
    </row>
    <row r="218" ht="15.75" customHeight="1">
      <c r="A218" s="3" t="s">
        <v>12</v>
      </c>
      <c r="B218" s="3" t="s">
        <v>14</v>
      </c>
      <c r="C218" s="3" t="s">
        <v>1242</v>
      </c>
      <c r="D218" s="8" t="str">
        <f t="shared" si="1"/>
        <v>Abrir anúncio ↗</v>
      </c>
      <c r="E218" s="9" t="s">
        <v>1243</v>
      </c>
      <c r="F218" s="3" t="s">
        <v>29</v>
      </c>
      <c r="G218" s="9" t="s">
        <v>841</v>
      </c>
      <c r="H218" s="9" t="s">
        <v>1246</v>
      </c>
      <c r="I218" s="3"/>
      <c r="J218" s="3"/>
      <c r="K218" s="9"/>
    </row>
    <row r="219" ht="15.75" customHeight="1">
      <c r="A219" s="10" t="s">
        <v>12</v>
      </c>
      <c r="B219" s="10" t="s">
        <v>14</v>
      </c>
      <c r="C219" s="10" t="s">
        <v>1250</v>
      </c>
      <c r="D219" s="11" t="str">
        <f t="shared" si="1"/>
        <v>Abrir anúncio ↗</v>
      </c>
      <c r="E219" s="12" t="s">
        <v>1252</v>
      </c>
      <c r="F219" s="10" t="s">
        <v>29</v>
      </c>
      <c r="G219" s="12" t="s">
        <v>744</v>
      </c>
      <c r="H219" s="12" t="s">
        <v>745</v>
      </c>
      <c r="I219" s="10"/>
      <c r="J219" s="10"/>
      <c r="K219" s="12"/>
    </row>
    <row r="220" ht="15.75" customHeight="1">
      <c r="A220" s="3" t="s">
        <v>12</v>
      </c>
      <c r="B220" s="3" t="s">
        <v>14</v>
      </c>
      <c r="C220" s="3" t="s">
        <v>1253</v>
      </c>
      <c r="D220" s="8" t="str">
        <f t="shared" si="1"/>
        <v>Abrir anúncio ↗</v>
      </c>
      <c r="E220" s="9" t="s">
        <v>1256</v>
      </c>
      <c r="F220" s="3" t="s">
        <v>29</v>
      </c>
      <c r="G220" s="9" t="s">
        <v>30</v>
      </c>
      <c r="H220" s="9" t="s">
        <v>31</v>
      </c>
      <c r="I220" s="3"/>
      <c r="J220" s="3"/>
      <c r="K220" s="9"/>
    </row>
    <row r="221" ht="15.75" customHeight="1">
      <c r="A221" s="10" t="s">
        <v>12</v>
      </c>
      <c r="B221" s="10" t="s">
        <v>14</v>
      </c>
      <c r="C221" s="10" t="s">
        <v>1262</v>
      </c>
      <c r="D221" s="11" t="str">
        <f t="shared" si="1"/>
        <v>Abrir anúncio ↗</v>
      </c>
      <c r="E221" s="12" t="s">
        <v>1264</v>
      </c>
      <c r="F221" s="10" t="s">
        <v>29</v>
      </c>
      <c r="G221" s="12" t="s">
        <v>30</v>
      </c>
      <c r="H221" s="12" t="s">
        <v>31</v>
      </c>
      <c r="I221" s="10"/>
      <c r="J221" s="10"/>
      <c r="K221" s="12"/>
    </row>
    <row r="222" ht="15.75" customHeight="1">
      <c r="A222" s="3" t="s">
        <v>12</v>
      </c>
      <c r="B222" s="3" t="s">
        <v>14</v>
      </c>
      <c r="C222" s="3" t="s">
        <v>1268</v>
      </c>
      <c r="D222" s="8" t="str">
        <f t="shared" si="1"/>
        <v>Abrir anúncio ↗</v>
      </c>
      <c r="E222" s="9" t="s">
        <v>1270</v>
      </c>
      <c r="F222" s="3" t="s">
        <v>29</v>
      </c>
      <c r="G222" s="9" t="s">
        <v>30</v>
      </c>
      <c r="H222" s="9" t="s">
        <v>31</v>
      </c>
      <c r="I222" s="3"/>
      <c r="J222" s="3"/>
      <c r="K222" s="9"/>
    </row>
    <row r="223" ht="15.75" customHeight="1">
      <c r="A223" s="10" t="s">
        <v>12</v>
      </c>
      <c r="B223" s="10" t="s">
        <v>14</v>
      </c>
      <c r="C223" s="10" t="s">
        <v>1273</v>
      </c>
      <c r="D223" s="11" t="str">
        <f t="shared" si="1"/>
        <v>Abrir anúncio ↗</v>
      </c>
      <c r="E223" s="12" t="s">
        <v>1275</v>
      </c>
      <c r="F223" s="10" t="s">
        <v>29</v>
      </c>
      <c r="G223" s="12" t="s">
        <v>30</v>
      </c>
      <c r="H223" s="12" t="s">
        <v>31</v>
      </c>
      <c r="I223" s="10"/>
      <c r="J223" s="10"/>
      <c r="K223" s="12"/>
    </row>
    <row r="224" ht="15.75" customHeight="1">
      <c r="A224" s="3" t="s">
        <v>12</v>
      </c>
      <c r="B224" s="3" t="s">
        <v>14</v>
      </c>
      <c r="C224" s="3" t="s">
        <v>1281</v>
      </c>
      <c r="D224" s="8" t="str">
        <f t="shared" si="1"/>
        <v>Abrir anúncio ↗</v>
      </c>
      <c r="E224" s="9" t="s">
        <v>1283</v>
      </c>
      <c r="F224" s="3" t="s">
        <v>29</v>
      </c>
      <c r="G224" s="9" t="s">
        <v>30</v>
      </c>
      <c r="H224" s="9" t="s">
        <v>31</v>
      </c>
      <c r="I224" s="3"/>
      <c r="J224" s="3"/>
      <c r="K224" s="9"/>
    </row>
    <row r="225" ht="15.75" customHeight="1">
      <c r="A225" s="10" t="s">
        <v>12</v>
      </c>
      <c r="B225" s="10" t="s">
        <v>14</v>
      </c>
      <c r="C225" s="10" t="s">
        <v>1288</v>
      </c>
      <c r="D225" s="11" t="str">
        <f t="shared" si="1"/>
        <v>Abrir anúncio ↗</v>
      </c>
      <c r="E225" s="12" t="s">
        <v>1289</v>
      </c>
      <c r="F225" s="10" t="s">
        <v>29</v>
      </c>
      <c r="G225" s="12" t="s">
        <v>30</v>
      </c>
      <c r="H225" s="12" t="s">
        <v>31</v>
      </c>
      <c r="I225" s="10"/>
      <c r="J225" s="10"/>
      <c r="K225" s="12"/>
    </row>
    <row r="226" ht="15.75" customHeight="1">
      <c r="A226" s="3" t="s">
        <v>12</v>
      </c>
      <c r="B226" s="3" t="s">
        <v>14</v>
      </c>
      <c r="C226" s="3" t="s">
        <v>1291</v>
      </c>
      <c r="D226" s="8" t="str">
        <f t="shared" si="1"/>
        <v>Abrir anúncio ↗</v>
      </c>
      <c r="E226" s="9" t="s">
        <v>1294</v>
      </c>
      <c r="F226" s="3" t="s">
        <v>29</v>
      </c>
      <c r="G226" s="9" t="s">
        <v>30</v>
      </c>
      <c r="H226" s="9" t="s">
        <v>31</v>
      </c>
      <c r="I226" s="3"/>
      <c r="J226" s="3"/>
      <c r="K226" s="9"/>
    </row>
    <row r="227" ht="15.75" customHeight="1">
      <c r="A227" s="10" t="s">
        <v>12</v>
      </c>
      <c r="B227" s="10" t="s">
        <v>14</v>
      </c>
      <c r="C227" s="10" t="s">
        <v>1299</v>
      </c>
      <c r="D227" s="11" t="str">
        <f t="shared" si="1"/>
        <v>Abrir anúncio ↗</v>
      </c>
      <c r="E227" s="12" t="s">
        <v>1300</v>
      </c>
      <c r="F227" s="10" t="s">
        <v>29</v>
      </c>
      <c r="G227" s="12" t="s">
        <v>30</v>
      </c>
      <c r="H227" s="12" t="s">
        <v>31</v>
      </c>
      <c r="I227" s="10"/>
      <c r="J227" s="10"/>
      <c r="K227" s="12"/>
    </row>
    <row r="228" ht="15.75" customHeight="1">
      <c r="A228" s="3" t="s">
        <v>12</v>
      </c>
      <c r="B228" s="3" t="s">
        <v>14</v>
      </c>
      <c r="C228" s="3" t="s">
        <v>1304</v>
      </c>
      <c r="D228" s="8" t="str">
        <f t="shared" si="1"/>
        <v>Abrir anúncio ↗</v>
      </c>
      <c r="E228" s="9" t="s">
        <v>1294</v>
      </c>
      <c r="F228" s="3" t="s">
        <v>29</v>
      </c>
      <c r="G228" s="9" t="s">
        <v>744</v>
      </c>
      <c r="H228" s="9" t="s">
        <v>745</v>
      </c>
      <c r="I228" s="3"/>
      <c r="J228" s="3"/>
      <c r="K228" s="9"/>
    </row>
    <row r="229" ht="15.75" customHeight="1">
      <c r="A229" s="10" t="s">
        <v>12</v>
      </c>
      <c r="B229" s="10" t="s">
        <v>14</v>
      </c>
      <c r="C229" s="10" t="s">
        <v>1310</v>
      </c>
      <c r="D229" s="11" t="str">
        <f t="shared" si="1"/>
        <v>Abrir anúncio ↗</v>
      </c>
      <c r="E229" s="12" t="s">
        <v>1289</v>
      </c>
      <c r="F229" s="10" t="s">
        <v>29</v>
      </c>
      <c r="G229" s="12" t="s">
        <v>744</v>
      </c>
      <c r="H229" s="12" t="s">
        <v>745</v>
      </c>
      <c r="I229" s="10"/>
      <c r="J229" s="10"/>
      <c r="K229" s="12"/>
    </row>
    <row r="230" ht="15.75" customHeight="1">
      <c r="A230" s="3" t="s">
        <v>12</v>
      </c>
      <c r="B230" s="3" t="s">
        <v>14</v>
      </c>
      <c r="C230" s="3" t="s">
        <v>1317</v>
      </c>
      <c r="D230" s="8" t="str">
        <f t="shared" si="1"/>
        <v>Abrir anúncio ↗</v>
      </c>
      <c r="E230" s="9" t="s">
        <v>1319</v>
      </c>
      <c r="F230" s="3" t="s">
        <v>29</v>
      </c>
      <c r="G230" s="9" t="s">
        <v>744</v>
      </c>
      <c r="H230" s="9" t="s">
        <v>745</v>
      </c>
      <c r="I230" s="3"/>
      <c r="J230" s="3"/>
      <c r="K230" s="9"/>
    </row>
    <row r="231" ht="15.75" customHeight="1">
      <c r="A231" s="10" t="s">
        <v>12</v>
      </c>
      <c r="B231" s="10" t="s">
        <v>14</v>
      </c>
      <c r="C231" s="10" t="s">
        <v>1322</v>
      </c>
      <c r="D231" s="11" t="str">
        <f t="shared" si="1"/>
        <v>Abrir anúncio ↗</v>
      </c>
      <c r="E231" s="12" t="s">
        <v>1325</v>
      </c>
      <c r="F231" s="10" t="s">
        <v>29</v>
      </c>
      <c r="G231" s="12" t="s">
        <v>1077</v>
      </c>
      <c r="H231" s="12" t="s">
        <v>1328</v>
      </c>
      <c r="I231" s="10"/>
      <c r="J231" s="10"/>
      <c r="K231" s="12"/>
    </row>
    <row r="232" ht="15.75" customHeight="1">
      <c r="A232" s="3" t="s">
        <v>12</v>
      </c>
      <c r="B232" s="3" t="s">
        <v>14</v>
      </c>
      <c r="C232" s="3" t="s">
        <v>1330</v>
      </c>
      <c r="D232" s="8" t="str">
        <f t="shared" si="1"/>
        <v>Abrir anúncio ↗</v>
      </c>
      <c r="E232" s="9" t="s">
        <v>1283</v>
      </c>
      <c r="F232" s="3" t="s">
        <v>29</v>
      </c>
      <c r="G232" s="9" t="s">
        <v>30</v>
      </c>
      <c r="H232" s="9" t="s">
        <v>31</v>
      </c>
      <c r="I232" s="3"/>
      <c r="J232" s="3"/>
      <c r="K232" s="9"/>
    </row>
    <row r="233" ht="15.75" customHeight="1">
      <c r="A233" s="10" t="s">
        <v>12</v>
      </c>
      <c r="B233" s="10" t="s">
        <v>14</v>
      </c>
      <c r="C233" s="10" t="s">
        <v>1336</v>
      </c>
      <c r="D233" s="11" t="str">
        <f t="shared" si="1"/>
        <v>Abrir anúncio ↗</v>
      </c>
      <c r="E233" s="12" t="s">
        <v>1300</v>
      </c>
      <c r="F233" s="10" t="s">
        <v>29</v>
      </c>
      <c r="G233" s="12" t="s">
        <v>30</v>
      </c>
      <c r="H233" s="12" t="s">
        <v>31</v>
      </c>
      <c r="I233" s="10"/>
      <c r="J233" s="10"/>
      <c r="K233" s="12"/>
    </row>
    <row r="234" ht="15.75" customHeight="1">
      <c r="A234" s="3" t="s">
        <v>12</v>
      </c>
      <c r="B234" s="3" t="s">
        <v>14</v>
      </c>
      <c r="C234" s="3" t="s">
        <v>1337</v>
      </c>
      <c r="D234" s="8" t="str">
        <f t="shared" si="1"/>
        <v>Abrir anúncio ↗</v>
      </c>
      <c r="E234" s="9" t="s">
        <v>1340</v>
      </c>
      <c r="F234" s="3" t="s">
        <v>29</v>
      </c>
      <c r="G234" s="9" t="s">
        <v>744</v>
      </c>
      <c r="H234" s="9" t="s">
        <v>745</v>
      </c>
      <c r="I234" s="3"/>
      <c r="J234" s="3"/>
      <c r="K234" s="9"/>
    </row>
    <row r="235" ht="15.75" customHeight="1">
      <c r="A235" s="10" t="s">
        <v>12</v>
      </c>
      <c r="B235" s="10" t="s">
        <v>14</v>
      </c>
      <c r="C235" s="10" t="s">
        <v>1345</v>
      </c>
      <c r="D235" s="11" t="str">
        <f t="shared" si="1"/>
        <v>Abrir anúncio ↗</v>
      </c>
      <c r="E235" s="12" t="s">
        <v>1346</v>
      </c>
      <c r="F235" s="10" t="s">
        <v>29</v>
      </c>
      <c r="G235" s="12" t="s">
        <v>30</v>
      </c>
      <c r="H235" s="12" t="s">
        <v>31</v>
      </c>
      <c r="I235" s="10"/>
      <c r="J235" s="10"/>
      <c r="K235" s="12"/>
    </row>
    <row r="236" ht="15.75" customHeight="1">
      <c r="A236" s="3" t="s">
        <v>12</v>
      </c>
      <c r="B236" s="3" t="s">
        <v>14</v>
      </c>
      <c r="C236" s="3" t="s">
        <v>1351</v>
      </c>
      <c r="D236" s="8" t="str">
        <f t="shared" si="1"/>
        <v>Abrir anúncio ↗</v>
      </c>
      <c r="E236" s="9" t="s">
        <v>1354</v>
      </c>
      <c r="F236" s="3" t="s">
        <v>29</v>
      </c>
      <c r="G236" s="9" t="s">
        <v>30</v>
      </c>
      <c r="H236" s="9" t="s">
        <v>31</v>
      </c>
      <c r="I236" s="3"/>
      <c r="J236" s="3"/>
      <c r="K236" s="9"/>
    </row>
    <row r="237" ht="15.75" customHeight="1">
      <c r="A237" s="10" t="s">
        <v>12</v>
      </c>
      <c r="B237" s="10" t="s">
        <v>14</v>
      </c>
      <c r="C237" s="10" t="s">
        <v>1356</v>
      </c>
      <c r="D237" s="11" t="str">
        <f t="shared" si="1"/>
        <v>Abrir anúncio ↗</v>
      </c>
      <c r="E237" s="12" t="s">
        <v>1357</v>
      </c>
      <c r="F237" s="10" t="s">
        <v>29</v>
      </c>
      <c r="G237" s="12" t="s">
        <v>30</v>
      </c>
      <c r="H237" s="12" t="s">
        <v>31</v>
      </c>
      <c r="I237" s="10"/>
      <c r="J237" s="10"/>
      <c r="K237" s="12"/>
    </row>
    <row r="238" ht="15.75" customHeight="1">
      <c r="A238" s="3" t="s">
        <v>12</v>
      </c>
      <c r="B238" s="3" t="s">
        <v>14</v>
      </c>
      <c r="C238" s="3" t="s">
        <v>1364</v>
      </c>
      <c r="D238" s="8" t="str">
        <f t="shared" si="1"/>
        <v>Abrir anúncio ↗</v>
      </c>
      <c r="E238" s="9" t="s">
        <v>1365</v>
      </c>
      <c r="F238" s="3" t="s">
        <v>29</v>
      </c>
      <c r="G238" s="9" t="s">
        <v>30</v>
      </c>
      <c r="H238" s="9" t="s">
        <v>31</v>
      </c>
      <c r="I238" s="3"/>
      <c r="J238" s="3"/>
      <c r="K238" s="9"/>
    </row>
    <row r="239" ht="15.75" customHeight="1">
      <c r="A239" s="10" t="s">
        <v>12</v>
      </c>
      <c r="B239" s="10" t="s">
        <v>14</v>
      </c>
      <c r="C239" s="10" t="s">
        <v>1369</v>
      </c>
      <c r="D239" s="11" t="str">
        <f t="shared" si="1"/>
        <v>Abrir anúncio ↗</v>
      </c>
      <c r="E239" s="12" t="s">
        <v>1371</v>
      </c>
      <c r="F239" s="10" t="s">
        <v>29</v>
      </c>
      <c r="G239" s="12" t="s">
        <v>30</v>
      </c>
      <c r="H239" s="12" t="s">
        <v>31</v>
      </c>
      <c r="I239" s="10"/>
      <c r="J239" s="10"/>
      <c r="K239" s="12"/>
    </row>
    <row r="240" ht="15.75" customHeight="1">
      <c r="A240" s="3" t="s">
        <v>12</v>
      </c>
      <c r="B240" s="3" t="s">
        <v>14</v>
      </c>
      <c r="C240" s="3" t="s">
        <v>1375</v>
      </c>
      <c r="D240" s="8" t="str">
        <f t="shared" si="1"/>
        <v>Abrir anúncio ↗</v>
      </c>
      <c r="E240" s="9" t="s">
        <v>1376</v>
      </c>
      <c r="F240" s="3" t="s">
        <v>29</v>
      </c>
      <c r="G240" s="9" t="s">
        <v>30</v>
      </c>
      <c r="H240" s="9" t="s">
        <v>31</v>
      </c>
      <c r="I240" s="3"/>
      <c r="J240" s="3"/>
      <c r="K240" s="9"/>
    </row>
    <row r="241" ht="15.75" customHeight="1">
      <c r="A241" s="10" t="s">
        <v>12</v>
      </c>
      <c r="B241" s="10" t="s">
        <v>14</v>
      </c>
      <c r="C241" s="10" t="s">
        <v>1379</v>
      </c>
      <c r="D241" s="11" t="str">
        <f t="shared" si="1"/>
        <v>Abrir anúncio ↗</v>
      </c>
      <c r="E241" s="12" t="s">
        <v>1382</v>
      </c>
      <c r="F241" s="10" t="s">
        <v>29</v>
      </c>
      <c r="G241" s="12" t="s">
        <v>30</v>
      </c>
      <c r="H241" s="12" t="s">
        <v>31</v>
      </c>
      <c r="I241" s="10"/>
      <c r="J241" s="10"/>
      <c r="K241" s="12"/>
    </row>
    <row r="242" ht="15.75" customHeight="1">
      <c r="A242" s="3" t="s">
        <v>12</v>
      </c>
      <c r="B242" s="3" t="s">
        <v>14</v>
      </c>
      <c r="C242" s="3" t="s">
        <v>1385</v>
      </c>
      <c r="D242" s="8" t="str">
        <f t="shared" si="1"/>
        <v>Abrir anúncio ↗</v>
      </c>
      <c r="E242" s="9" t="s">
        <v>1386</v>
      </c>
      <c r="F242" s="3" t="s">
        <v>29</v>
      </c>
      <c r="G242" s="9" t="s">
        <v>30</v>
      </c>
      <c r="H242" s="9" t="s">
        <v>31</v>
      </c>
      <c r="I242" s="3"/>
      <c r="J242" s="3"/>
      <c r="K242" s="9"/>
    </row>
    <row r="243" ht="15.75" customHeight="1">
      <c r="A243" s="10" t="s">
        <v>12</v>
      </c>
      <c r="B243" s="10" t="s">
        <v>14</v>
      </c>
      <c r="C243" s="10" t="s">
        <v>1391</v>
      </c>
      <c r="D243" s="11" t="str">
        <f t="shared" si="1"/>
        <v>Abrir anúncio ↗</v>
      </c>
      <c r="E243" s="12" t="s">
        <v>1393</v>
      </c>
      <c r="F243" s="10" t="s">
        <v>29</v>
      </c>
      <c r="G243" s="12" t="s">
        <v>30</v>
      </c>
      <c r="H243" s="12" t="s">
        <v>31</v>
      </c>
      <c r="I243" s="10"/>
      <c r="J243" s="10"/>
      <c r="K243" s="12"/>
    </row>
    <row r="244" ht="15.75" customHeight="1">
      <c r="A244" s="3" t="s">
        <v>12</v>
      </c>
      <c r="B244" s="3" t="s">
        <v>14</v>
      </c>
      <c r="C244" s="3" t="s">
        <v>1397</v>
      </c>
      <c r="D244" s="8" t="str">
        <f t="shared" si="1"/>
        <v>Abrir anúncio ↗</v>
      </c>
      <c r="E244" s="9" t="s">
        <v>1399</v>
      </c>
      <c r="F244" s="3" t="s">
        <v>29</v>
      </c>
      <c r="G244" s="9" t="s">
        <v>192</v>
      </c>
      <c r="H244" s="9" t="s">
        <v>195</v>
      </c>
      <c r="I244" s="3"/>
      <c r="J244" s="3"/>
      <c r="K244" s="9"/>
    </row>
    <row r="245" ht="15.75" customHeight="1">
      <c r="A245" s="10" t="s">
        <v>12</v>
      </c>
      <c r="B245" s="10" t="s">
        <v>14</v>
      </c>
      <c r="C245" s="10" t="s">
        <v>1403</v>
      </c>
      <c r="D245" s="11" t="str">
        <f t="shared" si="1"/>
        <v>Abrir anúncio ↗</v>
      </c>
      <c r="E245" s="12" t="s">
        <v>1405</v>
      </c>
      <c r="F245" s="10" t="s">
        <v>29</v>
      </c>
      <c r="G245" s="12" t="s">
        <v>30</v>
      </c>
      <c r="H245" s="12" t="s">
        <v>31</v>
      </c>
      <c r="I245" s="10"/>
      <c r="J245" s="10"/>
      <c r="K245" s="12"/>
    </row>
    <row r="246" ht="15.75" customHeight="1">
      <c r="A246" s="3" t="s">
        <v>12</v>
      </c>
      <c r="B246" s="3" t="s">
        <v>14</v>
      </c>
      <c r="C246" s="3" t="s">
        <v>1410</v>
      </c>
      <c r="D246" s="8" t="str">
        <f t="shared" si="1"/>
        <v>Abrir anúncio ↗</v>
      </c>
      <c r="E246" s="9" t="s">
        <v>1412</v>
      </c>
      <c r="F246" s="3" t="s">
        <v>29</v>
      </c>
      <c r="G246" s="9" t="s">
        <v>30</v>
      </c>
      <c r="H246" s="9" t="s">
        <v>31</v>
      </c>
      <c r="I246" s="3"/>
      <c r="J246" s="3"/>
      <c r="K246" s="9"/>
    </row>
    <row r="247" ht="15.75" customHeight="1">
      <c r="A247" s="10" t="s">
        <v>12</v>
      </c>
      <c r="B247" s="10" t="s">
        <v>14</v>
      </c>
      <c r="C247" s="10" t="s">
        <v>1415</v>
      </c>
      <c r="D247" s="11" t="str">
        <f t="shared" si="1"/>
        <v>Abrir anúncio ↗</v>
      </c>
      <c r="E247" s="12" t="s">
        <v>1418</v>
      </c>
      <c r="F247" s="10" t="s">
        <v>29</v>
      </c>
      <c r="G247" s="12" t="s">
        <v>30</v>
      </c>
      <c r="H247" s="12" t="s">
        <v>31</v>
      </c>
      <c r="I247" s="10"/>
      <c r="J247" s="10"/>
      <c r="K247" s="12"/>
    </row>
    <row r="248" ht="15.75" customHeight="1">
      <c r="A248" s="3" t="s">
        <v>12</v>
      </c>
      <c r="B248" s="3" t="s">
        <v>14</v>
      </c>
      <c r="C248" s="3" t="s">
        <v>1422</v>
      </c>
      <c r="D248" s="8" t="str">
        <f t="shared" si="1"/>
        <v>Abrir anúncio ↗</v>
      </c>
      <c r="E248" s="9" t="s">
        <v>1423</v>
      </c>
      <c r="F248" s="3" t="s">
        <v>29</v>
      </c>
      <c r="G248" s="9" t="s">
        <v>30</v>
      </c>
      <c r="H248" s="9" t="s">
        <v>31</v>
      </c>
      <c r="I248" s="3"/>
      <c r="J248" s="3"/>
      <c r="K248" s="9"/>
    </row>
    <row r="249" ht="15.75" customHeight="1">
      <c r="A249" s="10" t="s">
        <v>12</v>
      </c>
      <c r="B249" s="10" t="s">
        <v>14</v>
      </c>
      <c r="C249" s="10" t="s">
        <v>1428</v>
      </c>
      <c r="D249" s="11" t="str">
        <f t="shared" si="1"/>
        <v>Abrir anúncio ↗</v>
      </c>
      <c r="E249" s="12" t="s">
        <v>1430</v>
      </c>
      <c r="F249" s="10" t="s">
        <v>29</v>
      </c>
      <c r="G249" s="12" t="s">
        <v>30</v>
      </c>
      <c r="H249" s="12" t="s">
        <v>31</v>
      </c>
      <c r="I249" s="10"/>
      <c r="J249" s="10"/>
      <c r="K249" s="12"/>
    </row>
    <row r="250" ht="15.75" customHeight="1">
      <c r="A250" s="3" t="s">
        <v>12</v>
      </c>
      <c r="B250" s="3" t="s">
        <v>14</v>
      </c>
      <c r="C250" s="3" t="s">
        <v>1433</v>
      </c>
      <c r="D250" s="8" t="str">
        <f t="shared" si="1"/>
        <v>Abrir anúncio ↗</v>
      </c>
      <c r="E250" s="9" t="s">
        <v>1435</v>
      </c>
      <c r="F250" s="3" t="s">
        <v>29</v>
      </c>
      <c r="G250" s="9" t="s">
        <v>30</v>
      </c>
      <c r="H250" s="9" t="s">
        <v>31</v>
      </c>
      <c r="I250" s="3"/>
      <c r="J250" s="3"/>
      <c r="K250" s="9"/>
    </row>
    <row r="251" ht="15.75" customHeight="1">
      <c r="A251" s="10" t="s">
        <v>12</v>
      </c>
      <c r="B251" s="10" t="s">
        <v>14</v>
      </c>
      <c r="C251" s="10" t="s">
        <v>1440</v>
      </c>
      <c r="D251" s="11" t="str">
        <f t="shared" si="1"/>
        <v>Abrir anúncio ↗</v>
      </c>
      <c r="E251" s="12" t="s">
        <v>1442</v>
      </c>
      <c r="F251" s="10" t="s">
        <v>29</v>
      </c>
      <c r="G251" s="12" t="s">
        <v>30</v>
      </c>
      <c r="H251" s="12" t="s">
        <v>31</v>
      </c>
      <c r="I251" s="10"/>
      <c r="J251" s="10"/>
      <c r="K251" s="12"/>
    </row>
    <row r="252" ht="15.75" customHeight="1">
      <c r="A252" s="3" t="s">
        <v>12</v>
      </c>
      <c r="B252" s="3" t="s">
        <v>14</v>
      </c>
      <c r="C252" s="3" t="s">
        <v>1446</v>
      </c>
      <c r="D252" s="8" t="str">
        <f t="shared" si="1"/>
        <v>Abrir anúncio ↗</v>
      </c>
      <c r="E252" s="9" t="s">
        <v>1448</v>
      </c>
      <c r="F252" s="3" t="s">
        <v>29</v>
      </c>
      <c r="G252" s="9" t="s">
        <v>30</v>
      </c>
      <c r="H252" s="9" t="s">
        <v>31</v>
      </c>
      <c r="I252" s="3"/>
      <c r="J252" s="3"/>
      <c r="K252" s="9"/>
    </row>
    <row r="253" ht="15.75" customHeight="1">
      <c r="A253" s="10" t="s">
        <v>12</v>
      </c>
      <c r="B253" s="10" t="s">
        <v>14</v>
      </c>
      <c r="C253" s="10" t="s">
        <v>1452</v>
      </c>
      <c r="D253" s="11" t="str">
        <f t="shared" si="1"/>
        <v>Abrir anúncio ↗</v>
      </c>
      <c r="E253" s="12" t="s">
        <v>1453</v>
      </c>
      <c r="F253" s="10" t="s">
        <v>29</v>
      </c>
      <c r="G253" s="12" t="s">
        <v>30</v>
      </c>
      <c r="H253" s="12" t="s">
        <v>31</v>
      </c>
      <c r="I253" s="10"/>
      <c r="J253" s="10"/>
      <c r="K253" s="12"/>
    </row>
    <row r="254" ht="15.75" customHeight="1">
      <c r="A254" s="3" t="s">
        <v>12</v>
      </c>
      <c r="B254" s="3" t="s">
        <v>14</v>
      </c>
      <c r="C254" s="3" t="s">
        <v>1458</v>
      </c>
      <c r="D254" s="8" t="str">
        <f t="shared" si="1"/>
        <v>Abrir anúncio ↗</v>
      </c>
      <c r="E254" s="9" t="s">
        <v>1459</v>
      </c>
      <c r="F254" s="3" t="s">
        <v>29</v>
      </c>
      <c r="G254" s="9" t="s">
        <v>30</v>
      </c>
      <c r="H254" s="9" t="s">
        <v>31</v>
      </c>
      <c r="I254" s="3"/>
      <c r="J254" s="3"/>
      <c r="K254" s="9"/>
    </row>
    <row r="255" ht="15.75" customHeight="1">
      <c r="A255" s="10" t="s">
        <v>12</v>
      </c>
      <c r="B255" s="10" t="s">
        <v>14</v>
      </c>
      <c r="C255" s="10" t="s">
        <v>1462</v>
      </c>
      <c r="D255" s="11" t="str">
        <f t="shared" si="1"/>
        <v>Abrir anúncio ↗</v>
      </c>
      <c r="E255" s="12" t="s">
        <v>1465</v>
      </c>
      <c r="F255" s="10" t="s">
        <v>29</v>
      </c>
      <c r="G255" s="12" t="s">
        <v>30</v>
      </c>
      <c r="H255" s="12" t="s">
        <v>31</v>
      </c>
      <c r="I255" s="10"/>
      <c r="J255" s="10"/>
      <c r="K255" s="12"/>
    </row>
    <row r="256" ht="15.75" customHeight="1">
      <c r="A256" s="3" t="s">
        <v>12</v>
      </c>
      <c r="B256" s="3" t="s">
        <v>14</v>
      </c>
      <c r="C256" s="3" t="s">
        <v>1468</v>
      </c>
      <c r="D256" s="8" t="str">
        <f t="shared" si="1"/>
        <v>Abrir anúncio ↗</v>
      </c>
      <c r="E256" s="9" t="s">
        <v>1470</v>
      </c>
      <c r="F256" s="3" t="s">
        <v>29</v>
      </c>
      <c r="G256" s="9" t="s">
        <v>30</v>
      </c>
      <c r="H256" s="9" t="s">
        <v>31</v>
      </c>
      <c r="I256" s="3"/>
      <c r="J256" s="3"/>
      <c r="K256" s="9"/>
    </row>
    <row r="257" ht="15.75" customHeight="1">
      <c r="A257" s="10" t="s">
        <v>12</v>
      </c>
      <c r="B257" s="10" t="s">
        <v>14</v>
      </c>
      <c r="C257" s="10" t="s">
        <v>1474</v>
      </c>
      <c r="D257" s="11" t="str">
        <f t="shared" si="1"/>
        <v>Abrir anúncio ↗</v>
      </c>
      <c r="E257" s="12" t="s">
        <v>1477</v>
      </c>
      <c r="F257" s="10" t="s">
        <v>29</v>
      </c>
      <c r="G257" s="12" t="s">
        <v>30</v>
      </c>
      <c r="H257" s="12" t="s">
        <v>31</v>
      </c>
      <c r="I257" s="10"/>
      <c r="J257" s="10"/>
      <c r="K257" s="12"/>
    </row>
    <row r="258" ht="15.75" customHeight="1">
      <c r="A258" s="3" t="s">
        <v>12</v>
      </c>
      <c r="B258" s="3" t="s">
        <v>14</v>
      </c>
      <c r="C258" s="3" t="s">
        <v>1482</v>
      </c>
      <c r="D258" s="8" t="str">
        <f t="shared" si="1"/>
        <v>Abrir anúncio ↗</v>
      </c>
      <c r="E258" s="9" t="s">
        <v>1484</v>
      </c>
      <c r="F258" s="3" t="s">
        <v>29</v>
      </c>
      <c r="G258" s="9" t="s">
        <v>30</v>
      </c>
      <c r="H258" s="9" t="s">
        <v>31</v>
      </c>
      <c r="I258" s="3"/>
      <c r="J258" s="3"/>
      <c r="K258" s="9"/>
    </row>
    <row r="259" ht="15.75" customHeight="1">
      <c r="A259" s="10" t="s">
        <v>12</v>
      </c>
      <c r="B259" s="10" t="s">
        <v>14</v>
      </c>
      <c r="C259" s="10" t="s">
        <v>1489</v>
      </c>
      <c r="D259" s="11" t="str">
        <f t="shared" si="1"/>
        <v>Abrir anúncio ↗</v>
      </c>
      <c r="E259" s="12" t="s">
        <v>1490</v>
      </c>
      <c r="F259" s="10" t="s">
        <v>29</v>
      </c>
      <c r="G259" s="12" t="s">
        <v>30</v>
      </c>
      <c r="H259" s="12" t="s">
        <v>31</v>
      </c>
      <c r="I259" s="10"/>
      <c r="J259" s="10"/>
      <c r="K259" s="12"/>
    </row>
    <row r="260" ht="15.75" customHeight="1">
      <c r="A260" s="3" t="s">
        <v>12</v>
      </c>
      <c r="B260" s="3" t="s">
        <v>14</v>
      </c>
      <c r="C260" s="3" t="s">
        <v>1494</v>
      </c>
      <c r="D260" s="8" t="str">
        <f t="shared" si="1"/>
        <v>Abrir anúncio ↗</v>
      </c>
      <c r="E260" s="9" t="s">
        <v>1496</v>
      </c>
      <c r="F260" s="3" t="s">
        <v>29</v>
      </c>
      <c r="G260" s="9" t="s">
        <v>30</v>
      </c>
      <c r="H260" s="9" t="s">
        <v>31</v>
      </c>
      <c r="I260" s="3"/>
      <c r="J260" s="3"/>
      <c r="K260" s="9"/>
    </row>
    <row r="261" ht="15.75" customHeight="1">
      <c r="A261" s="10" t="s">
        <v>12</v>
      </c>
      <c r="B261" s="10" t="s">
        <v>14</v>
      </c>
      <c r="C261" s="10" t="s">
        <v>1500</v>
      </c>
      <c r="D261" s="11" t="str">
        <f t="shared" si="1"/>
        <v>Abrir anúncio ↗</v>
      </c>
      <c r="E261" s="12" t="s">
        <v>1501</v>
      </c>
      <c r="F261" s="10" t="s">
        <v>29</v>
      </c>
      <c r="G261" s="12" t="s">
        <v>30</v>
      </c>
      <c r="H261" s="12" t="s">
        <v>31</v>
      </c>
      <c r="I261" s="10"/>
      <c r="J261" s="10"/>
      <c r="K261" s="12"/>
    </row>
    <row r="262" ht="15.75" customHeight="1">
      <c r="A262" s="3" t="s">
        <v>12</v>
      </c>
      <c r="B262" s="3" t="s">
        <v>14</v>
      </c>
      <c r="C262" s="3" t="s">
        <v>1505</v>
      </c>
      <c r="D262" s="8" t="str">
        <f t="shared" si="1"/>
        <v>Abrir anúncio ↗</v>
      </c>
      <c r="E262" s="9" t="s">
        <v>1507</v>
      </c>
      <c r="F262" s="3" t="s">
        <v>29</v>
      </c>
      <c r="G262" s="9" t="s">
        <v>30</v>
      </c>
      <c r="H262" s="9" t="s">
        <v>31</v>
      </c>
      <c r="I262" s="3"/>
      <c r="J262" s="3"/>
      <c r="K262" s="9"/>
    </row>
    <row r="263" ht="15.75" customHeight="1">
      <c r="A263" s="10" t="s">
        <v>12</v>
      </c>
      <c r="B263" s="10" t="s">
        <v>14</v>
      </c>
      <c r="C263" s="10" t="s">
        <v>1510</v>
      </c>
      <c r="D263" s="11" t="str">
        <f t="shared" si="1"/>
        <v>Abrir anúncio ↗</v>
      </c>
      <c r="E263" s="12" t="s">
        <v>1511</v>
      </c>
      <c r="F263" s="10" t="s">
        <v>29</v>
      </c>
      <c r="G263" s="12" t="s">
        <v>30</v>
      </c>
      <c r="H263" s="12" t="s">
        <v>31</v>
      </c>
      <c r="I263" s="10"/>
      <c r="J263" s="10"/>
      <c r="K263" s="12"/>
    </row>
    <row r="264" ht="15.75" customHeight="1">
      <c r="A264" s="3" t="s">
        <v>12</v>
      </c>
      <c r="B264" s="3" t="s">
        <v>14</v>
      </c>
      <c r="C264" s="3" t="s">
        <v>1518</v>
      </c>
      <c r="D264" s="8" t="str">
        <f t="shared" si="1"/>
        <v>Abrir anúncio ↗</v>
      </c>
      <c r="E264" s="9" t="s">
        <v>1520</v>
      </c>
      <c r="F264" s="3" t="s">
        <v>29</v>
      </c>
      <c r="G264" s="9" t="s">
        <v>30</v>
      </c>
      <c r="H264" s="9" t="s">
        <v>31</v>
      </c>
      <c r="I264" s="3"/>
      <c r="J264" s="3"/>
      <c r="K264" s="9"/>
    </row>
    <row r="265" ht="15.75" customHeight="1">
      <c r="A265" s="10" t="s">
        <v>12</v>
      </c>
      <c r="B265" s="10" t="s">
        <v>14</v>
      </c>
      <c r="C265" s="10" t="s">
        <v>1522</v>
      </c>
      <c r="D265" s="11" t="str">
        <f t="shared" si="1"/>
        <v>Abrir anúncio ↗</v>
      </c>
      <c r="E265" s="12" t="s">
        <v>1525</v>
      </c>
      <c r="F265" s="10" t="s">
        <v>29</v>
      </c>
      <c r="G265" s="12" t="s">
        <v>30</v>
      </c>
      <c r="H265" s="12" t="s">
        <v>31</v>
      </c>
      <c r="I265" s="10"/>
      <c r="J265" s="10"/>
      <c r="K265" s="12"/>
    </row>
    <row r="266" ht="15.75" customHeight="1">
      <c r="A266" s="3" t="s">
        <v>12</v>
      </c>
      <c r="B266" s="3" t="s">
        <v>14</v>
      </c>
      <c r="C266" s="3" t="s">
        <v>1529</v>
      </c>
      <c r="D266" s="8" t="str">
        <f t="shared" si="1"/>
        <v>Abrir anúncio ↗</v>
      </c>
      <c r="E266" s="9" t="s">
        <v>1530</v>
      </c>
      <c r="F266" s="3" t="s">
        <v>29</v>
      </c>
      <c r="G266" s="9" t="s">
        <v>30</v>
      </c>
      <c r="H266" s="9" t="s">
        <v>31</v>
      </c>
      <c r="I266" s="3"/>
      <c r="J266" s="3"/>
      <c r="K266" s="9"/>
    </row>
    <row r="267" ht="15.75" customHeight="1">
      <c r="A267" s="10" t="s">
        <v>12</v>
      </c>
      <c r="B267" s="10" t="s">
        <v>14</v>
      </c>
      <c r="C267" s="10" t="s">
        <v>1533</v>
      </c>
      <c r="D267" s="11" t="str">
        <f t="shared" si="1"/>
        <v>Abrir anúncio ↗</v>
      </c>
      <c r="E267" s="12" t="s">
        <v>1536</v>
      </c>
      <c r="F267" s="10" t="s">
        <v>29</v>
      </c>
      <c r="G267" s="12" t="s">
        <v>30</v>
      </c>
      <c r="H267" s="12" t="s">
        <v>31</v>
      </c>
      <c r="I267" s="10"/>
      <c r="J267" s="10"/>
      <c r="K267" s="12"/>
    </row>
    <row r="268" ht="15.75" customHeight="1">
      <c r="A268" s="3" t="s">
        <v>12</v>
      </c>
      <c r="B268" s="3" t="s">
        <v>14</v>
      </c>
      <c r="C268" s="3" t="s">
        <v>1539</v>
      </c>
      <c r="D268" s="8" t="str">
        <f t="shared" si="1"/>
        <v>Abrir anúncio ↗</v>
      </c>
      <c r="E268" s="9" t="s">
        <v>1540</v>
      </c>
      <c r="F268" s="3" t="s">
        <v>29</v>
      </c>
      <c r="G268" s="9" t="s">
        <v>30</v>
      </c>
      <c r="H268" s="9" t="s">
        <v>31</v>
      </c>
      <c r="I268" s="3"/>
      <c r="J268" s="3"/>
      <c r="K268" s="9"/>
    </row>
    <row r="269" ht="15.75" customHeight="1">
      <c r="A269" s="10" t="s">
        <v>12</v>
      </c>
      <c r="B269" s="10" t="s">
        <v>14</v>
      </c>
      <c r="C269" s="10" t="s">
        <v>1543</v>
      </c>
      <c r="D269" s="11" t="str">
        <f t="shared" si="1"/>
        <v>Abrir anúncio ↗</v>
      </c>
      <c r="E269" s="12" t="s">
        <v>1544</v>
      </c>
      <c r="F269" s="10" t="s">
        <v>29</v>
      </c>
      <c r="G269" s="12" t="s">
        <v>30</v>
      </c>
      <c r="H269" s="12" t="s">
        <v>31</v>
      </c>
      <c r="I269" s="10"/>
      <c r="J269" s="10"/>
      <c r="K269" s="12"/>
    </row>
    <row r="270" ht="15.75" customHeight="1">
      <c r="A270" s="3" t="s">
        <v>12</v>
      </c>
      <c r="B270" s="3" t="s">
        <v>14</v>
      </c>
      <c r="C270" s="3" t="s">
        <v>1547</v>
      </c>
      <c r="D270" s="8" t="str">
        <f t="shared" si="1"/>
        <v>Abrir anúncio ↗</v>
      </c>
      <c r="E270" s="9" t="s">
        <v>1551</v>
      </c>
      <c r="F270" s="3" t="s">
        <v>29</v>
      </c>
      <c r="G270" s="9" t="s">
        <v>30</v>
      </c>
      <c r="H270" s="9" t="s">
        <v>31</v>
      </c>
      <c r="I270" s="3"/>
      <c r="J270" s="3"/>
      <c r="K270" s="9"/>
    </row>
    <row r="271" ht="15.75" customHeight="1">
      <c r="A271" s="10" t="s">
        <v>12</v>
      </c>
      <c r="B271" s="10" t="s">
        <v>14</v>
      </c>
      <c r="C271" s="10" t="s">
        <v>1553</v>
      </c>
      <c r="D271" s="11" t="str">
        <f t="shared" si="1"/>
        <v>Abrir anúncio ↗</v>
      </c>
      <c r="E271" s="12" t="s">
        <v>1412</v>
      </c>
      <c r="F271" s="10" t="s">
        <v>29</v>
      </c>
      <c r="G271" s="12" t="s">
        <v>744</v>
      </c>
      <c r="H271" s="12" t="s">
        <v>745</v>
      </c>
      <c r="I271" s="10"/>
      <c r="J271" s="10"/>
      <c r="K271" s="12"/>
    </row>
    <row r="272" ht="15.75" customHeight="1">
      <c r="A272" s="3" t="s">
        <v>12</v>
      </c>
      <c r="B272" s="3" t="s">
        <v>14</v>
      </c>
      <c r="C272" s="3" t="s">
        <v>1557</v>
      </c>
      <c r="D272" s="8" t="str">
        <f t="shared" si="1"/>
        <v>Abrir anúncio ↗</v>
      </c>
      <c r="E272" s="9" t="s">
        <v>1561</v>
      </c>
      <c r="F272" s="3" t="s">
        <v>29</v>
      </c>
      <c r="G272" s="9" t="s">
        <v>841</v>
      </c>
      <c r="H272" s="9" t="s">
        <v>1562</v>
      </c>
      <c r="I272" s="3"/>
      <c r="J272" s="3"/>
      <c r="K272" s="9"/>
    </row>
    <row r="273" ht="15.75" customHeight="1">
      <c r="A273" s="10" t="s">
        <v>12</v>
      </c>
      <c r="B273" s="10" t="s">
        <v>14</v>
      </c>
      <c r="C273" s="10" t="s">
        <v>1564</v>
      </c>
      <c r="D273" s="11" t="str">
        <f t="shared" si="1"/>
        <v>Abrir anúncio ↗</v>
      </c>
      <c r="E273" s="12" t="s">
        <v>1565</v>
      </c>
      <c r="F273" s="10" t="s">
        <v>29</v>
      </c>
      <c r="G273" s="12" t="s">
        <v>841</v>
      </c>
      <c r="H273" s="12" t="s">
        <v>1567</v>
      </c>
      <c r="I273" s="10"/>
      <c r="J273" s="10"/>
      <c r="K273" s="12"/>
    </row>
    <row r="274" ht="15.75" customHeight="1">
      <c r="A274" s="3" t="s">
        <v>12</v>
      </c>
      <c r="B274" s="3" t="s">
        <v>14</v>
      </c>
      <c r="C274" s="3" t="s">
        <v>1573</v>
      </c>
      <c r="D274" s="8" t="str">
        <f t="shared" si="1"/>
        <v>Abrir anúncio ↗</v>
      </c>
      <c r="E274" s="9" t="s">
        <v>1357</v>
      </c>
      <c r="F274" s="3" t="s">
        <v>29</v>
      </c>
      <c r="G274" s="9" t="s">
        <v>744</v>
      </c>
      <c r="H274" s="9" t="s">
        <v>745</v>
      </c>
      <c r="I274" s="3"/>
      <c r="J274" s="3"/>
      <c r="K274" s="9"/>
    </row>
    <row r="275" ht="15.75" customHeight="1">
      <c r="A275" s="10" t="s">
        <v>12</v>
      </c>
      <c r="B275" s="10" t="s">
        <v>14</v>
      </c>
      <c r="C275" s="10" t="s">
        <v>1576</v>
      </c>
      <c r="D275" s="11" t="str">
        <f t="shared" si="1"/>
        <v>Abrir anúncio ↗</v>
      </c>
      <c r="E275" s="12" t="s">
        <v>1577</v>
      </c>
      <c r="F275" s="10" t="s">
        <v>29</v>
      </c>
      <c r="G275" s="12" t="s">
        <v>841</v>
      </c>
      <c r="H275" s="12" t="s">
        <v>1579</v>
      </c>
      <c r="I275" s="10"/>
      <c r="J275" s="10"/>
      <c r="K275" s="12"/>
    </row>
    <row r="276" ht="15.75" customHeight="1">
      <c r="A276" s="3" t="s">
        <v>12</v>
      </c>
      <c r="B276" s="3" t="s">
        <v>14</v>
      </c>
      <c r="C276" s="3" t="s">
        <v>1582</v>
      </c>
      <c r="D276" s="8" t="str">
        <f t="shared" si="1"/>
        <v>Abrir anúncio ↗</v>
      </c>
      <c r="E276" s="9" t="s">
        <v>1584</v>
      </c>
      <c r="F276" s="3" t="s">
        <v>29</v>
      </c>
      <c r="G276" s="9" t="s">
        <v>744</v>
      </c>
      <c r="H276" s="9" t="s">
        <v>745</v>
      </c>
      <c r="I276" s="3"/>
      <c r="J276" s="3"/>
      <c r="K276" s="9"/>
    </row>
    <row r="277" ht="15.75" customHeight="1">
      <c r="A277" s="10" t="s">
        <v>12</v>
      </c>
      <c r="B277" s="10" t="s">
        <v>14</v>
      </c>
      <c r="C277" s="10" t="s">
        <v>1587</v>
      </c>
      <c r="D277" s="11" t="str">
        <f t="shared" si="1"/>
        <v>Abrir anúncio ↗</v>
      </c>
      <c r="E277" s="12" t="s">
        <v>1588</v>
      </c>
      <c r="F277" s="10" t="s">
        <v>29</v>
      </c>
      <c r="G277" s="12" t="s">
        <v>744</v>
      </c>
      <c r="H277" s="12" t="s">
        <v>745</v>
      </c>
      <c r="I277" s="10"/>
      <c r="J277" s="10"/>
      <c r="K277" s="12"/>
    </row>
    <row r="278" ht="15.75" customHeight="1">
      <c r="A278" s="3" t="s">
        <v>12</v>
      </c>
      <c r="B278" s="3" t="s">
        <v>14</v>
      </c>
      <c r="C278" s="3" t="s">
        <v>1593</v>
      </c>
      <c r="D278" s="8" t="str">
        <f t="shared" si="1"/>
        <v>Abrir anúncio ↗</v>
      </c>
      <c r="E278" s="9" t="s">
        <v>1596</v>
      </c>
      <c r="F278" s="3" t="s">
        <v>29</v>
      </c>
      <c r="G278" s="9" t="s">
        <v>744</v>
      </c>
      <c r="H278" s="9" t="s">
        <v>745</v>
      </c>
      <c r="I278" s="3"/>
      <c r="J278" s="3"/>
      <c r="K278" s="9"/>
    </row>
    <row r="279" ht="15.75" customHeight="1">
      <c r="A279" s="10" t="s">
        <v>12</v>
      </c>
      <c r="B279" s="10" t="s">
        <v>14</v>
      </c>
      <c r="C279" s="10" t="s">
        <v>1597</v>
      </c>
      <c r="D279" s="11" t="str">
        <f t="shared" si="1"/>
        <v>Abrir anúncio ↗</v>
      </c>
      <c r="E279" s="12" t="s">
        <v>1598</v>
      </c>
      <c r="F279" s="10" t="s">
        <v>29</v>
      </c>
      <c r="G279" s="12" t="s">
        <v>841</v>
      </c>
      <c r="H279" s="12" t="s">
        <v>1601</v>
      </c>
      <c r="I279" s="10"/>
      <c r="J279" s="10"/>
      <c r="K279" s="12"/>
    </row>
    <row r="280" ht="15.75" customHeight="1">
      <c r="A280" s="3" t="s">
        <v>12</v>
      </c>
      <c r="B280" s="3" t="s">
        <v>14</v>
      </c>
      <c r="C280" s="3" t="s">
        <v>1605</v>
      </c>
      <c r="D280" s="8" t="str">
        <f t="shared" si="1"/>
        <v>Abrir anúncio ↗</v>
      </c>
      <c r="E280" s="9" t="s">
        <v>1607</v>
      </c>
      <c r="F280" s="3" t="s">
        <v>29</v>
      </c>
      <c r="G280" s="9" t="s">
        <v>30</v>
      </c>
      <c r="H280" s="9" t="s">
        <v>31</v>
      </c>
      <c r="I280" s="3"/>
      <c r="J280" s="3"/>
      <c r="K280" s="9"/>
    </row>
    <row r="281" ht="15.75" customHeight="1">
      <c r="A281" s="10" t="s">
        <v>12</v>
      </c>
      <c r="B281" s="10" t="s">
        <v>14</v>
      </c>
      <c r="C281" s="10" t="s">
        <v>1609</v>
      </c>
      <c r="D281" s="11" t="str">
        <f t="shared" si="1"/>
        <v>Abrir anúncio ↗</v>
      </c>
      <c r="E281" s="12" t="s">
        <v>1610</v>
      </c>
      <c r="F281" s="10" t="s">
        <v>29</v>
      </c>
      <c r="G281" s="12" t="s">
        <v>30</v>
      </c>
      <c r="H281" s="12" t="s">
        <v>31</v>
      </c>
      <c r="I281" s="10"/>
      <c r="J281" s="10"/>
      <c r="K281" s="12"/>
    </row>
    <row r="282" ht="15.75" customHeight="1">
      <c r="A282" s="3" t="s">
        <v>12</v>
      </c>
      <c r="B282" s="3" t="s">
        <v>14</v>
      </c>
      <c r="C282" s="3" t="s">
        <v>1617</v>
      </c>
      <c r="D282" s="8" t="str">
        <f t="shared" si="1"/>
        <v>Abrir anúncio ↗</v>
      </c>
      <c r="E282" s="9" t="s">
        <v>1618</v>
      </c>
      <c r="F282" s="3" t="s">
        <v>29</v>
      </c>
      <c r="G282" s="9" t="s">
        <v>30</v>
      </c>
      <c r="H282" s="9" t="s">
        <v>31</v>
      </c>
      <c r="I282" s="3"/>
      <c r="J282" s="3"/>
      <c r="K282" s="9"/>
    </row>
    <row r="283" ht="15.75" customHeight="1">
      <c r="A283" s="10" t="s">
        <v>12</v>
      </c>
      <c r="B283" s="10" t="s">
        <v>14</v>
      </c>
      <c r="C283" s="10" t="s">
        <v>1621</v>
      </c>
      <c r="D283" s="11" t="str">
        <f t="shared" si="1"/>
        <v>Abrir anúncio ↗</v>
      </c>
      <c r="E283" s="12" t="s">
        <v>1622</v>
      </c>
      <c r="F283" s="10" t="s">
        <v>29</v>
      </c>
      <c r="G283" s="12" t="s">
        <v>30</v>
      </c>
      <c r="H283" s="12" t="s">
        <v>31</v>
      </c>
      <c r="I283" s="10"/>
      <c r="J283" s="10"/>
      <c r="K283" s="12"/>
    </row>
    <row r="284" ht="15.75" customHeight="1">
      <c r="A284" s="3" t="s">
        <v>12</v>
      </c>
      <c r="B284" s="3" t="s">
        <v>14</v>
      </c>
      <c r="C284" s="3" t="s">
        <v>1626</v>
      </c>
      <c r="D284" s="8" t="str">
        <f t="shared" si="1"/>
        <v>Abrir anúncio ↗</v>
      </c>
      <c r="E284" s="9" t="s">
        <v>1629</v>
      </c>
      <c r="F284" s="3" t="s">
        <v>29</v>
      </c>
      <c r="G284" s="9" t="s">
        <v>30</v>
      </c>
      <c r="H284" s="9" t="s">
        <v>31</v>
      </c>
      <c r="I284" s="3"/>
      <c r="J284" s="3"/>
      <c r="K284" s="9"/>
    </row>
    <row r="285" ht="15.75" customHeight="1">
      <c r="A285" s="10" t="s">
        <v>12</v>
      </c>
      <c r="B285" s="10" t="s">
        <v>14</v>
      </c>
      <c r="C285" s="10" t="s">
        <v>1631</v>
      </c>
      <c r="D285" s="11" t="str">
        <f t="shared" si="1"/>
        <v>Abrir anúncio ↗</v>
      </c>
      <c r="E285" s="12" t="s">
        <v>1632</v>
      </c>
      <c r="F285" s="10" t="s">
        <v>29</v>
      </c>
      <c r="G285" s="12" t="s">
        <v>30</v>
      </c>
      <c r="H285" s="12" t="s">
        <v>31</v>
      </c>
      <c r="I285" s="10"/>
      <c r="J285" s="10"/>
      <c r="K285" s="12"/>
    </row>
    <row r="286" ht="15.75" customHeight="1">
      <c r="A286" s="3" t="s">
        <v>12</v>
      </c>
      <c r="B286" s="3" t="s">
        <v>14</v>
      </c>
      <c r="C286" s="3" t="s">
        <v>1636</v>
      </c>
      <c r="D286" s="8" t="str">
        <f t="shared" si="1"/>
        <v>Abrir anúncio ↗</v>
      </c>
      <c r="E286" s="9" t="s">
        <v>1640</v>
      </c>
      <c r="F286" s="3" t="s">
        <v>29</v>
      </c>
      <c r="G286" s="9" t="s">
        <v>30</v>
      </c>
      <c r="H286" s="9" t="s">
        <v>31</v>
      </c>
      <c r="I286" s="3"/>
      <c r="J286" s="3"/>
      <c r="K286" s="9"/>
    </row>
    <row r="287" ht="15.75" customHeight="1">
      <c r="A287" s="10" t="s">
        <v>12</v>
      </c>
      <c r="B287" s="10" t="s">
        <v>14</v>
      </c>
      <c r="C287" s="10" t="s">
        <v>1641</v>
      </c>
      <c r="D287" s="11" t="str">
        <f t="shared" si="1"/>
        <v>Abrir anúncio ↗</v>
      </c>
      <c r="E287" s="12" t="s">
        <v>1551</v>
      </c>
      <c r="F287" s="10" t="s">
        <v>29</v>
      </c>
      <c r="G287" s="12" t="s">
        <v>30</v>
      </c>
      <c r="H287" s="12" t="s">
        <v>31</v>
      </c>
      <c r="I287" s="10"/>
      <c r="J287" s="10"/>
      <c r="K287" s="12"/>
    </row>
    <row r="288" ht="15.75" customHeight="1">
      <c r="A288" s="3" t="s">
        <v>12</v>
      </c>
      <c r="B288" s="3" t="s">
        <v>14</v>
      </c>
      <c r="C288" s="3" t="s">
        <v>1647</v>
      </c>
      <c r="D288" s="8" t="str">
        <f t="shared" si="1"/>
        <v>Abrir anúncio ↗</v>
      </c>
      <c r="E288" s="9" t="s">
        <v>1650</v>
      </c>
      <c r="F288" s="3" t="s">
        <v>29</v>
      </c>
      <c r="G288" s="9" t="s">
        <v>30</v>
      </c>
      <c r="H288" s="9" t="s">
        <v>31</v>
      </c>
      <c r="I288" s="3"/>
      <c r="J288" s="3"/>
      <c r="K288" s="9"/>
    </row>
    <row r="289" ht="15.75" customHeight="1">
      <c r="A289" s="10" t="s">
        <v>12</v>
      </c>
      <c r="B289" s="10" t="s">
        <v>14</v>
      </c>
      <c r="C289" s="10" t="s">
        <v>1653</v>
      </c>
      <c r="D289" s="11" t="str">
        <f t="shared" si="1"/>
        <v>Abrir anúncio ↗</v>
      </c>
      <c r="E289" s="12" t="s">
        <v>1655</v>
      </c>
      <c r="F289" s="10" t="s">
        <v>29</v>
      </c>
      <c r="G289" s="12" t="s">
        <v>30</v>
      </c>
      <c r="H289" s="12" t="s">
        <v>31</v>
      </c>
      <c r="I289" s="10"/>
      <c r="J289" s="10"/>
      <c r="K289" s="12"/>
    </row>
    <row r="290" ht="15.75" customHeight="1">
      <c r="A290" s="3" t="s">
        <v>12</v>
      </c>
      <c r="B290" s="3" t="s">
        <v>14</v>
      </c>
      <c r="C290" s="3" t="s">
        <v>1657</v>
      </c>
      <c r="D290" s="8" t="str">
        <f t="shared" si="1"/>
        <v>Abrir anúncio ↗</v>
      </c>
      <c r="E290" s="9" t="s">
        <v>1659</v>
      </c>
      <c r="F290" s="3" t="s">
        <v>29</v>
      </c>
      <c r="G290" s="9" t="s">
        <v>30</v>
      </c>
      <c r="H290" s="9" t="s">
        <v>31</v>
      </c>
      <c r="I290" s="3"/>
      <c r="J290" s="3"/>
      <c r="K290" s="9"/>
    </row>
    <row r="291" ht="15.75" customHeight="1">
      <c r="A291" s="10" t="s">
        <v>12</v>
      </c>
      <c r="B291" s="10" t="s">
        <v>14</v>
      </c>
      <c r="C291" s="10" t="s">
        <v>1666</v>
      </c>
      <c r="D291" s="11" t="str">
        <f t="shared" si="1"/>
        <v>Abrir anúncio ↗</v>
      </c>
      <c r="E291" s="12" t="s">
        <v>1667</v>
      </c>
      <c r="F291" s="10" t="s">
        <v>29</v>
      </c>
      <c r="G291" s="12" t="s">
        <v>30</v>
      </c>
      <c r="H291" s="12" t="s">
        <v>31</v>
      </c>
      <c r="I291" s="10"/>
      <c r="J291" s="10"/>
      <c r="K291" s="12"/>
    </row>
    <row r="292" ht="15.75" customHeight="1">
      <c r="A292" s="3" t="s">
        <v>12</v>
      </c>
      <c r="B292" s="3" t="s">
        <v>14</v>
      </c>
      <c r="C292" s="3" t="s">
        <v>1670</v>
      </c>
      <c r="D292" s="8" t="str">
        <f t="shared" si="1"/>
        <v>Abrir anúncio ↗</v>
      </c>
      <c r="E292" s="9" t="s">
        <v>1673</v>
      </c>
      <c r="F292" s="3" t="s">
        <v>29</v>
      </c>
      <c r="G292" s="9" t="s">
        <v>30</v>
      </c>
      <c r="H292" s="9" t="s">
        <v>31</v>
      </c>
      <c r="I292" s="3"/>
      <c r="J292" s="3"/>
      <c r="K292" s="9"/>
    </row>
    <row r="293" ht="15.75" customHeight="1">
      <c r="A293" s="10" t="s">
        <v>12</v>
      </c>
      <c r="B293" s="10" t="s">
        <v>14</v>
      </c>
      <c r="C293" s="10" t="s">
        <v>1677</v>
      </c>
      <c r="D293" s="11" t="str">
        <f t="shared" si="1"/>
        <v>Abrir anúncio ↗</v>
      </c>
      <c r="E293" s="12" t="s">
        <v>1655</v>
      </c>
      <c r="F293" s="10" t="s">
        <v>29</v>
      </c>
      <c r="G293" s="12" t="s">
        <v>744</v>
      </c>
      <c r="H293" s="12" t="s">
        <v>745</v>
      </c>
      <c r="I293" s="10"/>
      <c r="J293" s="10"/>
      <c r="K293" s="12"/>
    </row>
    <row r="294" ht="15.75" customHeight="1">
      <c r="A294" s="3" t="s">
        <v>12</v>
      </c>
      <c r="B294" s="3" t="s">
        <v>14</v>
      </c>
      <c r="C294" s="3" t="s">
        <v>1679</v>
      </c>
      <c r="D294" s="8" t="str">
        <f t="shared" si="1"/>
        <v>Abrir anúncio ↗</v>
      </c>
      <c r="E294" s="9" t="s">
        <v>1682</v>
      </c>
      <c r="F294" s="3" t="s">
        <v>29</v>
      </c>
      <c r="G294" s="9" t="s">
        <v>841</v>
      </c>
      <c r="H294" s="9" t="s">
        <v>1686</v>
      </c>
      <c r="I294" s="3"/>
      <c r="J294" s="3"/>
      <c r="K294" s="9"/>
    </row>
    <row r="295" ht="15.75" customHeight="1">
      <c r="A295" s="10" t="s">
        <v>12</v>
      </c>
      <c r="B295" s="10" t="s">
        <v>14</v>
      </c>
      <c r="C295" s="10" t="s">
        <v>1687</v>
      </c>
      <c r="D295" s="11" t="str">
        <f t="shared" si="1"/>
        <v>Abrir anúncio ↗</v>
      </c>
      <c r="E295" s="12" t="s">
        <v>1688</v>
      </c>
      <c r="F295" s="10" t="s">
        <v>29</v>
      </c>
      <c r="G295" s="12" t="s">
        <v>841</v>
      </c>
      <c r="H295" s="12" t="s">
        <v>1691</v>
      </c>
      <c r="I295" s="10"/>
      <c r="J295" s="10"/>
      <c r="K295" s="12"/>
    </row>
    <row r="296" ht="15.75" customHeight="1">
      <c r="A296" s="3" t="s">
        <v>12</v>
      </c>
      <c r="B296" s="3" t="s">
        <v>14</v>
      </c>
      <c r="C296" s="3" t="s">
        <v>1695</v>
      </c>
      <c r="D296" s="8" t="str">
        <f t="shared" si="1"/>
        <v>Abrir anúncio ↗</v>
      </c>
      <c r="E296" s="9" t="s">
        <v>1697</v>
      </c>
      <c r="F296" s="3" t="s">
        <v>29</v>
      </c>
      <c r="G296" s="9" t="s">
        <v>841</v>
      </c>
      <c r="H296" s="9" t="s">
        <v>1698</v>
      </c>
      <c r="I296" s="3"/>
      <c r="J296" s="3"/>
      <c r="K296" s="9"/>
    </row>
    <row r="297" ht="15.75" customHeight="1">
      <c r="A297" s="10" t="s">
        <v>12</v>
      </c>
      <c r="B297" s="10" t="s">
        <v>14</v>
      </c>
      <c r="C297" s="10" t="s">
        <v>1699</v>
      </c>
      <c r="D297" s="11" t="str">
        <f t="shared" si="1"/>
        <v>Abrir anúncio ↗</v>
      </c>
      <c r="E297" s="12" t="s">
        <v>1098</v>
      </c>
      <c r="F297" s="10" t="s">
        <v>29</v>
      </c>
      <c r="G297" s="12" t="s">
        <v>30</v>
      </c>
      <c r="H297" s="12" t="s">
        <v>31</v>
      </c>
      <c r="I297" s="10"/>
      <c r="J297" s="10"/>
      <c r="K297" s="12"/>
    </row>
    <row r="298" ht="15.75" customHeight="1">
      <c r="A298" s="3" t="s">
        <v>12</v>
      </c>
      <c r="B298" s="3" t="s">
        <v>14</v>
      </c>
      <c r="C298" s="3" t="s">
        <v>1705</v>
      </c>
      <c r="D298" s="8" t="str">
        <f t="shared" si="1"/>
        <v>Abrir anúncio ↗</v>
      </c>
      <c r="E298" s="9" t="s">
        <v>1707</v>
      </c>
      <c r="F298" s="3" t="s">
        <v>29</v>
      </c>
      <c r="G298" s="9" t="s">
        <v>30</v>
      </c>
      <c r="H298" s="9" t="s">
        <v>31</v>
      </c>
      <c r="I298" s="3"/>
      <c r="J298" s="3"/>
      <c r="K298" s="9"/>
    </row>
    <row r="299" ht="15.75" customHeight="1">
      <c r="A299" s="10" t="s">
        <v>12</v>
      </c>
      <c r="B299" s="10" t="s">
        <v>14</v>
      </c>
      <c r="C299" s="10" t="s">
        <v>1709</v>
      </c>
      <c r="D299" s="11" t="str">
        <f t="shared" si="1"/>
        <v>Abrir anúncio ↗</v>
      </c>
      <c r="E299" s="12" t="s">
        <v>1711</v>
      </c>
      <c r="F299" s="10" t="s">
        <v>29</v>
      </c>
      <c r="G299" s="12" t="s">
        <v>30</v>
      </c>
      <c r="H299" s="12" t="s">
        <v>31</v>
      </c>
      <c r="I299" s="10"/>
      <c r="J299" s="10"/>
      <c r="K299" s="12"/>
    </row>
    <row r="300" ht="15.75" customHeight="1">
      <c r="A300" s="3" t="s">
        <v>12</v>
      </c>
      <c r="B300" s="3" t="s">
        <v>14</v>
      </c>
      <c r="C300" s="3" t="s">
        <v>1714</v>
      </c>
      <c r="D300" s="8" t="str">
        <f t="shared" si="1"/>
        <v>Abrir anúncio ↗</v>
      </c>
      <c r="E300" s="9" t="s">
        <v>1717</v>
      </c>
      <c r="F300" s="3" t="s">
        <v>29</v>
      </c>
      <c r="G300" s="9" t="s">
        <v>30</v>
      </c>
      <c r="H300" s="9" t="s">
        <v>31</v>
      </c>
      <c r="I300" s="3"/>
      <c r="J300" s="3"/>
      <c r="K300" s="9"/>
    </row>
    <row r="301" ht="15.75" customHeight="1">
      <c r="A301" s="10" t="s">
        <v>12</v>
      </c>
      <c r="B301" s="10" t="s">
        <v>14</v>
      </c>
      <c r="C301" s="10" t="s">
        <v>1720</v>
      </c>
      <c r="D301" s="11" t="str">
        <f t="shared" si="1"/>
        <v>Abrir anúncio ↗</v>
      </c>
      <c r="E301" s="12" t="s">
        <v>1721</v>
      </c>
      <c r="F301" s="10" t="s">
        <v>29</v>
      </c>
      <c r="G301" s="12" t="s">
        <v>30</v>
      </c>
      <c r="H301" s="12" t="s">
        <v>31</v>
      </c>
      <c r="I301" s="10"/>
      <c r="J301" s="10"/>
      <c r="K301" s="12"/>
    </row>
    <row r="302" ht="15.75" customHeight="1">
      <c r="A302" s="3" t="s">
        <v>12</v>
      </c>
      <c r="B302" s="3" t="s">
        <v>14</v>
      </c>
      <c r="C302" s="3" t="s">
        <v>1727</v>
      </c>
      <c r="D302" s="8" t="str">
        <f t="shared" si="1"/>
        <v>Abrir anúncio ↗</v>
      </c>
      <c r="E302" s="9" t="s">
        <v>1729</v>
      </c>
      <c r="F302" s="3" t="s">
        <v>86</v>
      </c>
      <c r="G302" s="9" t="s">
        <v>30</v>
      </c>
      <c r="H302" s="9" t="s">
        <v>31</v>
      </c>
      <c r="I302" s="3"/>
      <c r="J302" s="3"/>
      <c r="K302" s="9"/>
    </row>
    <row r="303" ht="15.75" customHeight="1">
      <c r="A303" s="10" t="s">
        <v>12</v>
      </c>
      <c r="B303" s="10" t="s">
        <v>14</v>
      </c>
      <c r="C303" s="10" t="s">
        <v>1730</v>
      </c>
      <c r="D303" s="11" t="str">
        <f t="shared" si="1"/>
        <v>Abrir anúncio ↗</v>
      </c>
      <c r="E303" s="12" t="s">
        <v>1731</v>
      </c>
      <c r="F303" s="10" t="s">
        <v>29</v>
      </c>
      <c r="G303" s="12" t="s">
        <v>30</v>
      </c>
      <c r="H303" s="12" t="s">
        <v>31</v>
      </c>
      <c r="I303" s="10"/>
      <c r="J303" s="10"/>
      <c r="K303" s="12"/>
    </row>
    <row r="304" ht="15.75" customHeight="1">
      <c r="A304" s="3" t="s">
        <v>12</v>
      </c>
      <c r="B304" s="3" t="s">
        <v>14</v>
      </c>
      <c r="C304" s="3" t="s">
        <v>1737</v>
      </c>
      <c r="D304" s="8" t="str">
        <f t="shared" si="1"/>
        <v>Abrir anúncio ↗</v>
      </c>
      <c r="E304" s="9" t="s">
        <v>1739</v>
      </c>
      <c r="F304" s="3" t="s">
        <v>29</v>
      </c>
      <c r="G304" s="9" t="s">
        <v>30</v>
      </c>
      <c r="H304" s="9" t="s">
        <v>31</v>
      </c>
      <c r="I304" s="3"/>
      <c r="J304" s="3"/>
      <c r="K304" s="9"/>
    </row>
    <row r="305" ht="15.75" customHeight="1">
      <c r="A305" s="10" t="s">
        <v>12</v>
      </c>
      <c r="B305" s="10" t="s">
        <v>14</v>
      </c>
      <c r="C305" s="10" t="s">
        <v>1742</v>
      </c>
      <c r="D305" s="11" t="str">
        <f t="shared" si="1"/>
        <v>Abrir anúncio ↗</v>
      </c>
      <c r="E305" s="12" t="s">
        <v>1744</v>
      </c>
      <c r="F305" s="10" t="s">
        <v>29</v>
      </c>
      <c r="G305" s="12" t="s">
        <v>30</v>
      </c>
      <c r="H305" s="12" t="s">
        <v>31</v>
      </c>
      <c r="I305" s="10"/>
      <c r="J305" s="10"/>
      <c r="K305" s="12"/>
    </row>
    <row r="306" ht="15.75" customHeight="1">
      <c r="A306" s="3" t="s">
        <v>12</v>
      </c>
      <c r="B306" s="3" t="s">
        <v>14</v>
      </c>
      <c r="C306" s="3" t="s">
        <v>1748</v>
      </c>
      <c r="D306" s="8" t="str">
        <f t="shared" si="1"/>
        <v>Abrir anúncio ↗</v>
      </c>
      <c r="E306" s="9" t="s">
        <v>1501</v>
      </c>
      <c r="F306" s="3" t="s">
        <v>29</v>
      </c>
      <c r="G306" s="9" t="s">
        <v>30</v>
      </c>
      <c r="H306" s="9" t="s">
        <v>31</v>
      </c>
      <c r="I306" s="3"/>
      <c r="J306" s="3"/>
      <c r="K306" s="9"/>
    </row>
    <row r="307" ht="15.75" customHeight="1">
      <c r="A307" s="10" t="s">
        <v>12</v>
      </c>
      <c r="B307" s="10" t="s">
        <v>14</v>
      </c>
      <c r="C307" s="10" t="s">
        <v>1753</v>
      </c>
      <c r="D307" s="11" t="str">
        <f t="shared" si="1"/>
        <v>Abrir anúncio ↗</v>
      </c>
      <c r="E307" s="12" t="s">
        <v>1755</v>
      </c>
      <c r="F307" s="10" t="s">
        <v>29</v>
      </c>
      <c r="G307" s="12" t="s">
        <v>238</v>
      </c>
      <c r="H307" s="12" t="s">
        <v>1757</v>
      </c>
      <c r="I307" s="10"/>
      <c r="J307" s="10"/>
      <c r="K307" s="12"/>
    </row>
    <row r="308" ht="15.75" customHeight="1">
      <c r="A308" s="3" t="s">
        <v>12</v>
      </c>
      <c r="B308" s="3" t="s">
        <v>14</v>
      </c>
      <c r="C308" s="3" t="s">
        <v>1759</v>
      </c>
      <c r="D308" s="8" t="str">
        <f t="shared" si="1"/>
        <v>Abrir anúncio ↗</v>
      </c>
      <c r="E308" s="9" t="s">
        <v>1761</v>
      </c>
      <c r="F308" s="3" t="s">
        <v>29</v>
      </c>
      <c r="G308" s="9" t="s">
        <v>238</v>
      </c>
      <c r="H308" s="9" t="s">
        <v>1762</v>
      </c>
      <c r="I308" s="3"/>
      <c r="J308" s="3"/>
      <c r="K308" s="9"/>
    </row>
    <row r="309" ht="15.75" customHeight="1">
      <c r="A309" s="10" t="s">
        <v>12</v>
      </c>
      <c r="B309" s="10" t="s">
        <v>14</v>
      </c>
      <c r="C309" s="10" t="s">
        <v>1766</v>
      </c>
      <c r="D309" s="11" t="str">
        <f t="shared" si="1"/>
        <v>Abrir anúncio ↗</v>
      </c>
      <c r="E309" s="12" t="s">
        <v>1767</v>
      </c>
      <c r="F309" s="10" t="s">
        <v>29</v>
      </c>
      <c r="G309" s="12" t="s">
        <v>238</v>
      </c>
      <c r="H309" s="12" t="s">
        <v>918</v>
      </c>
      <c r="I309" s="10"/>
      <c r="J309" s="10"/>
      <c r="K309" s="12"/>
    </row>
    <row r="310" ht="15.75" customHeight="1">
      <c r="A310" s="3" t="s">
        <v>12</v>
      </c>
      <c r="B310" s="3" t="s">
        <v>14</v>
      </c>
      <c r="C310" s="3" t="s">
        <v>1770</v>
      </c>
      <c r="D310" s="8" t="str">
        <f t="shared" si="1"/>
        <v>Abrir anúncio ↗</v>
      </c>
      <c r="E310" s="9" t="s">
        <v>1773</v>
      </c>
      <c r="F310" s="3" t="s">
        <v>86</v>
      </c>
      <c r="G310" s="9" t="s">
        <v>238</v>
      </c>
      <c r="H310" s="9" t="s">
        <v>1776</v>
      </c>
      <c r="I310" s="3"/>
      <c r="J310" s="3"/>
      <c r="K310" s="9"/>
    </row>
    <row r="311" ht="15.75" customHeight="1">
      <c r="A311" s="10" t="s">
        <v>12</v>
      </c>
      <c r="B311" s="10" t="s">
        <v>14</v>
      </c>
      <c r="C311" s="10" t="s">
        <v>1778</v>
      </c>
      <c r="D311" s="11" t="str">
        <f t="shared" si="1"/>
        <v>Abrir anúncio ↗</v>
      </c>
      <c r="E311" s="12" t="s">
        <v>1779</v>
      </c>
      <c r="F311" s="10" t="s">
        <v>86</v>
      </c>
      <c r="G311" s="12" t="s">
        <v>238</v>
      </c>
      <c r="H311" s="12" t="s">
        <v>963</v>
      </c>
      <c r="I311" s="10"/>
      <c r="J311" s="10"/>
      <c r="K311" s="12"/>
    </row>
    <row r="312" ht="15.75" customHeight="1">
      <c r="A312" s="3" t="s">
        <v>12</v>
      </c>
      <c r="B312" s="3" t="s">
        <v>14</v>
      </c>
      <c r="C312" s="3" t="s">
        <v>1784</v>
      </c>
      <c r="D312" s="8" t="str">
        <f t="shared" si="1"/>
        <v>Abrir anúncio ↗</v>
      </c>
      <c r="E312" s="9" t="s">
        <v>1786</v>
      </c>
      <c r="F312" s="3" t="s">
        <v>29</v>
      </c>
      <c r="G312" s="9" t="s">
        <v>238</v>
      </c>
      <c r="H312" s="9" t="s">
        <v>1787</v>
      </c>
      <c r="I312" s="3"/>
      <c r="J312" s="3"/>
      <c r="K312" s="9"/>
    </row>
    <row r="313" ht="15.75" customHeight="1">
      <c r="A313" s="10" t="s">
        <v>12</v>
      </c>
      <c r="B313" s="10" t="s">
        <v>14</v>
      </c>
      <c r="C313" s="10" t="s">
        <v>1790</v>
      </c>
      <c r="D313" s="11" t="str">
        <f t="shared" si="1"/>
        <v>Abrir anúncio ↗</v>
      </c>
      <c r="E313" s="12" t="s">
        <v>1792</v>
      </c>
      <c r="F313" s="10" t="s">
        <v>86</v>
      </c>
      <c r="G313" s="12" t="s">
        <v>30</v>
      </c>
      <c r="H313" s="12" t="s">
        <v>31</v>
      </c>
      <c r="I313" s="10"/>
      <c r="J313" s="10"/>
      <c r="K313" s="12"/>
    </row>
    <row r="314" ht="15.75" customHeight="1">
      <c r="A314" s="3" t="s">
        <v>12</v>
      </c>
      <c r="B314" s="3" t="s">
        <v>14</v>
      </c>
      <c r="C314" s="3" t="s">
        <v>1795</v>
      </c>
      <c r="D314" s="8" t="str">
        <f t="shared" si="1"/>
        <v>Abrir anúncio ↗</v>
      </c>
      <c r="E314" s="9" t="s">
        <v>1797</v>
      </c>
      <c r="F314" s="3" t="s">
        <v>29</v>
      </c>
      <c r="G314" s="9" t="s">
        <v>238</v>
      </c>
      <c r="H314" s="9" t="s">
        <v>906</v>
      </c>
      <c r="I314" s="3"/>
      <c r="J314" s="3"/>
      <c r="K314" s="9"/>
    </row>
    <row r="315" ht="15.75" customHeight="1">
      <c r="A315" s="10" t="s">
        <v>12</v>
      </c>
      <c r="B315" s="10" t="s">
        <v>14</v>
      </c>
      <c r="C315" s="10" t="s">
        <v>1802</v>
      </c>
      <c r="D315" s="11" t="str">
        <f t="shared" si="1"/>
        <v>Abrir anúncio ↗</v>
      </c>
      <c r="E315" s="12" t="s">
        <v>1803</v>
      </c>
      <c r="F315" s="10" t="s">
        <v>29</v>
      </c>
      <c r="G315" s="12" t="s">
        <v>238</v>
      </c>
      <c r="H315" s="12" t="s">
        <v>934</v>
      </c>
      <c r="I315" s="10"/>
      <c r="J315" s="10"/>
      <c r="K315" s="12"/>
    </row>
    <row r="316" ht="15.75" customHeight="1">
      <c r="A316" s="3" t="s">
        <v>12</v>
      </c>
      <c r="B316" s="3" t="s">
        <v>14</v>
      </c>
      <c r="C316" s="3" t="s">
        <v>1807</v>
      </c>
      <c r="D316" s="8" t="str">
        <f t="shared" si="1"/>
        <v>Abrir anúncio ↗</v>
      </c>
      <c r="E316" s="9" t="s">
        <v>1809</v>
      </c>
      <c r="F316" s="3" t="s">
        <v>29</v>
      </c>
      <c r="G316" s="9" t="s">
        <v>841</v>
      </c>
      <c r="H316" s="9" t="s">
        <v>1812</v>
      </c>
      <c r="I316" s="3"/>
      <c r="J316" s="3"/>
      <c r="K316" s="9"/>
    </row>
    <row r="317" ht="15.75" customHeight="1">
      <c r="A317" s="10" t="s">
        <v>12</v>
      </c>
      <c r="B317" s="10" t="s">
        <v>14</v>
      </c>
      <c r="C317" s="10" t="s">
        <v>1814</v>
      </c>
      <c r="D317" s="11" t="str">
        <f t="shared" si="1"/>
        <v>Abrir anúncio ↗</v>
      </c>
      <c r="E317" s="12" t="s">
        <v>463</v>
      </c>
      <c r="F317" s="10" t="s">
        <v>29</v>
      </c>
      <c r="G317" s="12" t="s">
        <v>30</v>
      </c>
      <c r="H317" s="12" t="s">
        <v>31</v>
      </c>
      <c r="I317" s="10"/>
      <c r="J317" s="10"/>
      <c r="K317" s="12"/>
    </row>
    <row r="318" ht="15.75" customHeight="1">
      <c r="A318" s="3" t="s">
        <v>12</v>
      </c>
      <c r="B318" s="3" t="s">
        <v>14</v>
      </c>
      <c r="C318" s="3" t="s">
        <v>1819</v>
      </c>
      <c r="D318" s="8" t="str">
        <f t="shared" si="1"/>
        <v>Abrir anúncio ↗</v>
      </c>
      <c r="E318" s="9" t="s">
        <v>1470</v>
      </c>
      <c r="F318" s="3" t="s">
        <v>29</v>
      </c>
      <c r="G318" s="9" t="s">
        <v>744</v>
      </c>
      <c r="H318" s="9" t="s">
        <v>745</v>
      </c>
      <c r="I318" s="3"/>
      <c r="J318" s="3"/>
      <c r="K318" s="9"/>
    </row>
    <row r="319" ht="15.75" customHeight="1">
      <c r="A319" s="10" t="s">
        <v>12</v>
      </c>
      <c r="B319" s="10" t="s">
        <v>14</v>
      </c>
      <c r="C319" s="10" t="s">
        <v>1823</v>
      </c>
      <c r="D319" s="11" t="str">
        <f t="shared" si="1"/>
        <v>Abrir anúncio ↗</v>
      </c>
      <c r="E319" s="12" t="s">
        <v>1825</v>
      </c>
      <c r="F319" s="10" t="s">
        <v>29</v>
      </c>
      <c r="G319" s="12" t="s">
        <v>30</v>
      </c>
      <c r="H319" s="12" t="s">
        <v>31</v>
      </c>
      <c r="I319" s="10"/>
      <c r="J319" s="10"/>
      <c r="K319" s="12"/>
    </row>
    <row r="320" ht="15.75" customHeight="1">
      <c r="A320" s="3" t="s">
        <v>12</v>
      </c>
      <c r="B320" s="3" t="s">
        <v>14</v>
      </c>
      <c r="C320" s="3" t="s">
        <v>1829</v>
      </c>
      <c r="D320" s="8" t="str">
        <f t="shared" si="1"/>
        <v>Abrir anúncio ↗</v>
      </c>
      <c r="E320" s="9" t="s">
        <v>1830</v>
      </c>
      <c r="F320" s="3" t="s">
        <v>29</v>
      </c>
      <c r="G320" s="9" t="s">
        <v>30</v>
      </c>
      <c r="H320" s="9" t="s">
        <v>31</v>
      </c>
      <c r="I320" s="3"/>
      <c r="J320" s="3"/>
      <c r="K320" s="9"/>
    </row>
    <row r="321" ht="15.75" customHeight="1">
      <c r="A321" s="10" t="s">
        <v>12</v>
      </c>
      <c r="B321" s="10" t="s">
        <v>14</v>
      </c>
      <c r="C321" s="10" t="s">
        <v>1834</v>
      </c>
      <c r="D321" s="11" t="str">
        <f t="shared" si="1"/>
        <v>Abrir anúncio ↗</v>
      </c>
      <c r="E321" s="12" t="s">
        <v>1835</v>
      </c>
      <c r="F321" s="10" t="s">
        <v>29</v>
      </c>
      <c r="G321" s="12" t="s">
        <v>30</v>
      </c>
      <c r="H321" s="12" t="s">
        <v>31</v>
      </c>
      <c r="I321" s="10"/>
      <c r="J321" s="10"/>
      <c r="K321" s="12"/>
    </row>
    <row r="322" ht="15.75" customHeight="1">
      <c r="A322" s="3" t="s">
        <v>12</v>
      </c>
      <c r="B322" s="3" t="s">
        <v>14</v>
      </c>
      <c r="C322" s="3" t="s">
        <v>1839</v>
      </c>
      <c r="D322" s="8" t="str">
        <f t="shared" si="1"/>
        <v>Abrir anúncio ↗</v>
      </c>
      <c r="E322" s="9" t="s">
        <v>1841</v>
      </c>
      <c r="F322" s="3" t="s">
        <v>29</v>
      </c>
      <c r="G322" s="9" t="s">
        <v>30</v>
      </c>
      <c r="H322" s="9" t="s">
        <v>31</v>
      </c>
      <c r="I322" s="3"/>
      <c r="J322" s="3"/>
      <c r="K322" s="9"/>
    </row>
    <row r="323" ht="15.75" customHeight="1">
      <c r="A323" s="10" t="s">
        <v>12</v>
      </c>
      <c r="B323" s="10" t="s">
        <v>14</v>
      </c>
      <c r="C323" s="10" t="s">
        <v>1845</v>
      </c>
      <c r="D323" s="11" t="str">
        <f t="shared" si="1"/>
        <v>Abrir anúncio ↗</v>
      </c>
      <c r="E323" s="12" t="s">
        <v>1830</v>
      </c>
      <c r="F323" s="10" t="s">
        <v>29</v>
      </c>
      <c r="G323" s="12" t="s">
        <v>744</v>
      </c>
      <c r="H323" s="12" t="s">
        <v>745</v>
      </c>
      <c r="I323" s="10"/>
      <c r="J323" s="10"/>
      <c r="K323" s="12"/>
    </row>
    <row r="324" ht="15.75" customHeight="1">
      <c r="A324" s="3" t="s">
        <v>12</v>
      </c>
      <c r="B324" s="3" t="s">
        <v>14</v>
      </c>
      <c r="C324" s="3" t="s">
        <v>1849</v>
      </c>
      <c r="D324" s="8" t="str">
        <f t="shared" si="1"/>
        <v>Abrir anúncio ↗</v>
      </c>
      <c r="E324" s="9" t="s">
        <v>1835</v>
      </c>
      <c r="F324" s="3" t="s">
        <v>29</v>
      </c>
      <c r="G324" s="9" t="s">
        <v>744</v>
      </c>
      <c r="H324" s="9" t="s">
        <v>745</v>
      </c>
      <c r="I324" s="3"/>
      <c r="J324" s="3"/>
      <c r="K324" s="9"/>
    </row>
    <row r="325" ht="15.75" customHeight="1">
      <c r="A325" s="10" t="s">
        <v>12</v>
      </c>
      <c r="B325" s="10" t="s">
        <v>14</v>
      </c>
      <c r="C325" s="10" t="s">
        <v>1853</v>
      </c>
      <c r="D325" s="11" t="str">
        <f t="shared" si="1"/>
        <v>Abrir anúncio ↗</v>
      </c>
      <c r="E325" s="12" t="s">
        <v>1854</v>
      </c>
      <c r="F325" s="10" t="s">
        <v>29</v>
      </c>
      <c r="G325" s="12" t="s">
        <v>841</v>
      </c>
      <c r="H325" s="12" t="s">
        <v>1856</v>
      </c>
      <c r="I325" s="10"/>
      <c r="J325" s="10"/>
      <c r="K325" s="12"/>
    </row>
    <row r="326" ht="15.75" customHeight="1">
      <c r="A326" s="3" t="s">
        <v>12</v>
      </c>
      <c r="B326" s="3" t="s">
        <v>14</v>
      </c>
      <c r="C326" s="3" t="s">
        <v>1861</v>
      </c>
      <c r="D326" s="8" t="str">
        <f t="shared" si="1"/>
        <v>Abrir anúncio ↗</v>
      </c>
      <c r="E326" s="9" t="s">
        <v>1717</v>
      </c>
      <c r="F326" s="3" t="s">
        <v>29</v>
      </c>
      <c r="G326" s="9" t="s">
        <v>744</v>
      </c>
      <c r="H326" s="9" t="s">
        <v>745</v>
      </c>
      <c r="I326" s="3"/>
      <c r="J326" s="3"/>
      <c r="K326" s="9"/>
    </row>
    <row r="327" ht="15.75" customHeight="1">
      <c r="A327" s="10" t="s">
        <v>12</v>
      </c>
      <c r="B327" s="10" t="s">
        <v>14</v>
      </c>
      <c r="C327" s="10" t="s">
        <v>1864</v>
      </c>
      <c r="D327" s="11" t="str">
        <f t="shared" si="1"/>
        <v>Abrir anúncio ↗</v>
      </c>
      <c r="E327" s="12" t="s">
        <v>1866</v>
      </c>
      <c r="F327" s="10" t="s">
        <v>29</v>
      </c>
      <c r="G327" s="12" t="s">
        <v>841</v>
      </c>
      <c r="H327" s="12" t="s">
        <v>1869</v>
      </c>
      <c r="I327" s="10"/>
      <c r="J327" s="10"/>
      <c r="K327" s="12"/>
    </row>
    <row r="328" ht="15.75" customHeight="1">
      <c r="A328" s="3" t="s">
        <v>12</v>
      </c>
      <c r="B328" s="3" t="s">
        <v>14</v>
      </c>
      <c r="C328" s="3" t="s">
        <v>1871</v>
      </c>
      <c r="D328" s="8" t="str">
        <f t="shared" si="1"/>
        <v>Abrir anúncio ↗</v>
      </c>
      <c r="E328" s="9" t="s">
        <v>1873</v>
      </c>
      <c r="F328" s="3" t="s">
        <v>29</v>
      </c>
      <c r="G328" s="9" t="s">
        <v>841</v>
      </c>
      <c r="H328" s="9" t="s">
        <v>1579</v>
      </c>
      <c r="I328" s="3"/>
      <c r="J328" s="3"/>
      <c r="K328" s="9"/>
    </row>
    <row r="329" ht="15.75" customHeight="1">
      <c r="A329" s="10" t="s">
        <v>12</v>
      </c>
      <c r="B329" s="10" t="s">
        <v>14</v>
      </c>
      <c r="C329" s="10" t="s">
        <v>1876</v>
      </c>
      <c r="D329" s="11" t="str">
        <f t="shared" si="1"/>
        <v>Abrir anúncio ↗</v>
      </c>
      <c r="E329" s="12" t="s">
        <v>1399</v>
      </c>
      <c r="F329" s="10" t="s">
        <v>29</v>
      </c>
      <c r="G329" s="12" t="s">
        <v>744</v>
      </c>
      <c r="H329" s="12" t="s">
        <v>745</v>
      </c>
      <c r="I329" s="10"/>
      <c r="J329" s="10"/>
      <c r="K329" s="12"/>
    </row>
    <row r="330" ht="15.75" customHeight="1">
      <c r="A330" s="3" t="s">
        <v>12</v>
      </c>
      <c r="B330" s="3" t="s">
        <v>14</v>
      </c>
      <c r="C330" s="3" t="s">
        <v>1881</v>
      </c>
      <c r="D330" s="8" t="str">
        <f t="shared" si="1"/>
        <v>Abrir anúncio ↗</v>
      </c>
      <c r="E330" s="9" t="s">
        <v>1520</v>
      </c>
      <c r="F330" s="3" t="s">
        <v>29</v>
      </c>
      <c r="G330" s="9" t="s">
        <v>744</v>
      </c>
      <c r="H330" s="9" t="s">
        <v>745</v>
      </c>
      <c r="I330" s="3"/>
      <c r="J330" s="3"/>
      <c r="K330" s="9"/>
    </row>
    <row r="331" ht="15.75" customHeight="1">
      <c r="A331" s="10" t="s">
        <v>12</v>
      </c>
      <c r="B331" s="10" t="s">
        <v>14</v>
      </c>
      <c r="C331" s="10" t="s">
        <v>1885</v>
      </c>
      <c r="D331" s="11" t="str">
        <f t="shared" si="1"/>
        <v>Abrir anúncio ↗</v>
      </c>
      <c r="E331" s="12" t="s">
        <v>1886</v>
      </c>
      <c r="F331" s="10" t="s">
        <v>29</v>
      </c>
      <c r="G331" s="12" t="s">
        <v>841</v>
      </c>
      <c r="H331" s="12" t="s">
        <v>1889</v>
      </c>
      <c r="I331" s="10"/>
      <c r="J331" s="10"/>
      <c r="K331" s="12"/>
    </row>
    <row r="332" ht="15.75" customHeight="1">
      <c r="A332" s="3" t="s">
        <v>12</v>
      </c>
      <c r="B332" s="3" t="s">
        <v>14</v>
      </c>
      <c r="C332" s="3" t="s">
        <v>1894</v>
      </c>
      <c r="D332" s="8" t="str">
        <f t="shared" si="1"/>
        <v>Abrir anúncio ↗</v>
      </c>
      <c r="E332" s="9" t="s">
        <v>1896</v>
      </c>
      <c r="F332" s="3" t="s">
        <v>29</v>
      </c>
      <c r="G332" s="9" t="s">
        <v>841</v>
      </c>
      <c r="H332" s="9" t="s">
        <v>1125</v>
      </c>
      <c r="I332" s="3"/>
      <c r="J332" s="3"/>
      <c r="K332" s="9"/>
    </row>
    <row r="333" ht="15.75" customHeight="1">
      <c r="A333" s="10" t="s">
        <v>12</v>
      </c>
      <c r="B333" s="10" t="s">
        <v>14</v>
      </c>
      <c r="C333" s="10" t="s">
        <v>1898</v>
      </c>
      <c r="D333" s="11" t="str">
        <f t="shared" si="1"/>
        <v>Abrir anúncio ↗</v>
      </c>
      <c r="E333" s="12" t="s">
        <v>1899</v>
      </c>
      <c r="F333" s="10" t="s">
        <v>29</v>
      </c>
      <c r="G333" s="12" t="s">
        <v>744</v>
      </c>
      <c r="H333" s="12" t="s">
        <v>745</v>
      </c>
      <c r="I333" s="10"/>
      <c r="J333" s="10"/>
      <c r="K333" s="12"/>
    </row>
    <row r="334" ht="15.75" customHeight="1">
      <c r="A334" s="3" t="s">
        <v>12</v>
      </c>
      <c r="B334" s="3" t="s">
        <v>14</v>
      </c>
      <c r="C334" s="3" t="s">
        <v>1906</v>
      </c>
      <c r="D334" s="8" t="str">
        <f t="shared" si="1"/>
        <v>Abrir anúncio ↗</v>
      </c>
      <c r="E334" s="9" t="s">
        <v>559</v>
      </c>
      <c r="F334" s="3" t="s">
        <v>29</v>
      </c>
      <c r="G334" s="9" t="s">
        <v>30</v>
      </c>
      <c r="H334" s="9" t="s">
        <v>31</v>
      </c>
      <c r="I334" s="3"/>
      <c r="J334" s="3"/>
      <c r="K334" s="9"/>
    </row>
    <row r="335" ht="15.75" customHeight="1">
      <c r="A335" s="10" t="s">
        <v>12</v>
      </c>
      <c r="B335" s="10" t="s">
        <v>14</v>
      </c>
      <c r="C335" s="10" t="s">
        <v>1908</v>
      </c>
      <c r="D335" s="11" t="str">
        <f t="shared" si="1"/>
        <v>Abrir anúncio ↗</v>
      </c>
      <c r="E335" s="12" t="s">
        <v>554</v>
      </c>
      <c r="F335" s="10" t="s">
        <v>29</v>
      </c>
      <c r="G335" s="12" t="s">
        <v>744</v>
      </c>
      <c r="H335" s="12" t="s">
        <v>745</v>
      </c>
      <c r="I335" s="10"/>
      <c r="J335" s="10"/>
      <c r="K335" s="12"/>
    </row>
    <row r="336" ht="15.75" customHeight="1">
      <c r="A336" s="3" t="s">
        <v>12</v>
      </c>
      <c r="B336" s="3" t="s">
        <v>14</v>
      </c>
      <c r="C336" s="3" t="s">
        <v>1914</v>
      </c>
      <c r="D336" s="8" t="str">
        <f t="shared" si="1"/>
        <v>Abrir anúncio ↗</v>
      </c>
      <c r="E336" s="9" t="s">
        <v>364</v>
      </c>
      <c r="F336" s="3" t="s">
        <v>29</v>
      </c>
      <c r="G336" s="9" t="s">
        <v>744</v>
      </c>
      <c r="H336" s="9" t="s">
        <v>745</v>
      </c>
      <c r="I336" s="3"/>
      <c r="J336" s="3"/>
      <c r="K336" s="9"/>
    </row>
    <row r="337" ht="15.75" customHeight="1">
      <c r="A337" s="10" t="s">
        <v>12</v>
      </c>
      <c r="B337" s="10" t="s">
        <v>14</v>
      </c>
      <c r="C337" s="10" t="s">
        <v>1918</v>
      </c>
      <c r="D337" s="11" t="str">
        <f t="shared" si="1"/>
        <v>Abrir anúncio ↗</v>
      </c>
      <c r="E337" s="12" t="s">
        <v>1920</v>
      </c>
      <c r="F337" s="10" t="s">
        <v>29</v>
      </c>
      <c r="G337" s="12" t="s">
        <v>30</v>
      </c>
      <c r="H337" s="12" t="s">
        <v>31</v>
      </c>
      <c r="I337" s="10"/>
      <c r="J337" s="10"/>
      <c r="K337" s="12"/>
    </row>
    <row r="338" ht="15.75" customHeight="1">
      <c r="A338" s="3" t="s">
        <v>12</v>
      </c>
      <c r="B338" s="3" t="s">
        <v>14</v>
      </c>
      <c r="C338" s="3" t="s">
        <v>1924</v>
      </c>
      <c r="D338" s="8" t="str">
        <f t="shared" si="1"/>
        <v>Abrir anúncio ↗</v>
      </c>
      <c r="E338" s="9" t="s">
        <v>1926</v>
      </c>
      <c r="F338" s="3" t="s">
        <v>29</v>
      </c>
      <c r="G338" s="9" t="s">
        <v>30</v>
      </c>
      <c r="H338" s="9" t="s">
        <v>31</v>
      </c>
      <c r="I338" s="3"/>
      <c r="J338" s="3"/>
      <c r="K338" s="9"/>
    </row>
    <row r="339" ht="15.75" customHeight="1">
      <c r="A339" s="10" t="s">
        <v>12</v>
      </c>
      <c r="B339" s="10" t="s">
        <v>14</v>
      </c>
      <c r="C339" s="10" t="s">
        <v>1929</v>
      </c>
      <c r="D339" s="11" t="str">
        <f t="shared" si="1"/>
        <v>Abrir anúncio ↗</v>
      </c>
      <c r="E339" s="12" t="s">
        <v>244</v>
      </c>
      <c r="F339" s="10" t="s">
        <v>29</v>
      </c>
      <c r="G339" s="12" t="s">
        <v>30</v>
      </c>
      <c r="H339" s="12" t="s">
        <v>31</v>
      </c>
      <c r="I339" s="10"/>
      <c r="J339" s="10"/>
      <c r="K339" s="12"/>
    </row>
    <row r="340" ht="15.75" customHeight="1">
      <c r="A340" s="3" t="s">
        <v>12</v>
      </c>
      <c r="B340" s="3" t="s">
        <v>14</v>
      </c>
      <c r="C340" s="3" t="s">
        <v>1936</v>
      </c>
      <c r="D340" s="8" t="str">
        <f t="shared" si="1"/>
        <v>Abrir anúncio ↗</v>
      </c>
      <c r="E340" s="9" t="s">
        <v>1937</v>
      </c>
      <c r="F340" s="3" t="s">
        <v>29</v>
      </c>
      <c r="G340" s="9" t="s">
        <v>841</v>
      </c>
      <c r="H340" s="9" t="s">
        <v>1938</v>
      </c>
      <c r="I340" s="3"/>
      <c r="J340" s="3"/>
      <c r="K340" s="9"/>
    </row>
    <row r="341" ht="15.75" customHeight="1">
      <c r="A341" s="10" t="s">
        <v>12</v>
      </c>
      <c r="B341" s="10" t="s">
        <v>14</v>
      </c>
      <c r="C341" s="10" t="s">
        <v>1943</v>
      </c>
      <c r="D341" s="11" t="str">
        <f t="shared" si="1"/>
        <v>Abrir anúncio ↗</v>
      </c>
      <c r="E341" s="12" t="s">
        <v>1944</v>
      </c>
      <c r="F341" s="10" t="s">
        <v>29</v>
      </c>
      <c r="G341" s="12" t="s">
        <v>30</v>
      </c>
      <c r="H341" s="12" t="s">
        <v>31</v>
      </c>
      <c r="I341" s="10"/>
      <c r="J341" s="10"/>
      <c r="K341" s="12"/>
    </row>
    <row r="342" ht="15.75" customHeight="1">
      <c r="A342" s="3" t="s">
        <v>12</v>
      </c>
      <c r="B342" s="3" t="s">
        <v>14</v>
      </c>
      <c r="C342" s="3" t="s">
        <v>1946</v>
      </c>
      <c r="D342" s="8" t="str">
        <f t="shared" si="1"/>
        <v>Abrir anúncio ↗</v>
      </c>
      <c r="E342" s="9" t="s">
        <v>1947</v>
      </c>
      <c r="F342" s="3" t="s">
        <v>29</v>
      </c>
      <c r="G342" s="9" t="s">
        <v>892</v>
      </c>
      <c r="H342" s="9" t="s">
        <v>1950</v>
      </c>
      <c r="I342" s="3"/>
      <c r="J342" s="3"/>
      <c r="K342" s="9"/>
    </row>
    <row r="343" ht="15.75" customHeight="1">
      <c r="A343" s="10" t="s">
        <v>12</v>
      </c>
      <c r="B343" s="10" t="s">
        <v>14</v>
      </c>
      <c r="C343" s="10" t="s">
        <v>1955</v>
      </c>
      <c r="D343" s="11" t="str">
        <f t="shared" si="1"/>
        <v>Abrir anúncio ↗</v>
      </c>
      <c r="E343" s="12" t="s">
        <v>1956</v>
      </c>
      <c r="F343" s="10" t="s">
        <v>29</v>
      </c>
      <c r="G343" s="12" t="s">
        <v>892</v>
      </c>
      <c r="H343" s="12" t="s">
        <v>1959</v>
      </c>
      <c r="I343" s="10"/>
      <c r="J343" s="10"/>
      <c r="K343" s="12"/>
    </row>
    <row r="344" ht="15.75" customHeight="1">
      <c r="A344" s="3" t="s">
        <v>12</v>
      </c>
      <c r="B344" s="3" t="s">
        <v>14</v>
      </c>
      <c r="C344" s="3" t="s">
        <v>1960</v>
      </c>
      <c r="D344" s="8" t="str">
        <f t="shared" si="1"/>
        <v>Abrir anúncio ↗</v>
      </c>
      <c r="E344" s="9" t="s">
        <v>1962</v>
      </c>
      <c r="F344" s="3" t="s">
        <v>29</v>
      </c>
      <c r="G344" s="9" t="s">
        <v>30</v>
      </c>
      <c r="H344" s="9" t="s">
        <v>31</v>
      </c>
      <c r="I344" s="3"/>
      <c r="J344" s="3"/>
      <c r="K344" s="9"/>
    </row>
    <row r="345" ht="15.75" customHeight="1">
      <c r="A345" s="10" t="s">
        <v>12</v>
      </c>
      <c r="B345" s="10" t="s">
        <v>14</v>
      </c>
      <c r="C345" s="10" t="s">
        <v>1970</v>
      </c>
      <c r="D345" s="11" t="str">
        <f t="shared" si="1"/>
        <v>Abrir anúncio ↗</v>
      </c>
      <c r="E345" s="12" t="s">
        <v>1971</v>
      </c>
      <c r="F345" s="10" t="s">
        <v>29</v>
      </c>
      <c r="G345" s="12" t="s">
        <v>30</v>
      </c>
      <c r="H345" s="12" t="s">
        <v>31</v>
      </c>
      <c r="I345" s="10"/>
      <c r="J345" s="10"/>
      <c r="K345" s="12"/>
    </row>
    <row r="346" ht="15.75" customHeight="1">
      <c r="A346" s="3" t="s">
        <v>12</v>
      </c>
      <c r="B346" s="3" t="s">
        <v>14</v>
      </c>
      <c r="C346" s="3" t="s">
        <v>1973</v>
      </c>
      <c r="D346" s="8" t="str">
        <f t="shared" si="1"/>
        <v>Abrir anúncio ↗</v>
      </c>
      <c r="E346" s="9" t="s">
        <v>1975</v>
      </c>
      <c r="F346" s="3" t="s">
        <v>29</v>
      </c>
      <c r="G346" s="9" t="s">
        <v>30</v>
      </c>
      <c r="H346" s="9" t="s">
        <v>31</v>
      </c>
      <c r="I346" s="3"/>
      <c r="J346" s="3"/>
      <c r="K346" s="9"/>
    </row>
    <row r="347" ht="15.75" customHeight="1">
      <c r="A347" s="10" t="s">
        <v>12</v>
      </c>
      <c r="B347" s="10" t="s">
        <v>14</v>
      </c>
      <c r="C347" s="10" t="s">
        <v>1980</v>
      </c>
      <c r="D347" s="11" t="str">
        <f t="shared" si="1"/>
        <v>Abrir anúncio ↗</v>
      </c>
      <c r="E347" s="12" t="s">
        <v>1981</v>
      </c>
      <c r="F347" s="10" t="s">
        <v>29</v>
      </c>
      <c r="G347" s="12" t="s">
        <v>30</v>
      </c>
      <c r="H347" s="12" t="s">
        <v>31</v>
      </c>
      <c r="I347" s="10"/>
      <c r="J347" s="10"/>
      <c r="K347" s="12"/>
    </row>
    <row r="348" ht="15.75" customHeight="1">
      <c r="A348" s="3" t="s">
        <v>12</v>
      </c>
      <c r="B348" s="3" t="s">
        <v>14</v>
      </c>
      <c r="C348" s="3" t="s">
        <v>1984</v>
      </c>
      <c r="D348" s="8" t="str">
        <f t="shared" si="1"/>
        <v>Abrir anúncio ↗</v>
      </c>
      <c r="E348" s="9" t="s">
        <v>314</v>
      </c>
      <c r="F348" s="3" t="s">
        <v>29</v>
      </c>
      <c r="G348" s="9" t="s">
        <v>30</v>
      </c>
      <c r="H348" s="9" t="s">
        <v>31</v>
      </c>
      <c r="I348" s="3"/>
      <c r="J348" s="3"/>
      <c r="K348" s="9"/>
    </row>
    <row r="349" ht="15.75" customHeight="1">
      <c r="A349" s="10" t="s">
        <v>12</v>
      </c>
      <c r="B349" s="10" t="s">
        <v>14</v>
      </c>
      <c r="C349" s="10" t="s">
        <v>1990</v>
      </c>
      <c r="D349" s="11" t="str">
        <f t="shared" si="1"/>
        <v>Abrir anúncio ↗</v>
      </c>
      <c r="E349" s="12" t="s">
        <v>1992</v>
      </c>
      <c r="F349" s="10" t="s">
        <v>29</v>
      </c>
      <c r="G349" s="12" t="s">
        <v>841</v>
      </c>
      <c r="H349" s="12" t="s">
        <v>1567</v>
      </c>
      <c r="I349" s="10"/>
      <c r="J349" s="10"/>
      <c r="K349" s="12"/>
    </row>
    <row r="350" ht="15.75" customHeight="1">
      <c r="A350" s="3" t="s">
        <v>12</v>
      </c>
      <c r="B350" s="3" t="s">
        <v>14</v>
      </c>
      <c r="C350" s="3" t="s">
        <v>1993</v>
      </c>
      <c r="D350" s="8" t="str">
        <f t="shared" si="1"/>
        <v>Abrir anúncio ↗</v>
      </c>
      <c r="E350" s="9" t="s">
        <v>1995</v>
      </c>
      <c r="F350" s="3" t="s">
        <v>29</v>
      </c>
      <c r="G350" s="9" t="s">
        <v>238</v>
      </c>
      <c r="H350" s="9" t="s">
        <v>1787</v>
      </c>
      <c r="I350" s="3"/>
      <c r="J350" s="3"/>
      <c r="K350" s="9"/>
    </row>
    <row r="351" ht="15.75" customHeight="1">
      <c r="A351" s="10" t="s">
        <v>12</v>
      </c>
      <c r="B351" s="10" t="s">
        <v>14</v>
      </c>
      <c r="C351" s="10" t="s">
        <v>2000</v>
      </c>
      <c r="D351" s="11" t="str">
        <f t="shared" si="1"/>
        <v>Abrir anúncio ↗</v>
      </c>
      <c r="E351" s="12" t="s">
        <v>2001</v>
      </c>
      <c r="F351" s="10" t="s">
        <v>29</v>
      </c>
      <c r="G351" s="12" t="s">
        <v>238</v>
      </c>
      <c r="H351" s="12" t="s">
        <v>918</v>
      </c>
      <c r="I351" s="10"/>
      <c r="J351" s="10"/>
      <c r="K351" s="12"/>
    </row>
    <row r="352" ht="15.75" customHeight="1">
      <c r="A352" s="3" t="s">
        <v>12</v>
      </c>
      <c r="B352" s="3" t="s">
        <v>14</v>
      </c>
      <c r="C352" s="3" t="s">
        <v>2004</v>
      </c>
      <c r="D352" s="8" t="str">
        <f t="shared" si="1"/>
        <v>Abrir anúncio ↗</v>
      </c>
      <c r="E352" s="9" t="s">
        <v>2007</v>
      </c>
      <c r="F352" s="3" t="s">
        <v>29</v>
      </c>
      <c r="G352" s="9" t="s">
        <v>30</v>
      </c>
      <c r="H352" s="9" t="s">
        <v>31</v>
      </c>
      <c r="I352" s="3"/>
      <c r="J352" s="3"/>
      <c r="K352" s="9"/>
    </row>
    <row r="353" ht="15.75" customHeight="1">
      <c r="A353" s="10" t="s">
        <v>12</v>
      </c>
      <c r="B353" s="10" t="s">
        <v>14</v>
      </c>
      <c r="C353" s="10" t="s">
        <v>2011</v>
      </c>
      <c r="D353" s="11" t="str">
        <f t="shared" si="1"/>
        <v>Abrir anúncio ↗</v>
      </c>
      <c r="E353" s="12" t="s">
        <v>664</v>
      </c>
      <c r="F353" s="10" t="s">
        <v>29</v>
      </c>
      <c r="G353" s="12" t="s">
        <v>30</v>
      </c>
      <c r="H353" s="12" t="s">
        <v>31</v>
      </c>
      <c r="I353" s="10"/>
      <c r="J353" s="10"/>
      <c r="K353" s="12"/>
    </row>
    <row r="354" ht="15.75" customHeight="1">
      <c r="A354" s="3" t="s">
        <v>12</v>
      </c>
      <c r="B354" s="3" t="s">
        <v>14</v>
      </c>
      <c r="C354" s="3" t="s">
        <v>2017</v>
      </c>
      <c r="D354" s="8" t="str">
        <f t="shared" si="1"/>
        <v>Abrir anúncio ↗</v>
      </c>
      <c r="E354" s="9" t="s">
        <v>659</v>
      </c>
      <c r="F354" s="3" t="s">
        <v>29</v>
      </c>
      <c r="G354" s="9" t="s">
        <v>30</v>
      </c>
      <c r="H354" s="9" t="s">
        <v>31</v>
      </c>
      <c r="I354" s="3"/>
      <c r="J354" s="3"/>
      <c r="K354" s="9"/>
    </row>
    <row r="355" ht="15.75" customHeight="1">
      <c r="A355" s="10" t="s">
        <v>12</v>
      </c>
      <c r="B355" s="10" t="s">
        <v>14</v>
      </c>
      <c r="C355" s="10" t="s">
        <v>2020</v>
      </c>
      <c r="D355" s="11" t="str">
        <f t="shared" si="1"/>
        <v>Abrir anúncio ↗</v>
      </c>
      <c r="E355" s="12" t="s">
        <v>2022</v>
      </c>
      <c r="F355" s="10" t="s">
        <v>29</v>
      </c>
      <c r="G355" s="12" t="s">
        <v>238</v>
      </c>
      <c r="H355" s="12" t="s">
        <v>963</v>
      </c>
      <c r="I355" s="10"/>
      <c r="J355" s="10"/>
      <c r="K355" s="12"/>
    </row>
    <row r="356" ht="15.75" customHeight="1">
      <c r="A356" s="3" t="s">
        <v>12</v>
      </c>
      <c r="B356" s="3" t="s">
        <v>14</v>
      </c>
      <c r="C356" s="3" t="s">
        <v>2027</v>
      </c>
      <c r="D356" s="8" t="str">
        <f t="shared" si="1"/>
        <v>Abrir anúncio ↗</v>
      </c>
      <c r="E356" s="9" t="s">
        <v>2028</v>
      </c>
      <c r="F356" s="3" t="s">
        <v>29</v>
      </c>
      <c r="G356" s="9" t="s">
        <v>30</v>
      </c>
      <c r="H356" s="9" t="s">
        <v>31</v>
      </c>
      <c r="I356" s="3"/>
      <c r="J356" s="3"/>
      <c r="K356" s="9"/>
    </row>
    <row r="357" ht="15.75" customHeight="1">
      <c r="A357" s="10" t="s">
        <v>12</v>
      </c>
      <c r="B357" s="10" t="s">
        <v>14</v>
      </c>
      <c r="C357" s="10" t="s">
        <v>2031</v>
      </c>
      <c r="D357" s="11" t="str">
        <f t="shared" si="1"/>
        <v>Abrir anúncio ↗</v>
      </c>
      <c r="E357" s="12" t="s">
        <v>2034</v>
      </c>
      <c r="F357" s="10" t="s">
        <v>29</v>
      </c>
      <c r="G357" s="12" t="s">
        <v>30</v>
      </c>
      <c r="H357" s="12" t="s">
        <v>31</v>
      </c>
      <c r="I357" s="10"/>
      <c r="J357" s="10"/>
      <c r="K357" s="12"/>
    </row>
    <row r="358" ht="15.75" customHeight="1">
      <c r="A358" s="3" t="s">
        <v>12</v>
      </c>
      <c r="B358" s="3" t="s">
        <v>14</v>
      </c>
      <c r="C358" s="3" t="s">
        <v>2038</v>
      </c>
      <c r="D358" s="8" t="str">
        <f t="shared" si="1"/>
        <v>Abrir anúncio ↗</v>
      </c>
      <c r="E358" s="9" t="s">
        <v>2039</v>
      </c>
      <c r="F358" s="3" t="s">
        <v>29</v>
      </c>
      <c r="G358" s="9" t="s">
        <v>238</v>
      </c>
      <c r="H358" s="9" t="s">
        <v>2041</v>
      </c>
      <c r="I358" s="3"/>
      <c r="J358" s="3"/>
      <c r="K358" s="9"/>
    </row>
    <row r="359" ht="15.75" customHeight="1">
      <c r="A359" s="10" t="s">
        <v>12</v>
      </c>
      <c r="B359" s="10" t="s">
        <v>14</v>
      </c>
      <c r="C359" s="10" t="s">
        <v>2043</v>
      </c>
      <c r="D359" s="11" t="str">
        <f t="shared" si="1"/>
        <v>Abrir anúncio ↗</v>
      </c>
      <c r="E359" s="12" t="s">
        <v>2044</v>
      </c>
      <c r="F359" s="10" t="s">
        <v>29</v>
      </c>
      <c r="G359" s="12" t="s">
        <v>841</v>
      </c>
      <c r="H359" s="12" t="s">
        <v>1562</v>
      </c>
      <c r="I359" s="10"/>
      <c r="J359" s="10"/>
      <c r="K359" s="12"/>
    </row>
    <row r="360" ht="15.75" customHeight="1">
      <c r="A360" s="3" t="s">
        <v>12</v>
      </c>
      <c r="B360" s="3" t="s">
        <v>14</v>
      </c>
      <c r="C360" s="3" t="s">
        <v>2051</v>
      </c>
      <c r="D360" s="8" t="str">
        <f t="shared" si="1"/>
        <v>Abrir anúncio ↗</v>
      </c>
      <c r="E360" s="9" t="s">
        <v>2052</v>
      </c>
      <c r="F360" s="3" t="s">
        <v>29</v>
      </c>
      <c r="G360" s="9" t="s">
        <v>1077</v>
      </c>
      <c r="H360" s="9" t="s">
        <v>2053</v>
      </c>
      <c r="I360" s="3"/>
      <c r="J360" s="3"/>
      <c r="K360" s="9"/>
    </row>
    <row r="361" ht="15.75" customHeight="1">
      <c r="A361" s="10" t="s">
        <v>12</v>
      </c>
      <c r="B361" s="10" t="s">
        <v>14</v>
      </c>
      <c r="C361" s="10" t="s">
        <v>2054</v>
      </c>
      <c r="D361" s="11" t="str">
        <f t="shared" si="1"/>
        <v>Abrir anúncio ↗</v>
      </c>
      <c r="E361" s="12" t="s">
        <v>784</v>
      </c>
      <c r="F361" s="10" t="s">
        <v>29</v>
      </c>
      <c r="G361" s="12" t="s">
        <v>30</v>
      </c>
      <c r="H361" s="12" t="s">
        <v>31</v>
      </c>
      <c r="I361" s="10"/>
      <c r="J361" s="10"/>
      <c r="K361" s="12"/>
    </row>
    <row r="362" ht="15.75" customHeight="1">
      <c r="A362" s="3" t="s">
        <v>12</v>
      </c>
      <c r="B362" s="3" t="s">
        <v>14</v>
      </c>
      <c r="C362" s="3" t="s">
        <v>2061</v>
      </c>
      <c r="D362" s="8" t="str">
        <f t="shared" si="1"/>
        <v>Abrir anúncio ↗</v>
      </c>
      <c r="E362" s="9" t="s">
        <v>2062</v>
      </c>
      <c r="F362" s="3" t="s">
        <v>29</v>
      </c>
      <c r="G362" s="9" t="s">
        <v>744</v>
      </c>
      <c r="H362" s="9" t="s">
        <v>745</v>
      </c>
      <c r="I362" s="3"/>
      <c r="J362" s="3"/>
      <c r="K362" s="9"/>
    </row>
    <row r="363" ht="15.75" customHeight="1">
      <c r="A363" s="10" t="s">
        <v>12</v>
      </c>
      <c r="B363" s="10" t="s">
        <v>14</v>
      </c>
      <c r="C363" s="10" t="s">
        <v>2065</v>
      </c>
      <c r="D363" s="11" t="str">
        <f t="shared" si="1"/>
        <v>Abrir anúncio ↗</v>
      </c>
      <c r="E363" s="12" t="s">
        <v>2067</v>
      </c>
      <c r="F363" s="10" t="s">
        <v>29</v>
      </c>
      <c r="G363" s="12" t="s">
        <v>238</v>
      </c>
      <c r="H363" s="12" t="s">
        <v>1006</v>
      </c>
      <c r="I363" s="10"/>
      <c r="J363" s="10"/>
      <c r="K363" s="12"/>
    </row>
    <row r="364" ht="15.75" customHeight="1">
      <c r="A364" s="3" t="s">
        <v>12</v>
      </c>
      <c r="B364" s="3" t="s">
        <v>14</v>
      </c>
      <c r="C364" s="3" t="s">
        <v>2070</v>
      </c>
      <c r="D364" s="8" t="str">
        <f t="shared" si="1"/>
        <v>Abrir anúncio ↗</v>
      </c>
      <c r="E364" s="9" t="s">
        <v>698</v>
      </c>
      <c r="F364" s="3" t="s">
        <v>29</v>
      </c>
      <c r="G364" s="9" t="s">
        <v>30</v>
      </c>
      <c r="H364" s="9" t="s">
        <v>31</v>
      </c>
      <c r="I364" s="3"/>
      <c r="J364" s="3"/>
      <c r="K364" s="9"/>
    </row>
    <row r="365" ht="15.75" customHeight="1">
      <c r="A365" s="10" t="s">
        <v>12</v>
      </c>
      <c r="B365" s="10" t="s">
        <v>14</v>
      </c>
      <c r="C365" s="10" t="s">
        <v>2075</v>
      </c>
      <c r="D365" s="11" t="str">
        <f t="shared" si="1"/>
        <v>Abrir anúncio ↗</v>
      </c>
      <c r="E365" s="12" t="s">
        <v>673</v>
      </c>
      <c r="F365" s="10" t="s">
        <v>29</v>
      </c>
      <c r="G365" s="12" t="s">
        <v>30</v>
      </c>
      <c r="H365" s="12" t="s">
        <v>31</v>
      </c>
      <c r="I365" s="10"/>
      <c r="J365" s="10"/>
      <c r="K365" s="12"/>
    </row>
    <row r="366" ht="15.75" customHeight="1">
      <c r="A366" s="3" t="s">
        <v>12</v>
      </c>
      <c r="B366" s="3" t="s">
        <v>14</v>
      </c>
      <c r="C366" s="3" t="s">
        <v>2078</v>
      </c>
      <c r="D366" s="8" t="str">
        <f t="shared" si="1"/>
        <v>Abrir anúncio ↗</v>
      </c>
      <c r="E366" s="9" t="s">
        <v>684</v>
      </c>
      <c r="F366" s="3" t="s">
        <v>29</v>
      </c>
      <c r="G366" s="9" t="s">
        <v>30</v>
      </c>
      <c r="H366" s="9" t="s">
        <v>31</v>
      </c>
      <c r="I366" s="3"/>
      <c r="J366" s="3"/>
      <c r="K366" s="9"/>
    </row>
    <row r="367" ht="15.75" customHeight="1">
      <c r="A367" s="10" t="s">
        <v>12</v>
      </c>
      <c r="B367" s="10" t="s">
        <v>14</v>
      </c>
      <c r="C367" s="10" t="s">
        <v>2083</v>
      </c>
      <c r="D367" s="11" t="str">
        <f t="shared" si="1"/>
        <v>Abrir anúncio ↗</v>
      </c>
      <c r="E367" s="12" t="s">
        <v>692</v>
      </c>
      <c r="F367" s="10" t="s">
        <v>29</v>
      </c>
      <c r="G367" s="12" t="s">
        <v>30</v>
      </c>
      <c r="H367" s="12" t="s">
        <v>31</v>
      </c>
      <c r="I367" s="10"/>
      <c r="J367" s="10"/>
      <c r="K367" s="12"/>
    </row>
    <row r="368" ht="15.75" customHeight="1">
      <c r="A368" s="3" t="s">
        <v>12</v>
      </c>
      <c r="B368" s="3" t="s">
        <v>14</v>
      </c>
      <c r="C368" s="3" t="s">
        <v>2087</v>
      </c>
      <c r="D368" s="8" t="str">
        <f t="shared" si="1"/>
        <v>Abrir anúncio ↗</v>
      </c>
      <c r="E368" s="9" t="s">
        <v>2088</v>
      </c>
      <c r="F368" s="3" t="s">
        <v>29</v>
      </c>
      <c r="G368" s="9" t="s">
        <v>30</v>
      </c>
      <c r="H368" s="9" t="s">
        <v>31</v>
      </c>
      <c r="I368" s="3"/>
      <c r="J368" s="3"/>
      <c r="K368" s="9"/>
    </row>
    <row r="369" ht="15.75" customHeight="1">
      <c r="A369" s="10" t="s">
        <v>12</v>
      </c>
      <c r="B369" s="10" t="s">
        <v>14</v>
      </c>
      <c r="C369" s="10" t="s">
        <v>2092</v>
      </c>
      <c r="D369" s="11" t="str">
        <f t="shared" si="1"/>
        <v>Abrir anúncio ↗</v>
      </c>
      <c r="E369" s="12" t="s">
        <v>1172</v>
      </c>
      <c r="F369" s="10" t="s">
        <v>29</v>
      </c>
      <c r="G369" s="12" t="s">
        <v>30</v>
      </c>
      <c r="H369" s="12" t="s">
        <v>31</v>
      </c>
      <c r="I369" s="10"/>
      <c r="J369" s="10"/>
      <c r="K369" s="12"/>
    </row>
    <row r="370" ht="15.75" customHeight="1">
      <c r="A370" s="3" t="s">
        <v>12</v>
      </c>
      <c r="B370" s="3" t="s">
        <v>14</v>
      </c>
      <c r="C370" s="3" t="s">
        <v>2096</v>
      </c>
      <c r="D370" s="8" t="str">
        <f t="shared" si="1"/>
        <v>Abrir anúncio ↗</v>
      </c>
      <c r="E370" s="9" t="s">
        <v>2097</v>
      </c>
      <c r="F370" s="3" t="s">
        <v>29</v>
      </c>
      <c r="G370" s="9" t="s">
        <v>841</v>
      </c>
      <c r="H370" s="9" t="s">
        <v>2099</v>
      </c>
      <c r="I370" s="3"/>
      <c r="J370" s="3"/>
      <c r="K370" s="9"/>
    </row>
    <row r="371" ht="15.75" customHeight="1">
      <c r="A371" s="10" t="s">
        <v>12</v>
      </c>
      <c r="B371" s="10" t="s">
        <v>14</v>
      </c>
      <c r="C371" s="10" t="s">
        <v>2101</v>
      </c>
      <c r="D371" s="11" t="str">
        <f t="shared" si="1"/>
        <v>Abrir anúncio ↗</v>
      </c>
      <c r="E371" s="12" t="s">
        <v>2104</v>
      </c>
      <c r="F371" s="10" t="s">
        <v>29</v>
      </c>
      <c r="G371" s="12" t="s">
        <v>841</v>
      </c>
      <c r="H371" s="12" t="s">
        <v>1686</v>
      </c>
      <c r="I371" s="10"/>
      <c r="J371" s="10"/>
      <c r="K371" s="12"/>
    </row>
    <row r="372" ht="15.75" customHeight="1">
      <c r="A372" s="3" t="s">
        <v>12</v>
      </c>
      <c r="B372" s="3" t="s">
        <v>14</v>
      </c>
      <c r="C372" s="3" t="s">
        <v>2107</v>
      </c>
      <c r="D372" s="8" t="str">
        <f t="shared" si="1"/>
        <v>Abrir anúncio ↗</v>
      </c>
      <c r="E372" s="9" t="s">
        <v>2109</v>
      </c>
      <c r="F372" s="3" t="s">
        <v>29</v>
      </c>
      <c r="G372" s="9" t="s">
        <v>238</v>
      </c>
      <c r="H372" s="9" t="s">
        <v>2110</v>
      </c>
      <c r="I372" s="3"/>
      <c r="J372" s="3"/>
      <c r="K372" s="9"/>
    </row>
    <row r="373" ht="15.75" customHeight="1">
      <c r="A373" s="10" t="s">
        <v>12</v>
      </c>
      <c r="B373" s="10" t="s">
        <v>14</v>
      </c>
      <c r="C373" s="10" t="s">
        <v>2113</v>
      </c>
      <c r="D373" s="11" t="str">
        <f t="shared" si="1"/>
        <v>Abrir anúncio ↗</v>
      </c>
      <c r="E373" s="12" t="s">
        <v>2116</v>
      </c>
      <c r="F373" s="10" t="s">
        <v>29</v>
      </c>
      <c r="G373" s="12" t="s">
        <v>841</v>
      </c>
      <c r="H373" s="12" t="s">
        <v>842</v>
      </c>
      <c r="I373" s="10"/>
      <c r="J373" s="10"/>
      <c r="K373" s="12"/>
    </row>
    <row r="374" ht="15.75" customHeight="1">
      <c r="A374" s="3" t="s">
        <v>12</v>
      </c>
      <c r="B374" s="3" t="s">
        <v>14</v>
      </c>
      <c r="C374" s="3" t="s">
        <v>2120</v>
      </c>
      <c r="D374" s="8" t="str">
        <f t="shared" si="1"/>
        <v>Abrir anúncio ↗</v>
      </c>
      <c r="E374" s="9" t="s">
        <v>71</v>
      </c>
      <c r="F374" s="3" t="s">
        <v>29</v>
      </c>
      <c r="G374" s="9" t="s">
        <v>30</v>
      </c>
      <c r="H374" s="9" t="s">
        <v>31</v>
      </c>
      <c r="I374" s="3"/>
      <c r="J374" s="3"/>
      <c r="K374" s="9"/>
    </row>
    <row r="375" ht="15.75" customHeight="1">
      <c r="A375" s="10" t="s">
        <v>12</v>
      </c>
      <c r="B375" s="10" t="s">
        <v>14</v>
      </c>
      <c r="C375" s="10" t="s">
        <v>2126</v>
      </c>
      <c r="D375" s="11" t="str">
        <f t="shared" si="1"/>
        <v>Abrir anúncio ↗</v>
      </c>
      <c r="E375" s="12" t="s">
        <v>2127</v>
      </c>
      <c r="F375" s="10" t="s">
        <v>29</v>
      </c>
      <c r="G375" s="12" t="s">
        <v>30</v>
      </c>
      <c r="H375" s="12" t="s">
        <v>31</v>
      </c>
      <c r="I375" s="10"/>
      <c r="J375" s="10"/>
      <c r="K375" s="12"/>
    </row>
    <row r="376" ht="15.75" customHeight="1">
      <c r="A376" s="3" t="s">
        <v>12</v>
      </c>
      <c r="B376" s="3" t="s">
        <v>14</v>
      </c>
      <c r="C376" s="3" t="s">
        <v>2129</v>
      </c>
      <c r="D376" s="8" t="str">
        <f t="shared" si="1"/>
        <v>Abrir anúncio ↗</v>
      </c>
      <c r="E376" s="9" t="s">
        <v>2131</v>
      </c>
      <c r="F376" s="3" t="s">
        <v>29</v>
      </c>
      <c r="G376" s="9" t="s">
        <v>30</v>
      </c>
      <c r="H376" s="9" t="s">
        <v>31</v>
      </c>
      <c r="I376" s="3"/>
      <c r="J376" s="3"/>
      <c r="K376" s="9"/>
    </row>
    <row r="377" ht="15.75" customHeight="1">
      <c r="A377" s="10" t="s">
        <v>12</v>
      </c>
      <c r="B377" s="10" t="s">
        <v>14</v>
      </c>
      <c r="C377" s="10" t="s">
        <v>2137</v>
      </c>
      <c r="D377" s="11" t="str">
        <f t="shared" si="1"/>
        <v>Abrir anúncio ↗</v>
      </c>
      <c r="E377" s="12" t="s">
        <v>2138</v>
      </c>
      <c r="F377" s="10" t="s">
        <v>29</v>
      </c>
      <c r="G377" s="12" t="s">
        <v>30</v>
      </c>
      <c r="H377" s="12" t="s">
        <v>31</v>
      </c>
      <c r="I377" s="10"/>
      <c r="J377" s="10"/>
      <c r="K377" s="12"/>
    </row>
    <row r="378" ht="15.75" customHeight="1">
      <c r="A378" s="3" t="s">
        <v>12</v>
      </c>
      <c r="B378" s="3" t="s">
        <v>14</v>
      </c>
      <c r="C378" s="3" t="s">
        <v>2141</v>
      </c>
      <c r="D378" s="8" t="str">
        <f t="shared" si="1"/>
        <v>Abrir anúncio ↗</v>
      </c>
      <c r="E378" s="9" t="s">
        <v>2143</v>
      </c>
      <c r="F378" s="3" t="s">
        <v>29</v>
      </c>
      <c r="G378" s="9" t="s">
        <v>841</v>
      </c>
      <c r="H378" s="9" t="s">
        <v>1869</v>
      </c>
      <c r="I378" s="3"/>
      <c r="J378" s="3"/>
      <c r="K378" s="9"/>
    </row>
    <row r="379" ht="15.75" customHeight="1">
      <c r="A379" s="10" t="s">
        <v>12</v>
      </c>
      <c r="B379" s="10" t="s">
        <v>14</v>
      </c>
      <c r="C379" s="10" t="s">
        <v>2149</v>
      </c>
      <c r="D379" s="11" t="str">
        <f t="shared" si="1"/>
        <v>Abrir anúncio ↗</v>
      </c>
      <c r="E379" s="12" t="s">
        <v>2150</v>
      </c>
      <c r="F379" s="10" t="s">
        <v>29</v>
      </c>
      <c r="G379" s="12" t="s">
        <v>744</v>
      </c>
      <c r="H379" s="12" t="s">
        <v>745</v>
      </c>
      <c r="I379" s="10"/>
      <c r="J379" s="10"/>
      <c r="K379" s="12"/>
    </row>
    <row r="380" ht="15.75" customHeight="1">
      <c r="A380" s="3" t="s">
        <v>12</v>
      </c>
      <c r="B380" s="3" t="s">
        <v>14</v>
      </c>
      <c r="C380" s="3" t="s">
        <v>2155</v>
      </c>
      <c r="D380" s="8" t="str">
        <f t="shared" si="1"/>
        <v>Abrir anúncio ↗</v>
      </c>
      <c r="E380" s="9" t="s">
        <v>377</v>
      </c>
      <c r="F380" s="3" t="s">
        <v>29</v>
      </c>
      <c r="G380" s="9" t="s">
        <v>30</v>
      </c>
      <c r="H380" s="9" t="s">
        <v>31</v>
      </c>
      <c r="I380" s="3"/>
      <c r="J380" s="3"/>
      <c r="K380" s="9"/>
    </row>
    <row r="381" ht="15.75" customHeight="1">
      <c r="A381" s="10" t="s">
        <v>12</v>
      </c>
      <c r="B381" s="10" t="s">
        <v>14</v>
      </c>
      <c r="C381" s="10" t="s">
        <v>2161</v>
      </c>
      <c r="D381" s="11" t="str">
        <f t="shared" si="1"/>
        <v>Abrir anúncio ↗</v>
      </c>
      <c r="E381" s="12" t="s">
        <v>216</v>
      </c>
      <c r="F381" s="10" t="s">
        <v>29</v>
      </c>
      <c r="G381" s="12" t="s">
        <v>744</v>
      </c>
      <c r="H381" s="12" t="s">
        <v>745</v>
      </c>
      <c r="I381" s="10"/>
      <c r="J381" s="10"/>
      <c r="K381" s="12"/>
    </row>
    <row r="382" ht="15.75" customHeight="1">
      <c r="A382" s="3" t="s">
        <v>12</v>
      </c>
      <c r="B382" s="3" t="s">
        <v>14</v>
      </c>
      <c r="C382" s="3" t="s">
        <v>2165</v>
      </c>
      <c r="D382" s="8" t="str">
        <f t="shared" si="1"/>
        <v>Abrir anúncio ↗</v>
      </c>
      <c r="E382" s="9" t="s">
        <v>2167</v>
      </c>
      <c r="F382" s="3" t="s">
        <v>29</v>
      </c>
      <c r="G382" s="9" t="s">
        <v>30</v>
      </c>
      <c r="H382" s="9" t="s">
        <v>31</v>
      </c>
      <c r="I382" s="3"/>
      <c r="J382" s="3"/>
      <c r="K382" s="9"/>
    </row>
    <row r="383" ht="15.75" customHeight="1">
      <c r="A383" s="10" t="s">
        <v>12</v>
      </c>
      <c r="B383" s="10" t="s">
        <v>14</v>
      </c>
      <c r="C383" s="10" t="s">
        <v>2172</v>
      </c>
      <c r="D383" s="11" t="str">
        <f t="shared" si="1"/>
        <v>Abrir anúncio ↗</v>
      </c>
      <c r="E383" s="12" t="s">
        <v>2174</v>
      </c>
      <c r="F383" s="10" t="s">
        <v>29</v>
      </c>
      <c r="G383" s="12" t="s">
        <v>30</v>
      </c>
      <c r="H383" s="12" t="s">
        <v>31</v>
      </c>
      <c r="I383" s="10"/>
      <c r="J383" s="10"/>
      <c r="K383" s="12"/>
    </row>
    <row r="384" ht="15.75" customHeight="1">
      <c r="A384" s="3" t="s">
        <v>12</v>
      </c>
      <c r="B384" s="3" t="s">
        <v>14</v>
      </c>
      <c r="C384" s="3" t="s">
        <v>2176</v>
      </c>
      <c r="D384" s="8" t="str">
        <f t="shared" si="1"/>
        <v>Abrir anúncio ↗</v>
      </c>
      <c r="E384" s="9" t="s">
        <v>2179</v>
      </c>
      <c r="F384" s="3" t="s">
        <v>29</v>
      </c>
      <c r="G384" s="9" t="s">
        <v>30</v>
      </c>
      <c r="H384" s="9" t="s">
        <v>31</v>
      </c>
      <c r="I384" s="3"/>
      <c r="J384" s="3"/>
      <c r="K384" s="9"/>
    </row>
    <row r="385" ht="15.75" customHeight="1">
      <c r="A385" s="10" t="s">
        <v>12</v>
      </c>
      <c r="B385" s="10" t="s">
        <v>14</v>
      </c>
      <c r="C385" s="10" t="s">
        <v>2184</v>
      </c>
      <c r="D385" s="11" t="str">
        <f t="shared" si="1"/>
        <v>Abrir anúncio ↗</v>
      </c>
      <c r="E385" s="12" t="s">
        <v>2185</v>
      </c>
      <c r="F385" s="10" t="s">
        <v>29</v>
      </c>
      <c r="G385" s="12" t="s">
        <v>30</v>
      </c>
      <c r="H385" s="12" t="s">
        <v>31</v>
      </c>
      <c r="I385" s="10"/>
      <c r="J385" s="10"/>
      <c r="K385" s="12"/>
    </row>
    <row r="386" ht="15.75" customHeight="1">
      <c r="A386" s="3" t="s">
        <v>12</v>
      </c>
      <c r="B386" s="3" t="s">
        <v>14</v>
      </c>
      <c r="C386" s="3" t="s">
        <v>2189</v>
      </c>
      <c r="D386" s="8" t="str">
        <f t="shared" si="1"/>
        <v>Abrir anúncio ↗</v>
      </c>
      <c r="E386" s="9" t="s">
        <v>2191</v>
      </c>
      <c r="F386" s="3" t="s">
        <v>29</v>
      </c>
      <c r="G386" s="9" t="s">
        <v>30</v>
      </c>
      <c r="H386" s="9" t="s">
        <v>31</v>
      </c>
      <c r="I386" s="3"/>
      <c r="J386" s="3"/>
      <c r="K386" s="9"/>
    </row>
    <row r="387" ht="15.75" customHeight="1">
      <c r="A387" s="10" t="s">
        <v>12</v>
      </c>
      <c r="B387" s="10" t="s">
        <v>14</v>
      </c>
      <c r="C387" s="10" t="s">
        <v>2194</v>
      </c>
      <c r="D387" s="11" t="str">
        <f t="shared" si="1"/>
        <v>Abrir anúncio ↗</v>
      </c>
      <c r="E387" s="12" t="s">
        <v>2195</v>
      </c>
      <c r="F387" s="10" t="s">
        <v>29</v>
      </c>
      <c r="G387" s="12" t="s">
        <v>30</v>
      </c>
      <c r="H387" s="12" t="s">
        <v>31</v>
      </c>
      <c r="I387" s="10"/>
      <c r="J387" s="10"/>
      <c r="K387" s="12"/>
    </row>
    <row r="388" ht="15.75" customHeight="1">
      <c r="A388" s="3" t="s">
        <v>12</v>
      </c>
      <c r="B388" s="3" t="s">
        <v>14</v>
      </c>
      <c r="C388" s="3" t="s">
        <v>2199</v>
      </c>
      <c r="D388" s="8" t="str">
        <f t="shared" si="1"/>
        <v>Abrir anúncio ↗</v>
      </c>
      <c r="E388" s="9" t="s">
        <v>2202</v>
      </c>
      <c r="F388" s="3" t="s">
        <v>29</v>
      </c>
      <c r="G388" s="9" t="s">
        <v>30</v>
      </c>
      <c r="H388" s="9" t="s">
        <v>31</v>
      </c>
      <c r="I388" s="3"/>
      <c r="J388" s="3"/>
      <c r="K388" s="9"/>
    </row>
    <row r="389" ht="15.75" customHeight="1">
      <c r="A389" s="10" t="s">
        <v>12</v>
      </c>
      <c r="B389" s="10" t="s">
        <v>14</v>
      </c>
      <c r="C389" s="10" t="s">
        <v>2205</v>
      </c>
      <c r="D389" s="11" t="str">
        <f t="shared" si="1"/>
        <v>Abrir anúncio ↗</v>
      </c>
      <c r="E389" s="12" t="s">
        <v>2207</v>
      </c>
      <c r="F389" s="10" t="s">
        <v>29</v>
      </c>
      <c r="G389" s="12" t="s">
        <v>30</v>
      </c>
      <c r="H389" s="12" t="s">
        <v>31</v>
      </c>
      <c r="I389" s="10"/>
      <c r="J389" s="10"/>
      <c r="K389" s="12"/>
    </row>
    <row r="390" ht="15.75" customHeight="1">
      <c r="A390" s="3" t="s">
        <v>12</v>
      </c>
      <c r="B390" s="3" t="s">
        <v>14</v>
      </c>
      <c r="C390" s="3" t="s">
        <v>2213</v>
      </c>
      <c r="D390" s="8" t="str">
        <f t="shared" si="1"/>
        <v>Abrir anúncio ↗</v>
      </c>
      <c r="E390" s="9" t="s">
        <v>2215</v>
      </c>
      <c r="F390" s="3" t="s">
        <v>29</v>
      </c>
      <c r="G390" s="9" t="s">
        <v>30</v>
      </c>
      <c r="H390" s="9" t="s">
        <v>31</v>
      </c>
      <c r="I390" s="3"/>
      <c r="J390" s="3"/>
      <c r="K390" s="9"/>
    </row>
    <row r="391" ht="15.75" customHeight="1">
      <c r="A391" s="10" t="s">
        <v>12</v>
      </c>
      <c r="B391" s="10" t="s">
        <v>14</v>
      </c>
      <c r="C391" s="10" t="s">
        <v>2219</v>
      </c>
      <c r="D391" s="11" t="str">
        <f t="shared" si="1"/>
        <v>Abrir anúncio ↗</v>
      </c>
      <c r="E391" s="12" t="s">
        <v>2220</v>
      </c>
      <c r="F391" s="10" t="s">
        <v>29</v>
      </c>
      <c r="G391" s="12" t="s">
        <v>30</v>
      </c>
      <c r="H391" s="12" t="s">
        <v>31</v>
      </c>
      <c r="I391" s="10"/>
      <c r="J391" s="10"/>
      <c r="K391" s="12"/>
    </row>
    <row r="392" ht="15.75" customHeight="1">
      <c r="A392" s="3" t="s">
        <v>12</v>
      </c>
      <c r="B392" s="3" t="s">
        <v>14</v>
      </c>
      <c r="C392" s="3" t="s">
        <v>2223</v>
      </c>
      <c r="D392" s="8" t="str">
        <f t="shared" si="1"/>
        <v>Abrir anúncio ↗</v>
      </c>
      <c r="E392" s="9" t="s">
        <v>2226</v>
      </c>
      <c r="F392" s="3" t="s">
        <v>29</v>
      </c>
      <c r="G392" s="9" t="s">
        <v>30</v>
      </c>
      <c r="H392" s="9" t="s">
        <v>31</v>
      </c>
      <c r="I392" s="3"/>
      <c r="J392" s="3"/>
      <c r="K392" s="9"/>
    </row>
    <row r="393" ht="15.75" customHeight="1">
      <c r="A393" s="10" t="s">
        <v>12</v>
      </c>
      <c r="B393" s="10" t="s">
        <v>14</v>
      </c>
      <c r="C393" s="10" t="s">
        <v>2230</v>
      </c>
      <c r="D393" s="11" t="str">
        <f t="shared" si="1"/>
        <v>Abrir anúncio ↗</v>
      </c>
      <c r="E393" s="12" t="s">
        <v>2231</v>
      </c>
      <c r="F393" s="10" t="s">
        <v>29</v>
      </c>
      <c r="G393" s="12" t="s">
        <v>30</v>
      </c>
      <c r="H393" s="12" t="s">
        <v>31</v>
      </c>
      <c r="I393" s="10"/>
      <c r="J393" s="10"/>
      <c r="K393" s="12"/>
    </row>
    <row r="394" ht="15.75" customHeight="1">
      <c r="A394" s="3" t="s">
        <v>12</v>
      </c>
      <c r="B394" s="3" t="s">
        <v>14</v>
      </c>
      <c r="C394" s="3" t="s">
        <v>2237</v>
      </c>
      <c r="D394" s="8" t="str">
        <f t="shared" si="1"/>
        <v>Abrir anúncio ↗</v>
      </c>
      <c r="E394" s="9" t="s">
        <v>2240</v>
      </c>
      <c r="F394" s="3" t="s">
        <v>29</v>
      </c>
      <c r="G394" s="9" t="s">
        <v>30</v>
      </c>
      <c r="H394" s="9" t="s">
        <v>31</v>
      </c>
      <c r="I394" s="3"/>
      <c r="J394" s="3"/>
      <c r="K394" s="9"/>
    </row>
    <row r="395" ht="15.75" customHeight="1">
      <c r="A395" s="10" t="s">
        <v>12</v>
      </c>
      <c r="B395" s="10" t="s">
        <v>14</v>
      </c>
      <c r="C395" s="10" t="s">
        <v>2242</v>
      </c>
      <c r="D395" s="11" t="str">
        <f t="shared" si="1"/>
        <v>Abrir anúncio ↗</v>
      </c>
      <c r="E395" s="12" t="s">
        <v>2244</v>
      </c>
      <c r="F395" s="10" t="s">
        <v>29</v>
      </c>
      <c r="G395" s="12" t="s">
        <v>30</v>
      </c>
      <c r="H395" s="12" t="s">
        <v>31</v>
      </c>
      <c r="I395" s="10"/>
      <c r="J395" s="10"/>
      <c r="K395" s="12"/>
    </row>
    <row r="396" ht="15.75" customHeight="1">
      <c r="A396" s="3" t="s">
        <v>12</v>
      </c>
      <c r="B396" s="3" t="s">
        <v>14</v>
      </c>
      <c r="C396" s="3" t="s">
        <v>2251</v>
      </c>
      <c r="D396" s="8" t="str">
        <f t="shared" si="1"/>
        <v>Abrir anúncio ↗</v>
      </c>
      <c r="E396" s="9" t="s">
        <v>2253</v>
      </c>
      <c r="F396" s="3" t="s">
        <v>29</v>
      </c>
      <c r="G396" s="9" t="s">
        <v>30</v>
      </c>
      <c r="H396" s="9" t="s">
        <v>31</v>
      </c>
      <c r="I396" s="3"/>
      <c r="J396" s="3"/>
      <c r="K396" s="9"/>
    </row>
    <row r="397" ht="15.75" customHeight="1">
      <c r="A397" s="10" t="s">
        <v>12</v>
      </c>
      <c r="B397" s="10" t="s">
        <v>14</v>
      </c>
      <c r="C397" s="10" t="s">
        <v>2255</v>
      </c>
      <c r="D397" s="11" t="str">
        <f t="shared" si="1"/>
        <v>Abrir anúncio ↗</v>
      </c>
      <c r="E397" s="12" t="s">
        <v>2257</v>
      </c>
      <c r="F397" s="10" t="s">
        <v>29</v>
      </c>
      <c r="G397" s="12" t="s">
        <v>30</v>
      </c>
      <c r="H397" s="12" t="s">
        <v>31</v>
      </c>
      <c r="I397" s="10"/>
      <c r="J397" s="10"/>
      <c r="K397" s="12"/>
    </row>
    <row r="398" ht="15.75" customHeight="1">
      <c r="A398" s="3" t="s">
        <v>12</v>
      </c>
      <c r="B398" s="3" t="s">
        <v>14</v>
      </c>
      <c r="C398" s="3" t="s">
        <v>2262</v>
      </c>
      <c r="D398" s="8" t="str">
        <f t="shared" si="1"/>
        <v>Abrir anúncio ↗</v>
      </c>
      <c r="E398" s="9" t="s">
        <v>2263</v>
      </c>
      <c r="F398" s="3" t="s">
        <v>29</v>
      </c>
      <c r="G398" s="9" t="s">
        <v>30</v>
      </c>
      <c r="H398" s="9" t="s">
        <v>31</v>
      </c>
      <c r="I398" s="3"/>
      <c r="J398" s="3"/>
      <c r="K398" s="9"/>
    </row>
    <row r="399" ht="15.75" customHeight="1">
      <c r="A399" s="10" t="s">
        <v>12</v>
      </c>
      <c r="B399" s="10" t="s">
        <v>14</v>
      </c>
      <c r="C399" s="10" t="s">
        <v>2266</v>
      </c>
      <c r="D399" s="11" t="str">
        <f t="shared" si="1"/>
        <v>Abrir anúncio ↗</v>
      </c>
      <c r="E399" s="12" t="s">
        <v>2267</v>
      </c>
      <c r="F399" s="10" t="s">
        <v>29</v>
      </c>
      <c r="G399" s="12" t="s">
        <v>30</v>
      </c>
      <c r="H399" s="12" t="s">
        <v>31</v>
      </c>
      <c r="I399" s="10"/>
      <c r="J399" s="10"/>
      <c r="K399" s="12"/>
    </row>
    <row r="400" ht="15.75" customHeight="1">
      <c r="A400" s="3" t="s">
        <v>12</v>
      </c>
      <c r="B400" s="3" t="s">
        <v>14</v>
      </c>
      <c r="C400" s="3" t="s">
        <v>2272</v>
      </c>
      <c r="D400" s="8" t="str">
        <f t="shared" si="1"/>
        <v>Abrir anúncio ↗</v>
      </c>
      <c r="E400" s="9" t="s">
        <v>2274</v>
      </c>
      <c r="F400" s="3" t="s">
        <v>29</v>
      </c>
      <c r="G400" s="9" t="s">
        <v>30</v>
      </c>
      <c r="H400" s="9" t="s">
        <v>31</v>
      </c>
      <c r="I400" s="3"/>
      <c r="J400" s="3"/>
      <c r="K400" s="9"/>
    </row>
    <row r="401" ht="15.75" customHeight="1">
      <c r="A401" s="10" t="s">
        <v>12</v>
      </c>
      <c r="B401" s="10" t="s">
        <v>14</v>
      </c>
      <c r="C401" s="10" t="s">
        <v>2276</v>
      </c>
      <c r="D401" s="11" t="str">
        <f t="shared" si="1"/>
        <v>Abrir anúncio ↗</v>
      </c>
      <c r="E401" s="12" t="s">
        <v>2279</v>
      </c>
      <c r="F401" s="10" t="s">
        <v>29</v>
      </c>
      <c r="G401" s="12" t="s">
        <v>30</v>
      </c>
      <c r="H401" s="12" t="s">
        <v>31</v>
      </c>
      <c r="I401" s="10"/>
      <c r="J401" s="10"/>
      <c r="K401" s="12"/>
    </row>
    <row r="402" ht="15.75" customHeight="1">
      <c r="A402" s="3" t="s">
        <v>12</v>
      </c>
      <c r="B402" s="3" t="s">
        <v>14</v>
      </c>
      <c r="C402" s="3" t="s">
        <v>2283</v>
      </c>
      <c r="D402" s="8" t="str">
        <f t="shared" si="1"/>
        <v>Abrir anúncio ↗</v>
      </c>
      <c r="E402" s="9" t="s">
        <v>2284</v>
      </c>
      <c r="F402" s="3" t="s">
        <v>29</v>
      </c>
      <c r="G402" s="9" t="s">
        <v>30</v>
      </c>
      <c r="H402" s="9" t="s">
        <v>31</v>
      </c>
      <c r="I402" s="3"/>
      <c r="J402" s="3"/>
      <c r="K402" s="9"/>
    </row>
    <row r="403" ht="15.75" customHeight="1">
      <c r="A403" s="10" t="s">
        <v>12</v>
      </c>
      <c r="B403" s="10" t="s">
        <v>14</v>
      </c>
      <c r="C403" s="10" t="s">
        <v>2288</v>
      </c>
      <c r="D403" s="11" t="str">
        <f t="shared" si="1"/>
        <v>Abrir anúncio ↗</v>
      </c>
      <c r="E403" s="12" t="s">
        <v>2289</v>
      </c>
      <c r="F403" s="10" t="s">
        <v>29</v>
      </c>
      <c r="G403" s="12" t="s">
        <v>30</v>
      </c>
      <c r="H403" s="12" t="s">
        <v>31</v>
      </c>
      <c r="I403" s="10"/>
      <c r="J403" s="10"/>
      <c r="K403" s="12"/>
    </row>
    <row r="404" ht="15.75" customHeight="1">
      <c r="A404" s="3" t="s">
        <v>12</v>
      </c>
      <c r="B404" s="3" t="s">
        <v>14</v>
      </c>
      <c r="C404" s="3" t="s">
        <v>2294</v>
      </c>
      <c r="D404" s="8" t="str">
        <f t="shared" si="1"/>
        <v>Abrir anúncio ↗</v>
      </c>
      <c r="E404" s="9" t="s">
        <v>2296</v>
      </c>
      <c r="F404" s="3" t="s">
        <v>29</v>
      </c>
      <c r="G404" s="9" t="s">
        <v>30</v>
      </c>
      <c r="H404" s="9" t="s">
        <v>31</v>
      </c>
      <c r="I404" s="3"/>
      <c r="J404" s="3"/>
      <c r="K404" s="9"/>
    </row>
    <row r="405" ht="15.75" customHeight="1">
      <c r="A405" s="10" t="s">
        <v>12</v>
      </c>
      <c r="B405" s="10" t="s">
        <v>14</v>
      </c>
      <c r="C405" s="10" t="s">
        <v>2300</v>
      </c>
      <c r="D405" s="11" t="str">
        <f t="shared" si="1"/>
        <v>Abrir anúncio ↗</v>
      </c>
      <c r="E405" s="12" t="s">
        <v>2303</v>
      </c>
      <c r="F405" s="10" t="s">
        <v>29</v>
      </c>
      <c r="G405" s="12" t="s">
        <v>30</v>
      </c>
      <c r="H405" s="12" t="s">
        <v>31</v>
      </c>
      <c r="I405" s="10"/>
      <c r="J405" s="10"/>
      <c r="K405" s="12"/>
    </row>
    <row r="406" ht="15.75" customHeight="1">
      <c r="A406" s="3" t="s">
        <v>12</v>
      </c>
      <c r="B406" s="3" t="s">
        <v>14</v>
      </c>
      <c r="C406" s="3" t="s">
        <v>2307</v>
      </c>
      <c r="D406" s="8" t="str">
        <f t="shared" si="1"/>
        <v>Abrir anúncio ↗</v>
      </c>
      <c r="E406" s="9" t="s">
        <v>2308</v>
      </c>
      <c r="F406" s="3" t="s">
        <v>29</v>
      </c>
      <c r="G406" s="9" t="s">
        <v>30</v>
      </c>
      <c r="H406" s="9" t="s">
        <v>31</v>
      </c>
      <c r="I406" s="3"/>
      <c r="J406" s="3"/>
      <c r="K406" s="9"/>
    </row>
    <row r="407" ht="15.75" customHeight="1">
      <c r="A407" s="10" t="s">
        <v>12</v>
      </c>
      <c r="B407" s="10" t="s">
        <v>14</v>
      </c>
      <c r="C407" s="10" t="s">
        <v>2311</v>
      </c>
      <c r="D407" s="11" t="str">
        <f t="shared" si="1"/>
        <v>Abrir anúncio ↗</v>
      </c>
      <c r="E407" s="12" t="s">
        <v>2315</v>
      </c>
      <c r="F407" s="10" t="s">
        <v>29</v>
      </c>
      <c r="G407" s="12" t="s">
        <v>30</v>
      </c>
      <c r="H407" s="12" t="s">
        <v>31</v>
      </c>
      <c r="I407" s="10"/>
      <c r="J407" s="10"/>
      <c r="K407" s="12"/>
    </row>
    <row r="408" ht="15.75" customHeight="1">
      <c r="A408" s="3" t="s">
        <v>12</v>
      </c>
      <c r="B408" s="3" t="s">
        <v>14</v>
      </c>
      <c r="C408" s="3" t="s">
        <v>2319</v>
      </c>
      <c r="D408" s="8" t="str">
        <f t="shared" si="1"/>
        <v>Abrir anúncio ↗</v>
      </c>
      <c r="E408" s="9" t="s">
        <v>2320</v>
      </c>
      <c r="F408" s="3" t="s">
        <v>29</v>
      </c>
      <c r="G408" s="9" t="s">
        <v>30</v>
      </c>
      <c r="H408" s="9" t="s">
        <v>31</v>
      </c>
      <c r="I408" s="3"/>
      <c r="J408" s="3"/>
      <c r="K408" s="9"/>
    </row>
    <row r="409" ht="15.75" customHeight="1">
      <c r="A409" s="10" t="s">
        <v>12</v>
      </c>
      <c r="B409" s="10" t="s">
        <v>14</v>
      </c>
      <c r="C409" s="10" t="s">
        <v>2327</v>
      </c>
      <c r="D409" s="11" t="str">
        <f t="shared" si="1"/>
        <v>Abrir anúncio ↗</v>
      </c>
      <c r="E409" s="12" t="s">
        <v>2328</v>
      </c>
      <c r="F409" s="10" t="s">
        <v>29</v>
      </c>
      <c r="G409" s="12" t="s">
        <v>30</v>
      </c>
      <c r="H409" s="12" t="s">
        <v>31</v>
      </c>
      <c r="I409" s="10"/>
      <c r="J409" s="10"/>
      <c r="K409" s="12"/>
    </row>
    <row r="410" ht="15.75" customHeight="1">
      <c r="A410" s="3" t="s">
        <v>12</v>
      </c>
      <c r="B410" s="3" t="s">
        <v>14</v>
      </c>
      <c r="C410" s="3" t="s">
        <v>2329</v>
      </c>
      <c r="D410" s="8" t="str">
        <f t="shared" si="1"/>
        <v>Abrir anúncio ↗</v>
      </c>
      <c r="E410" s="9" t="s">
        <v>2331</v>
      </c>
      <c r="F410" s="3" t="s">
        <v>29</v>
      </c>
      <c r="G410" s="9" t="s">
        <v>30</v>
      </c>
      <c r="H410" s="9" t="s">
        <v>31</v>
      </c>
      <c r="I410" s="3"/>
      <c r="J410" s="3"/>
      <c r="K410" s="9"/>
    </row>
    <row r="411" ht="15.75" customHeight="1">
      <c r="A411" s="10" t="s">
        <v>12</v>
      </c>
      <c r="B411" s="10" t="s">
        <v>14</v>
      </c>
      <c r="C411" s="10" t="s">
        <v>2337</v>
      </c>
      <c r="D411" s="11" t="str">
        <f t="shared" si="1"/>
        <v>Abrir anúncio ↗</v>
      </c>
      <c r="E411" s="12" t="s">
        <v>2338</v>
      </c>
      <c r="F411" s="10" t="s">
        <v>29</v>
      </c>
      <c r="G411" s="12" t="s">
        <v>30</v>
      </c>
      <c r="H411" s="12" t="s">
        <v>31</v>
      </c>
      <c r="I411" s="10"/>
      <c r="J411" s="10"/>
      <c r="K411" s="12"/>
    </row>
    <row r="412" ht="15.75" customHeight="1">
      <c r="A412" s="3" t="s">
        <v>12</v>
      </c>
      <c r="B412" s="3" t="s">
        <v>14</v>
      </c>
      <c r="C412" s="3" t="s">
        <v>2340</v>
      </c>
      <c r="D412" s="8" t="str">
        <f t="shared" si="1"/>
        <v>Abrir anúncio ↗</v>
      </c>
      <c r="E412" s="9" t="s">
        <v>2343</v>
      </c>
      <c r="F412" s="3" t="s">
        <v>29</v>
      </c>
      <c r="G412" s="9" t="s">
        <v>30</v>
      </c>
      <c r="H412" s="9" t="s">
        <v>31</v>
      </c>
      <c r="I412" s="3"/>
      <c r="J412" s="3"/>
      <c r="K412" s="9"/>
    </row>
    <row r="413" ht="15.75" customHeight="1">
      <c r="A413" s="10" t="s">
        <v>12</v>
      </c>
      <c r="B413" s="10" t="s">
        <v>14</v>
      </c>
      <c r="C413" s="10" t="s">
        <v>2347</v>
      </c>
      <c r="D413" s="11" t="str">
        <f t="shared" si="1"/>
        <v>Abrir anúncio ↗</v>
      </c>
      <c r="E413" s="12" t="s">
        <v>2348</v>
      </c>
      <c r="F413" s="10" t="s">
        <v>29</v>
      </c>
      <c r="G413" s="12" t="s">
        <v>30</v>
      </c>
      <c r="H413" s="12" t="s">
        <v>31</v>
      </c>
      <c r="I413" s="10"/>
      <c r="J413" s="10"/>
      <c r="K413" s="12"/>
    </row>
    <row r="414" ht="15.75" customHeight="1">
      <c r="A414" s="3" t="s">
        <v>12</v>
      </c>
      <c r="B414" s="3" t="s">
        <v>14</v>
      </c>
      <c r="C414" s="3" t="s">
        <v>2351</v>
      </c>
      <c r="D414" s="8" t="str">
        <f t="shared" si="1"/>
        <v>Abrir anúncio ↗</v>
      </c>
      <c r="E414" s="9" t="s">
        <v>2353</v>
      </c>
      <c r="F414" s="3" t="s">
        <v>29</v>
      </c>
      <c r="G414" s="9" t="s">
        <v>30</v>
      </c>
      <c r="H414" s="9" t="s">
        <v>31</v>
      </c>
      <c r="I414" s="3"/>
      <c r="J414" s="3"/>
      <c r="K414" s="9"/>
    </row>
    <row r="415" ht="15.75" customHeight="1">
      <c r="A415" s="10" t="s">
        <v>12</v>
      </c>
      <c r="B415" s="10" t="s">
        <v>14</v>
      </c>
      <c r="C415" s="10" t="s">
        <v>2358</v>
      </c>
      <c r="D415" s="11" t="str">
        <f t="shared" si="1"/>
        <v>Abrir anúncio ↗</v>
      </c>
      <c r="E415" s="12" t="s">
        <v>2359</v>
      </c>
      <c r="F415" s="10" t="s">
        <v>29</v>
      </c>
      <c r="G415" s="12" t="s">
        <v>30</v>
      </c>
      <c r="H415" s="12" t="s">
        <v>31</v>
      </c>
      <c r="I415" s="10"/>
      <c r="J415" s="10"/>
      <c r="K415" s="12"/>
    </row>
    <row r="416" ht="15.75" customHeight="1">
      <c r="A416" s="3" t="s">
        <v>12</v>
      </c>
      <c r="B416" s="3" t="s">
        <v>14</v>
      </c>
      <c r="C416" s="3" t="s">
        <v>2362</v>
      </c>
      <c r="D416" s="8" t="str">
        <f t="shared" si="1"/>
        <v>Abrir anúncio ↗</v>
      </c>
      <c r="E416" s="9" t="s">
        <v>2364</v>
      </c>
      <c r="F416" s="3" t="s">
        <v>29</v>
      </c>
      <c r="G416" s="9" t="s">
        <v>30</v>
      </c>
      <c r="H416" s="9" t="s">
        <v>31</v>
      </c>
      <c r="I416" s="3"/>
      <c r="J416" s="3"/>
      <c r="K416" s="9"/>
    </row>
    <row r="417" ht="15.75" customHeight="1">
      <c r="A417" s="10" t="s">
        <v>12</v>
      </c>
      <c r="B417" s="10" t="s">
        <v>14</v>
      </c>
      <c r="C417" s="10" t="s">
        <v>2369</v>
      </c>
      <c r="D417" s="11" t="str">
        <f t="shared" si="1"/>
        <v>Abrir anúncio ↗</v>
      </c>
      <c r="E417" s="12" t="s">
        <v>2370</v>
      </c>
      <c r="F417" s="10" t="s">
        <v>29</v>
      </c>
      <c r="G417" s="12" t="s">
        <v>30</v>
      </c>
      <c r="H417" s="12" t="s">
        <v>31</v>
      </c>
      <c r="I417" s="10"/>
      <c r="J417" s="10"/>
      <c r="K417" s="12"/>
    </row>
    <row r="418" ht="15.75" customHeight="1">
      <c r="A418" s="3" t="s">
        <v>12</v>
      </c>
      <c r="B418" s="3" t="s">
        <v>14</v>
      </c>
      <c r="C418" s="3" t="s">
        <v>2372</v>
      </c>
      <c r="D418" s="8" t="str">
        <f t="shared" si="1"/>
        <v>Abrir anúncio ↗</v>
      </c>
      <c r="E418" s="9" t="s">
        <v>2375</v>
      </c>
      <c r="F418" s="3" t="s">
        <v>29</v>
      </c>
      <c r="G418" s="9" t="s">
        <v>30</v>
      </c>
      <c r="H418" s="9" t="s">
        <v>31</v>
      </c>
      <c r="I418" s="3"/>
      <c r="J418" s="3"/>
      <c r="K418" s="9"/>
    </row>
    <row r="419" ht="15.75" customHeight="1">
      <c r="A419" s="10" t="s">
        <v>12</v>
      </c>
      <c r="B419" s="10" t="s">
        <v>14</v>
      </c>
      <c r="C419" s="10" t="s">
        <v>2379</v>
      </c>
      <c r="D419" s="11" t="str">
        <f t="shared" si="1"/>
        <v>Abrir anúncio ↗</v>
      </c>
      <c r="E419" s="12" t="s">
        <v>2380</v>
      </c>
      <c r="F419" s="10" t="s">
        <v>29</v>
      </c>
      <c r="G419" s="12" t="s">
        <v>30</v>
      </c>
      <c r="H419" s="12" t="s">
        <v>31</v>
      </c>
      <c r="I419" s="10"/>
      <c r="J419" s="10"/>
      <c r="K419" s="12"/>
    </row>
    <row r="420" ht="15.75" customHeight="1">
      <c r="A420" s="3" t="s">
        <v>12</v>
      </c>
      <c r="B420" s="3" t="s">
        <v>14</v>
      </c>
      <c r="C420" s="3" t="s">
        <v>2381</v>
      </c>
      <c r="D420" s="8" t="str">
        <f t="shared" si="1"/>
        <v>Abrir anúncio ↗</v>
      </c>
      <c r="E420" s="9" t="s">
        <v>2382</v>
      </c>
      <c r="F420" s="3" t="s">
        <v>29</v>
      </c>
      <c r="G420" s="9" t="s">
        <v>30</v>
      </c>
      <c r="H420" s="9" t="s">
        <v>31</v>
      </c>
      <c r="I420" s="3"/>
      <c r="J420" s="3"/>
      <c r="K420" s="9"/>
    </row>
    <row r="421" ht="15.75" customHeight="1">
      <c r="A421" s="10" t="s">
        <v>12</v>
      </c>
      <c r="B421" s="10" t="s">
        <v>14</v>
      </c>
      <c r="C421" s="10" t="s">
        <v>2385</v>
      </c>
      <c r="D421" s="11" t="str">
        <f t="shared" si="1"/>
        <v>Abrir anúncio ↗</v>
      </c>
      <c r="E421" s="12" t="s">
        <v>2386</v>
      </c>
      <c r="F421" s="10" t="s">
        <v>29</v>
      </c>
      <c r="G421" s="12" t="s">
        <v>30</v>
      </c>
      <c r="H421" s="12" t="s">
        <v>31</v>
      </c>
      <c r="I421" s="10"/>
      <c r="J421" s="10"/>
      <c r="K421" s="12"/>
    </row>
    <row r="422" ht="15.75" customHeight="1">
      <c r="A422" s="3" t="s">
        <v>12</v>
      </c>
      <c r="B422" s="3" t="s">
        <v>14</v>
      </c>
      <c r="C422" s="3" t="s">
        <v>2393</v>
      </c>
      <c r="D422" s="8" t="str">
        <f t="shared" si="1"/>
        <v>Abrir anúncio ↗</v>
      </c>
      <c r="E422" s="9" t="s">
        <v>2394</v>
      </c>
      <c r="F422" s="3" t="s">
        <v>29</v>
      </c>
      <c r="G422" s="9" t="s">
        <v>30</v>
      </c>
      <c r="H422" s="9" t="s">
        <v>31</v>
      </c>
      <c r="I422" s="3"/>
      <c r="J422" s="3"/>
      <c r="K422" s="9"/>
    </row>
    <row r="423" ht="15.75" customHeight="1">
      <c r="A423" s="10" t="s">
        <v>12</v>
      </c>
      <c r="B423" s="10" t="s">
        <v>14</v>
      </c>
      <c r="C423" s="10" t="s">
        <v>2398</v>
      </c>
      <c r="D423" s="11" t="str">
        <f t="shared" si="1"/>
        <v>Abrir anúncio ↗</v>
      </c>
      <c r="E423" s="12" t="s">
        <v>2400</v>
      </c>
      <c r="F423" s="10" t="s">
        <v>29</v>
      </c>
      <c r="G423" s="12" t="s">
        <v>30</v>
      </c>
      <c r="H423" s="12" t="s">
        <v>31</v>
      </c>
      <c r="I423" s="10"/>
      <c r="J423" s="10"/>
      <c r="K423" s="12"/>
    </row>
    <row r="424" ht="15.75" customHeight="1">
      <c r="A424" s="3" t="s">
        <v>12</v>
      </c>
      <c r="B424" s="3" t="s">
        <v>14</v>
      </c>
      <c r="C424" s="3" t="s">
        <v>2403</v>
      </c>
      <c r="D424" s="8" t="str">
        <f t="shared" si="1"/>
        <v>Abrir anúncio ↗</v>
      </c>
      <c r="E424" s="9" t="s">
        <v>2405</v>
      </c>
      <c r="F424" s="3" t="s">
        <v>29</v>
      </c>
      <c r="G424" s="9" t="s">
        <v>30</v>
      </c>
      <c r="H424" s="9" t="s">
        <v>31</v>
      </c>
      <c r="I424" s="3"/>
      <c r="J424" s="3"/>
      <c r="K424" s="9"/>
    </row>
    <row r="425" ht="15.75" customHeight="1">
      <c r="A425" s="10" t="s">
        <v>12</v>
      </c>
      <c r="B425" s="10" t="s">
        <v>14</v>
      </c>
      <c r="C425" s="10" t="s">
        <v>2410</v>
      </c>
      <c r="D425" s="11" t="str">
        <f t="shared" si="1"/>
        <v>Abrir anúncio ↗</v>
      </c>
      <c r="E425" s="12" t="s">
        <v>2413</v>
      </c>
      <c r="F425" s="10" t="s">
        <v>29</v>
      </c>
      <c r="G425" s="12" t="s">
        <v>30</v>
      </c>
      <c r="H425" s="12" t="s">
        <v>31</v>
      </c>
      <c r="I425" s="10"/>
      <c r="J425" s="10"/>
      <c r="K425" s="12"/>
    </row>
    <row r="426" ht="15.75" customHeight="1">
      <c r="A426" s="3" t="s">
        <v>12</v>
      </c>
      <c r="B426" s="3" t="s">
        <v>14</v>
      </c>
      <c r="C426" s="3" t="s">
        <v>2416</v>
      </c>
      <c r="D426" s="8" t="str">
        <f t="shared" si="1"/>
        <v>Abrir anúncio ↗</v>
      </c>
      <c r="E426" s="9" t="s">
        <v>2418</v>
      </c>
      <c r="F426" s="3" t="s">
        <v>29</v>
      </c>
      <c r="G426" s="9" t="s">
        <v>30</v>
      </c>
      <c r="H426" s="9" t="s">
        <v>31</v>
      </c>
      <c r="I426" s="3"/>
      <c r="J426" s="3"/>
      <c r="K426" s="9"/>
    </row>
    <row r="427" ht="15.75" customHeight="1">
      <c r="A427" s="10" t="s">
        <v>12</v>
      </c>
      <c r="B427" s="10" t="s">
        <v>14</v>
      </c>
      <c r="C427" s="10" t="s">
        <v>2420</v>
      </c>
      <c r="D427" s="11" t="str">
        <f t="shared" si="1"/>
        <v>Abrir anúncio ↗</v>
      </c>
      <c r="E427" s="12" t="s">
        <v>2423</v>
      </c>
      <c r="F427" s="10" t="s">
        <v>29</v>
      </c>
      <c r="G427" s="12" t="s">
        <v>30</v>
      </c>
      <c r="H427" s="12" t="s">
        <v>31</v>
      </c>
      <c r="I427" s="10"/>
      <c r="J427" s="10"/>
      <c r="K427" s="12"/>
    </row>
    <row r="428" ht="15.75" customHeight="1">
      <c r="A428" s="3" t="s">
        <v>12</v>
      </c>
      <c r="B428" s="3" t="s">
        <v>14</v>
      </c>
      <c r="C428" s="3" t="s">
        <v>2427</v>
      </c>
      <c r="D428" s="8" t="str">
        <f t="shared" si="1"/>
        <v>Abrir anúncio ↗</v>
      </c>
      <c r="E428" s="9" t="s">
        <v>2428</v>
      </c>
      <c r="F428" s="3" t="s">
        <v>29</v>
      </c>
      <c r="G428" s="9" t="s">
        <v>30</v>
      </c>
      <c r="H428" s="9" t="s">
        <v>31</v>
      </c>
      <c r="I428" s="3"/>
      <c r="J428" s="3"/>
      <c r="K428" s="9"/>
    </row>
    <row r="429" ht="15.75" customHeight="1">
      <c r="A429" s="10" t="s">
        <v>12</v>
      </c>
      <c r="B429" s="10" t="s">
        <v>14</v>
      </c>
      <c r="C429" s="10" t="s">
        <v>2430</v>
      </c>
      <c r="D429" s="11" t="str">
        <f t="shared" si="1"/>
        <v>Abrir anúncio ↗</v>
      </c>
      <c r="E429" s="12" t="s">
        <v>2433</v>
      </c>
      <c r="F429" s="10" t="s">
        <v>29</v>
      </c>
      <c r="G429" s="12" t="s">
        <v>30</v>
      </c>
      <c r="H429" s="12" t="s">
        <v>31</v>
      </c>
      <c r="I429" s="10"/>
      <c r="J429" s="10"/>
      <c r="K429" s="12"/>
    </row>
    <row r="430" ht="15.75" customHeight="1">
      <c r="A430" s="3" t="s">
        <v>12</v>
      </c>
      <c r="B430" s="3" t="s">
        <v>14</v>
      </c>
      <c r="C430" s="3" t="s">
        <v>2437</v>
      </c>
      <c r="D430" s="8" t="str">
        <f t="shared" si="1"/>
        <v>Abrir anúncio ↗</v>
      </c>
      <c r="E430" s="9" t="s">
        <v>2438</v>
      </c>
      <c r="F430" s="3" t="s">
        <v>29</v>
      </c>
      <c r="G430" s="9" t="s">
        <v>30</v>
      </c>
      <c r="H430" s="9" t="s">
        <v>31</v>
      </c>
      <c r="I430" s="3"/>
      <c r="J430" s="3"/>
      <c r="K430" s="9"/>
    </row>
    <row r="431" ht="15.75" customHeight="1">
      <c r="A431" s="10" t="s">
        <v>12</v>
      </c>
      <c r="B431" s="10" t="s">
        <v>14</v>
      </c>
      <c r="C431" s="10" t="s">
        <v>2440</v>
      </c>
      <c r="D431" s="11" t="str">
        <f t="shared" si="1"/>
        <v>Abrir anúncio ↗</v>
      </c>
      <c r="E431" s="12" t="s">
        <v>2442</v>
      </c>
      <c r="F431" s="10" t="s">
        <v>29</v>
      </c>
      <c r="G431" s="12" t="s">
        <v>30</v>
      </c>
      <c r="H431" s="12" t="s">
        <v>31</v>
      </c>
      <c r="I431" s="10"/>
      <c r="J431" s="10"/>
      <c r="K431" s="12"/>
    </row>
    <row r="432" ht="15.75" customHeight="1">
      <c r="A432" s="3" t="s">
        <v>12</v>
      </c>
      <c r="B432" s="3" t="s">
        <v>14</v>
      </c>
      <c r="C432" s="3" t="s">
        <v>2447</v>
      </c>
      <c r="D432" s="8" t="str">
        <f t="shared" si="1"/>
        <v>Abrir anúncio ↗</v>
      </c>
      <c r="E432" s="9" t="s">
        <v>2448</v>
      </c>
      <c r="F432" s="3" t="s">
        <v>29</v>
      </c>
      <c r="G432" s="9" t="s">
        <v>30</v>
      </c>
      <c r="H432" s="9" t="s">
        <v>31</v>
      </c>
      <c r="I432" s="3"/>
      <c r="J432" s="3"/>
      <c r="K432" s="9"/>
    </row>
    <row r="433" ht="15.75" customHeight="1">
      <c r="A433" s="10" t="s">
        <v>12</v>
      </c>
      <c r="B433" s="10" t="s">
        <v>14</v>
      </c>
      <c r="C433" s="10" t="s">
        <v>2451</v>
      </c>
      <c r="D433" s="11" t="str">
        <f t="shared" si="1"/>
        <v>Abrir anúncio ↗</v>
      </c>
      <c r="E433" s="12" t="s">
        <v>2452</v>
      </c>
      <c r="F433" s="10" t="s">
        <v>29</v>
      </c>
      <c r="G433" s="12" t="s">
        <v>238</v>
      </c>
      <c r="H433" s="12" t="s">
        <v>2455</v>
      </c>
      <c r="I433" s="10"/>
      <c r="J433" s="10"/>
      <c r="K433" s="12"/>
    </row>
    <row r="434" ht="15.75" customHeight="1">
      <c r="A434" s="3" t="s">
        <v>12</v>
      </c>
      <c r="B434" s="3" t="s">
        <v>14</v>
      </c>
      <c r="C434" s="3" t="s">
        <v>2458</v>
      </c>
      <c r="D434" s="8" t="str">
        <f t="shared" si="1"/>
        <v>Abrir anúncio ↗</v>
      </c>
      <c r="E434" s="9" t="s">
        <v>2460</v>
      </c>
      <c r="F434" s="3" t="s">
        <v>29</v>
      </c>
      <c r="G434" s="9" t="s">
        <v>238</v>
      </c>
      <c r="H434" s="9" t="s">
        <v>2041</v>
      </c>
      <c r="I434" s="3"/>
      <c r="J434" s="3"/>
      <c r="K434" s="9"/>
    </row>
    <row r="435" ht="15.75" customHeight="1">
      <c r="A435" s="10" t="s">
        <v>12</v>
      </c>
      <c r="B435" s="10" t="s">
        <v>14</v>
      </c>
      <c r="C435" s="10" t="s">
        <v>2462</v>
      </c>
      <c r="D435" s="11" t="str">
        <f t="shared" si="1"/>
        <v>Abrir anúncio ↗</v>
      </c>
      <c r="E435" s="12" t="s">
        <v>2464</v>
      </c>
      <c r="F435" s="10" t="s">
        <v>29</v>
      </c>
      <c r="G435" s="12" t="s">
        <v>238</v>
      </c>
      <c r="H435" s="12" t="s">
        <v>240</v>
      </c>
      <c r="I435" s="10"/>
      <c r="J435" s="10"/>
      <c r="K435" s="12"/>
    </row>
    <row r="436" ht="15.75" customHeight="1">
      <c r="A436" s="3" t="s">
        <v>12</v>
      </c>
      <c r="B436" s="3" t="s">
        <v>14</v>
      </c>
      <c r="C436" s="3" t="s">
        <v>2470</v>
      </c>
      <c r="D436" s="8" t="str">
        <f t="shared" si="1"/>
        <v>Abrir anúncio ↗</v>
      </c>
      <c r="E436" s="9" t="s">
        <v>2471</v>
      </c>
      <c r="F436" s="3" t="s">
        <v>29</v>
      </c>
      <c r="G436" s="9" t="s">
        <v>30</v>
      </c>
      <c r="H436" s="9" t="s">
        <v>31</v>
      </c>
      <c r="I436" s="3"/>
      <c r="J436" s="3"/>
      <c r="K436" s="9"/>
    </row>
    <row r="437" ht="15.75" customHeight="1">
      <c r="A437" s="10" t="s">
        <v>12</v>
      </c>
      <c r="B437" s="10" t="s">
        <v>14</v>
      </c>
      <c r="C437" s="10" t="s">
        <v>2472</v>
      </c>
      <c r="D437" s="11" t="str">
        <f t="shared" si="1"/>
        <v>Abrir anúncio ↗</v>
      </c>
      <c r="E437" s="12" t="s">
        <v>2475</v>
      </c>
      <c r="F437" s="10" t="s">
        <v>29</v>
      </c>
      <c r="G437" s="12" t="s">
        <v>238</v>
      </c>
      <c r="H437" s="12" t="s">
        <v>2455</v>
      </c>
      <c r="I437" s="10"/>
      <c r="J437" s="10"/>
      <c r="K437" s="12"/>
    </row>
    <row r="438" ht="15.75" customHeight="1">
      <c r="A438" s="3" t="s">
        <v>12</v>
      </c>
      <c r="B438" s="3" t="s">
        <v>14</v>
      </c>
      <c r="C438" s="3" t="s">
        <v>2480</v>
      </c>
      <c r="D438" s="8" t="str">
        <f t="shared" si="1"/>
        <v>Abrir anúncio ↗</v>
      </c>
      <c r="E438" s="9" t="s">
        <v>2481</v>
      </c>
      <c r="F438" s="3" t="s">
        <v>29</v>
      </c>
      <c r="G438" s="9" t="s">
        <v>30</v>
      </c>
      <c r="H438" s="9" t="s">
        <v>31</v>
      </c>
      <c r="I438" s="3"/>
      <c r="J438" s="3"/>
      <c r="K438" s="9"/>
    </row>
    <row r="439" ht="15.75" customHeight="1">
      <c r="A439" s="10" t="s">
        <v>12</v>
      </c>
      <c r="B439" s="10" t="s">
        <v>14</v>
      </c>
      <c r="C439" s="10" t="s">
        <v>2483</v>
      </c>
      <c r="D439" s="11" t="str">
        <f t="shared" si="1"/>
        <v>Abrir anúncio ↗</v>
      </c>
      <c r="E439" s="12" t="s">
        <v>2486</v>
      </c>
      <c r="F439" s="10" t="s">
        <v>29</v>
      </c>
      <c r="G439" s="12" t="s">
        <v>744</v>
      </c>
      <c r="H439" s="12" t="s">
        <v>745</v>
      </c>
      <c r="I439" s="10"/>
      <c r="J439" s="10"/>
      <c r="K439" s="12"/>
    </row>
    <row r="440" ht="15.75" customHeight="1">
      <c r="A440" s="3" t="s">
        <v>12</v>
      </c>
      <c r="B440" s="3" t="s">
        <v>14</v>
      </c>
      <c r="C440" s="3" t="s">
        <v>2490</v>
      </c>
      <c r="D440" s="8" t="str">
        <f t="shared" si="1"/>
        <v>Abrir anúncio ↗</v>
      </c>
      <c r="E440" s="9" t="s">
        <v>2491</v>
      </c>
      <c r="F440" s="3" t="s">
        <v>86</v>
      </c>
      <c r="G440" s="9" t="s">
        <v>238</v>
      </c>
      <c r="H440" s="9" t="s">
        <v>871</v>
      </c>
      <c r="I440" s="3"/>
      <c r="J440" s="3"/>
      <c r="K440" s="9"/>
    </row>
    <row r="441" ht="15.75" customHeight="1">
      <c r="A441" s="10" t="s">
        <v>12</v>
      </c>
      <c r="B441" s="10" t="s">
        <v>14</v>
      </c>
      <c r="C441" s="10" t="s">
        <v>2494</v>
      </c>
      <c r="D441" s="11" t="str">
        <f t="shared" si="1"/>
        <v>Abrir anúncio ↗</v>
      </c>
      <c r="E441" s="12" t="s">
        <v>2497</v>
      </c>
      <c r="F441" s="10" t="s">
        <v>29</v>
      </c>
      <c r="G441" s="12" t="s">
        <v>238</v>
      </c>
      <c r="H441" s="12" t="s">
        <v>934</v>
      </c>
      <c r="I441" s="10"/>
      <c r="J441" s="10"/>
      <c r="K441" s="12"/>
    </row>
    <row r="442" ht="15.75" customHeight="1">
      <c r="A442" s="3" t="s">
        <v>12</v>
      </c>
      <c r="B442" s="3" t="s">
        <v>14</v>
      </c>
      <c r="C442" s="3" t="s">
        <v>2500</v>
      </c>
      <c r="D442" s="8" t="str">
        <f t="shared" si="1"/>
        <v>Abrir anúncio ↗</v>
      </c>
      <c r="E442" s="9" t="s">
        <v>1319</v>
      </c>
      <c r="F442" s="3" t="s">
        <v>29</v>
      </c>
      <c r="G442" s="9" t="s">
        <v>30</v>
      </c>
      <c r="H442" s="9" t="s">
        <v>31</v>
      </c>
      <c r="I442" s="3"/>
      <c r="J442" s="3"/>
      <c r="K442" s="9"/>
    </row>
    <row r="443" ht="15.75" customHeight="1">
      <c r="A443" s="10" t="s">
        <v>12</v>
      </c>
      <c r="B443" s="10" t="s">
        <v>14</v>
      </c>
      <c r="C443" s="10" t="s">
        <v>2504</v>
      </c>
      <c r="D443" s="11" t="str">
        <f t="shared" si="1"/>
        <v>Abrir anúncio ↗</v>
      </c>
      <c r="E443" s="12" t="s">
        <v>1264</v>
      </c>
      <c r="F443" s="10" t="s">
        <v>29</v>
      </c>
      <c r="G443" s="12" t="s">
        <v>744</v>
      </c>
      <c r="H443" s="12" t="s">
        <v>745</v>
      </c>
      <c r="I443" s="10"/>
      <c r="J443" s="10"/>
      <c r="K443" s="12"/>
    </row>
    <row r="444" ht="15.75" customHeight="1">
      <c r="A444" s="3" t="s">
        <v>12</v>
      </c>
      <c r="B444" s="3" t="s">
        <v>14</v>
      </c>
      <c r="C444" s="3" t="s">
        <v>2511</v>
      </c>
      <c r="D444" s="8" t="str">
        <f t="shared" si="1"/>
        <v>Abrir anúncio ↗</v>
      </c>
      <c r="E444" s="9" t="s">
        <v>2512</v>
      </c>
      <c r="F444" s="3" t="s">
        <v>29</v>
      </c>
      <c r="G444" s="9" t="s">
        <v>841</v>
      </c>
      <c r="H444" s="9" t="s">
        <v>1698</v>
      </c>
      <c r="I444" s="3"/>
      <c r="J444" s="3"/>
      <c r="K444" s="9"/>
    </row>
    <row r="445" ht="15.75" customHeight="1">
      <c r="A445" s="10" t="s">
        <v>12</v>
      </c>
      <c r="B445" s="10" t="s">
        <v>14</v>
      </c>
      <c r="C445" s="10" t="s">
        <v>2513</v>
      </c>
      <c r="D445" s="11" t="str">
        <f t="shared" si="1"/>
        <v>Abrir anúncio ↗</v>
      </c>
      <c r="E445" s="12" t="s">
        <v>2514</v>
      </c>
      <c r="F445" s="10" t="s">
        <v>29</v>
      </c>
      <c r="G445" s="12" t="s">
        <v>238</v>
      </c>
      <c r="H445" s="12" t="s">
        <v>2518</v>
      </c>
      <c r="I445" s="10"/>
      <c r="J445" s="10"/>
      <c r="K445" s="12"/>
    </row>
    <row r="446" ht="15.75" customHeight="1">
      <c r="A446" s="3" t="s">
        <v>12</v>
      </c>
      <c r="B446" s="3" t="s">
        <v>14</v>
      </c>
      <c r="C446" s="3" t="s">
        <v>2522</v>
      </c>
      <c r="D446" s="8" t="str">
        <f t="shared" si="1"/>
        <v>Abrir anúncio ↗</v>
      </c>
      <c r="E446" s="9" t="s">
        <v>2523</v>
      </c>
      <c r="F446" s="3" t="s">
        <v>29</v>
      </c>
      <c r="G446" s="9" t="s">
        <v>238</v>
      </c>
      <c r="H446" s="9" t="s">
        <v>2455</v>
      </c>
      <c r="I446" s="3"/>
      <c r="J446" s="3"/>
      <c r="K446" s="9"/>
    </row>
    <row r="447" ht="15.75" customHeight="1">
      <c r="A447" s="10" t="s">
        <v>12</v>
      </c>
      <c r="B447" s="10" t="s">
        <v>14</v>
      </c>
      <c r="C447" s="10" t="s">
        <v>2525</v>
      </c>
      <c r="D447" s="11" t="str">
        <f t="shared" si="1"/>
        <v>Abrir anúncio ↗</v>
      </c>
      <c r="E447" s="12" t="s">
        <v>727</v>
      </c>
      <c r="F447" s="10" t="s">
        <v>29</v>
      </c>
      <c r="G447" s="12" t="s">
        <v>30</v>
      </c>
      <c r="H447" s="12" t="s">
        <v>31</v>
      </c>
      <c r="I447" s="10"/>
      <c r="J447" s="10"/>
      <c r="K447" s="12"/>
    </row>
    <row r="448" ht="15.75" customHeight="1">
      <c r="A448" s="3" t="s">
        <v>12</v>
      </c>
      <c r="B448" s="3" t="s">
        <v>14</v>
      </c>
      <c r="C448" s="3" t="s">
        <v>2532</v>
      </c>
      <c r="D448" s="8" t="str">
        <f t="shared" si="1"/>
        <v>Abrir anúncio ↗</v>
      </c>
      <c r="E448" s="9" t="s">
        <v>2533</v>
      </c>
      <c r="F448" s="3" t="s">
        <v>29</v>
      </c>
      <c r="G448" s="9" t="s">
        <v>30</v>
      </c>
      <c r="H448" s="9" t="s">
        <v>31</v>
      </c>
      <c r="I448" s="3"/>
      <c r="J448" s="3"/>
      <c r="K448" s="9"/>
    </row>
    <row r="449" ht="15.75" customHeight="1">
      <c r="A449" s="10" t="s">
        <v>12</v>
      </c>
      <c r="B449" s="10" t="s">
        <v>14</v>
      </c>
      <c r="C449" s="10" t="s">
        <v>2536</v>
      </c>
      <c r="D449" s="11" t="str">
        <f t="shared" si="1"/>
        <v>Abrir anúncio ↗</v>
      </c>
      <c r="E449" s="12" t="s">
        <v>2539</v>
      </c>
      <c r="F449" s="10" t="s">
        <v>29</v>
      </c>
      <c r="G449" s="12" t="s">
        <v>30</v>
      </c>
      <c r="H449" s="12" t="s">
        <v>31</v>
      </c>
      <c r="I449" s="10"/>
      <c r="J449" s="10"/>
      <c r="K449" s="12"/>
    </row>
    <row r="450" ht="15.75" customHeight="1">
      <c r="A450" s="3" t="s">
        <v>12</v>
      </c>
      <c r="B450" s="3" t="s">
        <v>14</v>
      </c>
      <c r="C450" s="3" t="s">
        <v>2542</v>
      </c>
      <c r="D450" s="8" t="str">
        <f t="shared" si="1"/>
        <v>Abrir anúncio ↗</v>
      </c>
      <c r="E450" s="9" t="s">
        <v>2544</v>
      </c>
      <c r="F450" s="3" t="s">
        <v>29</v>
      </c>
      <c r="G450" s="9" t="s">
        <v>30</v>
      </c>
      <c r="H450" s="9" t="s">
        <v>31</v>
      </c>
      <c r="I450" s="3"/>
      <c r="J450" s="3"/>
      <c r="K450" s="9"/>
    </row>
    <row r="451" ht="15.75" customHeight="1">
      <c r="A451" s="10" t="s">
        <v>12</v>
      </c>
      <c r="B451" s="10" t="s">
        <v>14</v>
      </c>
      <c r="C451" s="10" t="s">
        <v>2546</v>
      </c>
      <c r="D451" s="11" t="str">
        <f t="shared" si="1"/>
        <v>Abrir anúncio ↗</v>
      </c>
      <c r="E451" s="12" t="s">
        <v>2549</v>
      </c>
      <c r="F451" s="10" t="s">
        <v>29</v>
      </c>
      <c r="G451" s="12" t="s">
        <v>192</v>
      </c>
      <c r="H451" s="12" t="s">
        <v>195</v>
      </c>
      <c r="I451" s="10"/>
      <c r="J451" s="10"/>
      <c r="K451" s="12"/>
    </row>
    <row r="452" ht="15.75" customHeight="1">
      <c r="A452" s="3" t="s">
        <v>12</v>
      </c>
      <c r="B452" s="3" t="s">
        <v>14</v>
      </c>
      <c r="C452" s="3" t="s">
        <v>2554</v>
      </c>
      <c r="D452" s="8" t="str">
        <f t="shared" si="1"/>
        <v>Abrir anúncio ↗</v>
      </c>
      <c r="E452" s="9" t="s">
        <v>2555</v>
      </c>
      <c r="F452" s="3" t="s">
        <v>29</v>
      </c>
      <c r="G452" s="9" t="s">
        <v>30</v>
      </c>
      <c r="H452" s="9" t="s">
        <v>31</v>
      </c>
      <c r="I452" s="3"/>
      <c r="J452" s="3"/>
      <c r="K452" s="9"/>
    </row>
    <row r="453" ht="15.75" customHeight="1">
      <c r="A453" s="10" t="s">
        <v>12</v>
      </c>
      <c r="B453" s="10" t="s">
        <v>14</v>
      </c>
      <c r="C453" s="10" t="s">
        <v>2556</v>
      </c>
      <c r="D453" s="11" t="str">
        <f t="shared" si="1"/>
        <v>Abrir anúncio ↗</v>
      </c>
      <c r="E453" s="12" t="s">
        <v>2560</v>
      </c>
      <c r="F453" s="10" t="s">
        <v>29</v>
      </c>
      <c r="G453" s="12" t="s">
        <v>30</v>
      </c>
      <c r="H453" s="12" t="s">
        <v>31</v>
      </c>
      <c r="I453" s="10"/>
      <c r="J453" s="10"/>
      <c r="K453" s="12"/>
    </row>
    <row r="454" ht="15.75" customHeight="1">
      <c r="A454" s="3" t="s">
        <v>12</v>
      </c>
      <c r="B454" s="3" t="s">
        <v>14</v>
      </c>
      <c r="C454" s="3" t="s">
        <v>2564</v>
      </c>
      <c r="D454" s="8" t="str">
        <f t="shared" si="1"/>
        <v>Abrir anúncio ↗</v>
      </c>
      <c r="E454" s="9" t="s">
        <v>2565</v>
      </c>
      <c r="F454" s="3" t="s">
        <v>29</v>
      </c>
      <c r="G454" s="9" t="s">
        <v>30</v>
      </c>
      <c r="H454" s="9" t="s">
        <v>31</v>
      </c>
      <c r="I454" s="3"/>
      <c r="J454" s="3"/>
      <c r="K454" s="9"/>
    </row>
    <row r="455" ht="15.75" customHeight="1">
      <c r="A455" s="10" t="s">
        <v>12</v>
      </c>
      <c r="B455" s="10" t="s">
        <v>14</v>
      </c>
      <c r="C455" s="10" t="s">
        <v>2569</v>
      </c>
      <c r="D455" s="11" t="str">
        <f t="shared" si="1"/>
        <v>Abrir anúncio ↗</v>
      </c>
      <c r="E455" s="12" t="s">
        <v>2571</v>
      </c>
      <c r="F455" s="10" t="s">
        <v>29</v>
      </c>
      <c r="G455" s="12" t="s">
        <v>30</v>
      </c>
      <c r="H455" s="12" t="s">
        <v>31</v>
      </c>
      <c r="I455" s="10"/>
      <c r="J455" s="10"/>
      <c r="K455" s="12"/>
    </row>
    <row r="456" ht="15.75" customHeight="1">
      <c r="A456" s="3" t="s">
        <v>12</v>
      </c>
      <c r="B456" s="3" t="s">
        <v>14</v>
      </c>
      <c r="C456" s="3" t="s">
        <v>2574</v>
      </c>
      <c r="D456" s="8" t="str">
        <f t="shared" si="1"/>
        <v>Abrir anúncio ↗</v>
      </c>
      <c r="E456" s="9" t="s">
        <v>2575</v>
      </c>
      <c r="F456" s="3" t="s">
        <v>29</v>
      </c>
      <c r="G456" s="9" t="s">
        <v>30</v>
      </c>
      <c r="H456" s="9" t="s">
        <v>31</v>
      </c>
      <c r="I456" s="3"/>
      <c r="J456" s="3"/>
      <c r="K456" s="9"/>
    </row>
    <row r="457" ht="15.75" customHeight="1">
      <c r="A457" s="10" t="s">
        <v>12</v>
      </c>
      <c r="B457" s="10" t="s">
        <v>14</v>
      </c>
      <c r="C457" s="10" t="s">
        <v>2578</v>
      </c>
      <c r="D457" s="11" t="str">
        <f t="shared" si="1"/>
        <v>Abrir anúncio ↗</v>
      </c>
      <c r="E457" s="12" t="s">
        <v>2580</v>
      </c>
      <c r="F457" s="10" t="s">
        <v>29</v>
      </c>
      <c r="G457" s="12" t="s">
        <v>30</v>
      </c>
      <c r="H457" s="12" t="s">
        <v>31</v>
      </c>
      <c r="I457" s="10"/>
      <c r="J457" s="10"/>
      <c r="K457" s="12"/>
    </row>
    <row r="458" ht="15.75" customHeight="1">
      <c r="A458" s="3" t="s">
        <v>12</v>
      </c>
      <c r="B458" s="3" t="s">
        <v>14</v>
      </c>
      <c r="C458" s="3" t="s">
        <v>2585</v>
      </c>
      <c r="D458" s="8" t="str">
        <f t="shared" si="1"/>
        <v>Abrir anúncio ↗</v>
      </c>
      <c r="E458" s="9" t="s">
        <v>2586</v>
      </c>
      <c r="F458" s="3" t="s">
        <v>29</v>
      </c>
      <c r="G458" s="9" t="s">
        <v>30</v>
      </c>
      <c r="H458" s="9" t="s">
        <v>31</v>
      </c>
      <c r="I458" s="3"/>
      <c r="J458" s="3"/>
      <c r="K458" s="9"/>
    </row>
    <row r="459" ht="15.75" customHeight="1">
      <c r="A459" s="10" t="s">
        <v>12</v>
      </c>
      <c r="B459" s="10" t="s">
        <v>14</v>
      </c>
      <c r="C459" s="10" t="s">
        <v>2589</v>
      </c>
      <c r="D459" s="11" t="str">
        <f t="shared" si="1"/>
        <v>Abrir anúncio ↗</v>
      </c>
      <c r="E459" s="12" t="s">
        <v>2590</v>
      </c>
      <c r="F459" s="10" t="s">
        <v>29</v>
      </c>
      <c r="G459" s="12" t="s">
        <v>30</v>
      </c>
      <c r="H459" s="12" t="s">
        <v>31</v>
      </c>
      <c r="I459" s="10"/>
      <c r="J459" s="10"/>
      <c r="K459" s="12"/>
    </row>
    <row r="460" ht="15.75" customHeight="1">
      <c r="A460" s="3" t="s">
        <v>12</v>
      </c>
      <c r="B460" s="3" t="s">
        <v>14</v>
      </c>
      <c r="C460" s="3" t="s">
        <v>2597</v>
      </c>
      <c r="D460" s="8" t="str">
        <f t="shared" si="1"/>
        <v>Abrir anúncio ↗</v>
      </c>
      <c r="E460" s="9" t="s">
        <v>2598</v>
      </c>
      <c r="F460" s="3" t="s">
        <v>29</v>
      </c>
      <c r="G460" s="9" t="s">
        <v>30</v>
      </c>
      <c r="H460" s="9" t="s">
        <v>31</v>
      </c>
      <c r="I460" s="3"/>
      <c r="J460" s="3"/>
      <c r="K460" s="9"/>
    </row>
    <row r="461" ht="15.75" customHeight="1">
      <c r="A461" s="10" t="s">
        <v>12</v>
      </c>
      <c r="B461" s="10" t="s">
        <v>14</v>
      </c>
      <c r="C461" s="10" t="s">
        <v>2599</v>
      </c>
      <c r="D461" s="11" t="str">
        <f t="shared" si="1"/>
        <v>Abrir anúncio ↗</v>
      </c>
      <c r="E461" s="12" t="s">
        <v>2602</v>
      </c>
      <c r="F461" s="10" t="s">
        <v>29</v>
      </c>
      <c r="G461" s="12" t="s">
        <v>30</v>
      </c>
      <c r="H461" s="12" t="s">
        <v>31</v>
      </c>
      <c r="I461" s="10"/>
      <c r="J461" s="10"/>
      <c r="K461" s="12"/>
    </row>
    <row r="462" ht="15.75" customHeight="1">
      <c r="A462" s="3" t="s">
        <v>12</v>
      </c>
      <c r="B462" s="3" t="s">
        <v>14</v>
      </c>
      <c r="C462" s="3" t="s">
        <v>2607</v>
      </c>
      <c r="D462" s="8" t="str">
        <f t="shared" si="1"/>
        <v>Abrir anúncio ↗</v>
      </c>
      <c r="E462" s="9" t="s">
        <v>2608</v>
      </c>
      <c r="F462" s="3" t="s">
        <v>29</v>
      </c>
      <c r="G462" s="9" t="s">
        <v>30</v>
      </c>
      <c r="H462" s="9" t="s">
        <v>31</v>
      </c>
      <c r="I462" s="3"/>
      <c r="J462" s="3"/>
      <c r="K462" s="9"/>
    </row>
    <row r="463" ht="15.75" customHeight="1">
      <c r="A463" s="10" t="s">
        <v>12</v>
      </c>
      <c r="B463" s="10" t="s">
        <v>14</v>
      </c>
      <c r="C463" s="10" t="s">
        <v>2612</v>
      </c>
      <c r="D463" s="11" t="str">
        <f t="shared" si="1"/>
        <v>Abrir anúncio ↗</v>
      </c>
      <c r="E463" s="12" t="s">
        <v>2615</v>
      </c>
      <c r="F463" s="10" t="s">
        <v>29</v>
      </c>
      <c r="G463" s="12" t="s">
        <v>30</v>
      </c>
      <c r="H463" s="12" t="s">
        <v>31</v>
      </c>
      <c r="I463" s="10"/>
      <c r="J463" s="10"/>
      <c r="K463" s="12"/>
    </row>
    <row r="464" ht="15.75" customHeight="1">
      <c r="A464" s="3" t="s">
        <v>12</v>
      </c>
      <c r="B464" s="3" t="s">
        <v>14</v>
      </c>
      <c r="C464" s="3" t="s">
        <v>2617</v>
      </c>
      <c r="D464" s="8" t="str">
        <f t="shared" si="1"/>
        <v>Abrir anúncio ↗</v>
      </c>
      <c r="E464" s="9" t="s">
        <v>2618</v>
      </c>
      <c r="F464" s="3" t="s">
        <v>29</v>
      </c>
      <c r="G464" s="9" t="s">
        <v>30</v>
      </c>
      <c r="H464" s="9" t="s">
        <v>31</v>
      </c>
      <c r="I464" s="3"/>
      <c r="J464" s="3"/>
      <c r="K464" s="9"/>
    </row>
    <row r="465" ht="15.75" customHeight="1">
      <c r="A465" s="10" t="s">
        <v>12</v>
      </c>
      <c r="B465" s="10" t="s">
        <v>14</v>
      </c>
      <c r="C465" s="10" t="s">
        <v>2623</v>
      </c>
      <c r="D465" s="11" t="str">
        <f t="shared" si="1"/>
        <v>Abrir anúncio ↗</v>
      </c>
      <c r="E465" s="12" t="s">
        <v>2624</v>
      </c>
      <c r="F465" s="10" t="s">
        <v>29</v>
      </c>
      <c r="G465" s="12" t="s">
        <v>30</v>
      </c>
      <c r="H465" s="12" t="s">
        <v>31</v>
      </c>
      <c r="I465" s="10"/>
      <c r="J465" s="10"/>
      <c r="K465" s="12"/>
    </row>
    <row r="466" ht="15.75" customHeight="1">
      <c r="A466" s="3" t="s">
        <v>12</v>
      </c>
      <c r="B466" s="3" t="s">
        <v>14</v>
      </c>
      <c r="C466" s="3" t="s">
        <v>2627</v>
      </c>
      <c r="D466" s="8" t="str">
        <f t="shared" si="1"/>
        <v>Abrir anúncio ↗</v>
      </c>
      <c r="E466" s="9" t="s">
        <v>2629</v>
      </c>
      <c r="F466" s="3" t="s">
        <v>29</v>
      </c>
      <c r="G466" s="9" t="s">
        <v>30</v>
      </c>
      <c r="H466" s="9" t="s">
        <v>31</v>
      </c>
      <c r="I466" s="3"/>
      <c r="J466" s="3"/>
      <c r="K466" s="9"/>
    </row>
    <row r="467" ht="15.75" customHeight="1">
      <c r="A467" s="10" t="s">
        <v>12</v>
      </c>
      <c r="B467" s="10" t="s">
        <v>14</v>
      </c>
      <c r="C467" s="10" t="s">
        <v>2633</v>
      </c>
      <c r="D467" s="11" t="str">
        <f t="shared" si="1"/>
        <v>Abrir anúncio ↗</v>
      </c>
      <c r="E467" s="12" t="s">
        <v>2634</v>
      </c>
      <c r="F467" s="10" t="s">
        <v>29</v>
      </c>
      <c r="G467" s="12" t="s">
        <v>30</v>
      </c>
      <c r="H467" s="12" t="s">
        <v>31</v>
      </c>
      <c r="I467" s="10"/>
      <c r="J467" s="10"/>
      <c r="K467" s="12"/>
    </row>
    <row r="468" ht="15.75" customHeight="1">
      <c r="A468" s="3" t="s">
        <v>12</v>
      </c>
      <c r="B468" s="3" t="s">
        <v>14</v>
      </c>
      <c r="C468" s="3" t="s">
        <v>2638</v>
      </c>
      <c r="D468" s="8" t="str">
        <f t="shared" si="1"/>
        <v>Abrir anúncio ↗</v>
      </c>
      <c r="E468" s="9" t="s">
        <v>2640</v>
      </c>
      <c r="F468" s="3" t="s">
        <v>29</v>
      </c>
      <c r="G468" s="9" t="s">
        <v>30</v>
      </c>
      <c r="H468" s="9" t="s">
        <v>31</v>
      </c>
      <c r="I468" s="3"/>
      <c r="J468" s="3"/>
      <c r="K468" s="9"/>
    </row>
    <row r="469" ht="15.75" customHeight="1">
      <c r="A469" s="10" t="s">
        <v>12</v>
      </c>
      <c r="B469" s="10" t="s">
        <v>14</v>
      </c>
      <c r="C469" s="10" t="s">
        <v>2642</v>
      </c>
      <c r="D469" s="11" t="str">
        <f t="shared" si="1"/>
        <v>Abrir anúncio ↗</v>
      </c>
      <c r="E469" s="12" t="s">
        <v>2643</v>
      </c>
      <c r="F469" s="10" t="s">
        <v>29</v>
      </c>
      <c r="G469" s="12" t="s">
        <v>30</v>
      </c>
      <c r="H469" s="12" t="s">
        <v>31</v>
      </c>
      <c r="I469" s="10"/>
      <c r="J469" s="10"/>
      <c r="K469" s="12"/>
    </row>
    <row r="470" ht="15.75" customHeight="1">
      <c r="A470" s="3" t="s">
        <v>12</v>
      </c>
      <c r="B470" s="3" t="s">
        <v>14</v>
      </c>
      <c r="C470" s="3" t="s">
        <v>2649</v>
      </c>
      <c r="D470" s="8" t="str">
        <f t="shared" si="1"/>
        <v>Abrir anúncio ↗</v>
      </c>
      <c r="E470" s="9" t="s">
        <v>2650</v>
      </c>
      <c r="F470" s="3" t="s">
        <v>29</v>
      </c>
      <c r="G470" s="9" t="s">
        <v>30</v>
      </c>
      <c r="H470" s="9" t="s">
        <v>31</v>
      </c>
      <c r="I470" s="3"/>
      <c r="J470" s="3"/>
      <c r="K470" s="9"/>
    </row>
    <row r="471" ht="15.75" customHeight="1">
      <c r="A471" s="10" t="s">
        <v>12</v>
      </c>
      <c r="B471" s="10" t="s">
        <v>14</v>
      </c>
      <c r="C471" s="10" t="s">
        <v>2654</v>
      </c>
      <c r="D471" s="11" t="str">
        <f t="shared" si="1"/>
        <v>Abrir anúncio ↗</v>
      </c>
      <c r="E471" s="12" t="s">
        <v>2655</v>
      </c>
      <c r="F471" s="10" t="s">
        <v>29</v>
      </c>
      <c r="G471" s="12" t="s">
        <v>30</v>
      </c>
      <c r="H471" s="12" t="s">
        <v>31</v>
      </c>
      <c r="I471" s="10"/>
      <c r="J471" s="10"/>
      <c r="K471" s="12"/>
    </row>
    <row r="472" ht="15.75" customHeight="1">
      <c r="A472" s="3" t="s">
        <v>12</v>
      </c>
      <c r="B472" s="3" t="s">
        <v>14</v>
      </c>
      <c r="C472" s="3" t="s">
        <v>2659</v>
      </c>
      <c r="D472" s="8" t="str">
        <f t="shared" si="1"/>
        <v>Abrir anúncio ↗</v>
      </c>
      <c r="E472" s="9" t="s">
        <v>2661</v>
      </c>
      <c r="F472" s="3" t="s">
        <v>29</v>
      </c>
      <c r="G472" s="9" t="s">
        <v>30</v>
      </c>
      <c r="H472" s="9" t="s">
        <v>31</v>
      </c>
      <c r="I472" s="3"/>
      <c r="J472" s="3"/>
      <c r="K472" s="9"/>
    </row>
    <row r="473" ht="15.75" customHeight="1">
      <c r="A473" s="10" t="s">
        <v>12</v>
      </c>
      <c r="B473" s="10" t="s">
        <v>14</v>
      </c>
      <c r="C473" s="10" t="s">
        <v>2666</v>
      </c>
      <c r="D473" s="11" t="str">
        <f t="shared" si="1"/>
        <v>Abrir anúncio ↗</v>
      </c>
      <c r="E473" s="12" t="s">
        <v>2667</v>
      </c>
      <c r="F473" s="10" t="s">
        <v>29</v>
      </c>
      <c r="G473" s="12" t="s">
        <v>30</v>
      </c>
      <c r="H473" s="12" t="s">
        <v>31</v>
      </c>
      <c r="I473" s="10"/>
      <c r="J473" s="10"/>
      <c r="K473" s="12"/>
    </row>
    <row r="474" ht="15.75" customHeight="1">
      <c r="A474" s="3" t="s">
        <v>12</v>
      </c>
      <c r="B474" s="3" t="s">
        <v>14</v>
      </c>
      <c r="C474" s="3" t="s">
        <v>2672</v>
      </c>
      <c r="D474" s="8" t="str">
        <f t="shared" si="1"/>
        <v>Abrir anúncio ↗</v>
      </c>
      <c r="E474" s="9" t="s">
        <v>2673</v>
      </c>
      <c r="F474" s="3" t="s">
        <v>29</v>
      </c>
      <c r="G474" s="9" t="s">
        <v>30</v>
      </c>
      <c r="H474" s="9" t="s">
        <v>31</v>
      </c>
      <c r="I474" s="3"/>
      <c r="J474" s="3"/>
      <c r="K474" s="9"/>
    </row>
    <row r="475" ht="15.75" customHeight="1">
      <c r="A475" s="10" t="s">
        <v>12</v>
      </c>
      <c r="B475" s="10" t="s">
        <v>14</v>
      </c>
      <c r="C475" s="10" t="s">
        <v>2676</v>
      </c>
      <c r="D475" s="11" t="str">
        <f t="shared" si="1"/>
        <v>Abrir anúncio ↗</v>
      </c>
      <c r="E475" s="12" t="s">
        <v>1453</v>
      </c>
      <c r="F475" s="10" t="s">
        <v>29</v>
      </c>
      <c r="G475" s="12" t="s">
        <v>744</v>
      </c>
      <c r="H475" s="12" t="s">
        <v>745</v>
      </c>
      <c r="I475" s="10"/>
      <c r="J475" s="10"/>
      <c r="K475" s="12"/>
    </row>
    <row r="476" ht="15.75" customHeight="1">
      <c r="A476" s="3" t="s">
        <v>12</v>
      </c>
      <c r="B476" s="3" t="s">
        <v>14</v>
      </c>
      <c r="C476" s="3" t="s">
        <v>2681</v>
      </c>
      <c r="D476" s="8" t="str">
        <f t="shared" si="1"/>
        <v>Abrir anúncio ↗</v>
      </c>
      <c r="E476" s="9" t="s">
        <v>2683</v>
      </c>
      <c r="F476" s="3" t="s">
        <v>29</v>
      </c>
      <c r="G476" s="9" t="s">
        <v>841</v>
      </c>
      <c r="H476" s="9" t="s">
        <v>842</v>
      </c>
      <c r="I476" s="3"/>
      <c r="J476" s="3"/>
      <c r="K476" s="9"/>
    </row>
    <row r="477" ht="15.75" customHeight="1">
      <c r="A477" s="10" t="s">
        <v>12</v>
      </c>
      <c r="B477" s="10" t="s">
        <v>14</v>
      </c>
      <c r="C477" s="10" t="s">
        <v>2686</v>
      </c>
      <c r="D477" s="11" t="str">
        <f t="shared" si="1"/>
        <v>Abrir anúncio ↗</v>
      </c>
      <c r="E477" s="12" t="s">
        <v>2688</v>
      </c>
      <c r="F477" s="10" t="s">
        <v>29</v>
      </c>
      <c r="G477" s="12" t="s">
        <v>841</v>
      </c>
      <c r="H477" s="12" t="s">
        <v>1567</v>
      </c>
      <c r="I477" s="10"/>
      <c r="J477" s="10"/>
      <c r="K477" s="12"/>
    </row>
    <row r="478" ht="15.75" customHeight="1">
      <c r="A478" s="3" t="s">
        <v>12</v>
      </c>
      <c r="B478" s="3" t="s">
        <v>14</v>
      </c>
      <c r="C478" s="3" t="s">
        <v>2692</v>
      </c>
      <c r="D478" s="8" t="str">
        <f t="shared" si="1"/>
        <v>Abrir anúncio ↗</v>
      </c>
      <c r="E478" s="9" t="s">
        <v>2694</v>
      </c>
      <c r="F478" s="3" t="s">
        <v>29</v>
      </c>
      <c r="G478" s="9" t="s">
        <v>841</v>
      </c>
      <c r="H478" s="9" t="s">
        <v>2695</v>
      </c>
      <c r="I478" s="3"/>
      <c r="J478" s="3"/>
      <c r="K478" s="9"/>
    </row>
    <row r="479" ht="15.75" customHeight="1">
      <c r="A479" s="10" t="s">
        <v>12</v>
      </c>
      <c r="B479" s="10" t="s">
        <v>14</v>
      </c>
      <c r="C479" s="10" t="s">
        <v>2697</v>
      </c>
      <c r="D479" s="11" t="str">
        <f t="shared" si="1"/>
        <v>Abrir anúncio ↗</v>
      </c>
      <c r="E479" s="12" t="s">
        <v>2643</v>
      </c>
      <c r="F479" s="10" t="s">
        <v>29</v>
      </c>
      <c r="G479" s="12" t="s">
        <v>744</v>
      </c>
      <c r="H479" s="12" t="s">
        <v>745</v>
      </c>
      <c r="I479" s="10"/>
      <c r="J479" s="10"/>
      <c r="K479" s="12"/>
    </row>
    <row r="480" ht="15.75" customHeight="1">
      <c r="A480" s="3" t="s">
        <v>12</v>
      </c>
      <c r="B480" s="3" t="s">
        <v>14</v>
      </c>
      <c r="C480" s="3" t="s">
        <v>2703</v>
      </c>
      <c r="D480" s="8" t="str">
        <f t="shared" si="1"/>
        <v>Abrir anúncio ↗</v>
      </c>
      <c r="E480" s="9" t="s">
        <v>1477</v>
      </c>
      <c r="F480" s="3" t="s">
        <v>29</v>
      </c>
      <c r="G480" s="9" t="s">
        <v>744</v>
      </c>
      <c r="H480" s="9" t="s">
        <v>745</v>
      </c>
      <c r="I480" s="3"/>
      <c r="J480" s="3"/>
      <c r="K480" s="9"/>
    </row>
    <row r="481" ht="15.75" customHeight="1">
      <c r="A481" s="10" t="s">
        <v>12</v>
      </c>
      <c r="B481" s="10" t="s">
        <v>14</v>
      </c>
      <c r="C481" s="10" t="s">
        <v>2705</v>
      </c>
      <c r="D481" s="11" t="str">
        <f t="shared" si="1"/>
        <v>Abrir anúncio ↗</v>
      </c>
      <c r="E481" s="12" t="s">
        <v>2707</v>
      </c>
      <c r="F481" s="10" t="s">
        <v>29</v>
      </c>
      <c r="G481" s="12" t="s">
        <v>841</v>
      </c>
      <c r="H481" s="12" t="s">
        <v>1579</v>
      </c>
      <c r="I481" s="10"/>
      <c r="J481" s="10"/>
      <c r="K481" s="12"/>
    </row>
    <row r="482" ht="15.75" customHeight="1">
      <c r="A482" s="3" t="s">
        <v>12</v>
      </c>
      <c r="B482" s="3" t="s">
        <v>14</v>
      </c>
      <c r="C482" s="3" t="s">
        <v>2712</v>
      </c>
      <c r="D482" s="8" t="str">
        <f t="shared" si="1"/>
        <v>Abrir anúncio ↗</v>
      </c>
      <c r="E482" s="9" t="s">
        <v>1448</v>
      </c>
      <c r="F482" s="3" t="s">
        <v>29</v>
      </c>
      <c r="G482" s="9" t="s">
        <v>744</v>
      </c>
      <c r="H482" s="9" t="s">
        <v>745</v>
      </c>
      <c r="I482" s="3"/>
      <c r="J482" s="3"/>
      <c r="K482" s="9"/>
    </row>
    <row r="483" ht="15.75" customHeight="1">
      <c r="A483" s="10" t="s">
        <v>12</v>
      </c>
      <c r="B483" s="10" t="s">
        <v>14</v>
      </c>
      <c r="C483" s="10" t="s">
        <v>2714</v>
      </c>
      <c r="D483" s="11" t="str">
        <f t="shared" si="1"/>
        <v>Abrir anúncio ↗</v>
      </c>
      <c r="E483" s="12" t="s">
        <v>2717</v>
      </c>
      <c r="F483" s="10" t="s">
        <v>29</v>
      </c>
      <c r="G483" s="12" t="s">
        <v>841</v>
      </c>
      <c r="H483" s="12" t="s">
        <v>1579</v>
      </c>
      <c r="I483" s="10"/>
      <c r="J483" s="10"/>
      <c r="K483" s="12"/>
    </row>
    <row r="484" ht="15.75" customHeight="1">
      <c r="A484" s="3" t="s">
        <v>12</v>
      </c>
      <c r="B484" s="3" t="s">
        <v>14</v>
      </c>
      <c r="C484" s="3" t="s">
        <v>2723</v>
      </c>
      <c r="D484" s="8" t="str">
        <f t="shared" si="1"/>
        <v>Abrir anúncio ↗</v>
      </c>
      <c r="E484" s="9" t="s">
        <v>1376</v>
      </c>
      <c r="F484" s="3" t="s">
        <v>29</v>
      </c>
      <c r="G484" s="9" t="s">
        <v>744</v>
      </c>
      <c r="H484" s="9" t="s">
        <v>745</v>
      </c>
      <c r="I484" s="3"/>
      <c r="J484" s="3"/>
      <c r="K484" s="9"/>
    </row>
    <row r="485" ht="15.75" customHeight="1">
      <c r="A485" s="10" t="s">
        <v>12</v>
      </c>
      <c r="B485" s="10" t="s">
        <v>14</v>
      </c>
      <c r="C485" s="10" t="s">
        <v>2726</v>
      </c>
      <c r="D485" s="11" t="str">
        <f t="shared" si="1"/>
        <v>Abrir anúncio ↗</v>
      </c>
      <c r="E485" s="12" t="s">
        <v>2728</v>
      </c>
      <c r="F485" s="10" t="s">
        <v>29</v>
      </c>
      <c r="G485" s="12" t="s">
        <v>841</v>
      </c>
      <c r="H485" s="12" t="s">
        <v>1686</v>
      </c>
      <c r="I485" s="10"/>
      <c r="J485" s="10"/>
      <c r="K485" s="12"/>
    </row>
    <row r="486" ht="15.75" customHeight="1">
      <c r="A486" s="3" t="s">
        <v>12</v>
      </c>
      <c r="B486" s="3" t="s">
        <v>14</v>
      </c>
      <c r="C486" s="3" t="s">
        <v>2733</v>
      </c>
      <c r="D486" s="8" t="str">
        <f t="shared" si="1"/>
        <v>Abrir anúncio ↗</v>
      </c>
      <c r="E486" s="9" t="s">
        <v>2555</v>
      </c>
      <c r="F486" s="3" t="s">
        <v>29</v>
      </c>
      <c r="G486" s="9" t="s">
        <v>744</v>
      </c>
      <c r="H486" s="9" t="s">
        <v>745</v>
      </c>
      <c r="I486" s="3"/>
      <c r="J486" s="3"/>
      <c r="K486" s="9"/>
    </row>
    <row r="487" ht="15.75" customHeight="1">
      <c r="A487" s="10" t="s">
        <v>12</v>
      </c>
      <c r="B487" s="10" t="s">
        <v>14</v>
      </c>
      <c r="C487" s="10" t="s">
        <v>2737</v>
      </c>
      <c r="D487" s="11" t="str">
        <f t="shared" si="1"/>
        <v>Abrir anúncio ↗</v>
      </c>
      <c r="E487" s="12" t="s">
        <v>2739</v>
      </c>
      <c r="F487" s="10" t="s">
        <v>29</v>
      </c>
      <c r="G487" s="12" t="s">
        <v>841</v>
      </c>
      <c r="H487" s="12" t="s">
        <v>842</v>
      </c>
      <c r="I487" s="10"/>
      <c r="J487" s="10"/>
      <c r="K487" s="12"/>
    </row>
    <row r="488" ht="15.75" customHeight="1">
      <c r="A488" s="3" t="s">
        <v>12</v>
      </c>
      <c r="B488" s="3" t="s">
        <v>14</v>
      </c>
      <c r="C488" s="3" t="s">
        <v>2742</v>
      </c>
      <c r="D488" s="8" t="str">
        <f t="shared" si="1"/>
        <v>Abrir anúncio ↗</v>
      </c>
      <c r="E488" s="9" t="s">
        <v>1418</v>
      </c>
      <c r="F488" s="3" t="s">
        <v>29</v>
      </c>
      <c r="G488" s="9" t="s">
        <v>744</v>
      </c>
      <c r="H488" s="9" t="s">
        <v>745</v>
      </c>
      <c r="I488" s="3"/>
      <c r="J488" s="3"/>
      <c r="K488" s="9"/>
    </row>
    <row r="489" ht="15.75" customHeight="1">
      <c r="A489" s="10" t="s">
        <v>12</v>
      </c>
      <c r="B489" s="10" t="s">
        <v>14</v>
      </c>
      <c r="C489" s="10" t="s">
        <v>2746</v>
      </c>
      <c r="D489" s="11" t="str">
        <f t="shared" si="1"/>
        <v>Abrir anúncio ↗</v>
      </c>
      <c r="E489" s="12" t="s">
        <v>2629</v>
      </c>
      <c r="F489" s="10" t="s">
        <v>29</v>
      </c>
      <c r="G489" s="12" t="s">
        <v>744</v>
      </c>
      <c r="H489" s="12" t="s">
        <v>745</v>
      </c>
      <c r="I489" s="10"/>
      <c r="J489" s="10"/>
      <c r="K489" s="12"/>
    </row>
    <row r="490" ht="15.75" customHeight="1">
      <c r="A490" s="3" t="s">
        <v>12</v>
      </c>
      <c r="B490" s="3" t="s">
        <v>14</v>
      </c>
      <c r="C490" s="3" t="s">
        <v>2752</v>
      </c>
      <c r="D490" s="8" t="str">
        <f t="shared" si="1"/>
        <v>Abrir anúncio ↗</v>
      </c>
      <c r="E490" s="9" t="s">
        <v>2753</v>
      </c>
      <c r="F490" s="3" t="s">
        <v>29</v>
      </c>
      <c r="G490" s="9" t="s">
        <v>841</v>
      </c>
      <c r="H490" s="9" t="s">
        <v>1812</v>
      </c>
      <c r="I490" s="3"/>
      <c r="J490" s="3"/>
      <c r="K490" s="9"/>
    </row>
    <row r="491" ht="15.75" customHeight="1">
      <c r="A491" s="10" t="s">
        <v>12</v>
      </c>
      <c r="B491" s="10" t="s">
        <v>14</v>
      </c>
      <c r="C491" s="10" t="s">
        <v>2760</v>
      </c>
      <c r="D491" s="11" t="str">
        <f t="shared" si="1"/>
        <v>Abrir anúncio ↗</v>
      </c>
      <c r="E491" s="12" t="s">
        <v>2761</v>
      </c>
      <c r="F491" s="10" t="s">
        <v>29</v>
      </c>
      <c r="G491" s="12" t="s">
        <v>841</v>
      </c>
      <c r="H491" s="12" t="s">
        <v>1562</v>
      </c>
      <c r="I491" s="10"/>
      <c r="J491" s="10"/>
      <c r="K491" s="12"/>
    </row>
    <row r="492" ht="15.75" customHeight="1">
      <c r="A492" s="3" t="s">
        <v>12</v>
      </c>
      <c r="B492" s="3" t="s">
        <v>14</v>
      </c>
      <c r="C492" s="3" t="s">
        <v>2765</v>
      </c>
      <c r="D492" s="8" t="str">
        <f t="shared" si="1"/>
        <v>Abrir anúncio ↗</v>
      </c>
      <c r="E492" s="9" t="s">
        <v>2769</v>
      </c>
      <c r="F492" s="3" t="s">
        <v>29</v>
      </c>
      <c r="G492" s="9" t="s">
        <v>841</v>
      </c>
      <c r="H492" s="9" t="s">
        <v>2695</v>
      </c>
      <c r="I492" s="3"/>
      <c r="J492" s="3"/>
      <c r="K492" s="9"/>
    </row>
    <row r="493" ht="15.75" customHeight="1">
      <c r="A493" s="10" t="s">
        <v>12</v>
      </c>
      <c r="B493" s="10" t="s">
        <v>14</v>
      </c>
      <c r="C493" s="10" t="s">
        <v>2771</v>
      </c>
      <c r="D493" s="11" t="str">
        <f t="shared" si="1"/>
        <v>Abrir anúncio ↗</v>
      </c>
      <c r="E493" s="12" t="s">
        <v>1430</v>
      </c>
      <c r="F493" s="10" t="s">
        <v>29</v>
      </c>
      <c r="G493" s="12" t="s">
        <v>744</v>
      </c>
      <c r="H493" s="12" t="s">
        <v>745</v>
      </c>
      <c r="I493" s="10"/>
      <c r="J493" s="10"/>
      <c r="K493" s="12"/>
    </row>
    <row r="494" ht="15.75" customHeight="1">
      <c r="A494" s="3" t="s">
        <v>12</v>
      </c>
      <c r="B494" s="3" t="s">
        <v>14</v>
      </c>
      <c r="C494" s="3" t="s">
        <v>2778</v>
      </c>
      <c r="D494" s="8" t="str">
        <f t="shared" si="1"/>
        <v>Abrir anúncio ↗</v>
      </c>
      <c r="E494" s="9" t="s">
        <v>2779</v>
      </c>
      <c r="F494" s="3" t="s">
        <v>29</v>
      </c>
      <c r="G494" s="9" t="s">
        <v>238</v>
      </c>
      <c r="H494" s="9" t="s">
        <v>1787</v>
      </c>
      <c r="I494" s="3"/>
      <c r="J494" s="3"/>
      <c r="K494" s="9"/>
    </row>
    <row r="495" ht="15.75" customHeight="1">
      <c r="A495" s="10" t="s">
        <v>12</v>
      </c>
      <c r="B495" s="10" t="s">
        <v>14</v>
      </c>
      <c r="C495" s="10" t="s">
        <v>2783</v>
      </c>
      <c r="D495" s="11" t="str">
        <f t="shared" si="1"/>
        <v>Abrir anúncio ↗</v>
      </c>
      <c r="E495" s="12" t="s">
        <v>2786</v>
      </c>
      <c r="F495" s="10" t="s">
        <v>29</v>
      </c>
      <c r="G495" s="12" t="s">
        <v>30</v>
      </c>
      <c r="H495" s="12" t="s">
        <v>31</v>
      </c>
      <c r="I495" s="10"/>
      <c r="J495" s="10"/>
      <c r="K495" s="12"/>
    </row>
    <row r="496" ht="15.75" customHeight="1">
      <c r="A496" s="3" t="s">
        <v>12</v>
      </c>
      <c r="B496" s="3" t="s">
        <v>14</v>
      </c>
      <c r="C496" s="3" t="s">
        <v>2790</v>
      </c>
      <c r="D496" s="8" t="str">
        <f t="shared" si="1"/>
        <v>Abrir anúncio ↗</v>
      </c>
      <c r="E496" s="9" t="s">
        <v>2791</v>
      </c>
      <c r="F496" s="3" t="s">
        <v>29</v>
      </c>
      <c r="G496" s="9" t="s">
        <v>30</v>
      </c>
      <c r="H496" s="9" t="s">
        <v>31</v>
      </c>
      <c r="I496" s="3"/>
      <c r="J496" s="3"/>
      <c r="K496" s="9"/>
    </row>
    <row r="497" ht="15.75" customHeight="1">
      <c r="A497" s="10" t="s">
        <v>12</v>
      </c>
      <c r="B497" s="10" t="s">
        <v>14</v>
      </c>
      <c r="C497" s="10" t="s">
        <v>2796</v>
      </c>
      <c r="D497" s="11" t="str">
        <f t="shared" si="1"/>
        <v>Abrir anúncio ↗</v>
      </c>
      <c r="E497" s="12" t="s">
        <v>2798</v>
      </c>
      <c r="F497" s="10" t="s">
        <v>86</v>
      </c>
      <c r="G497" s="12" t="s">
        <v>841</v>
      </c>
      <c r="H497" s="12" t="s">
        <v>1812</v>
      </c>
      <c r="I497" s="10"/>
      <c r="J497" s="10"/>
      <c r="K497" s="12"/>
    </row>
    <row r="498" ht="15.75" customHeight="1">
      <c r="A498" s="3" t="s">
        <v>12</v>
      </c>
      <c r="B498" s="3" t="s">
        <v>14</v>
      </c>
      <c r="C498" s="3" t="s">
        <v>2801</v>
      </c>
      <c r="D498" s="8" t="str">
        <f t="shared" si="1"/>
        <v>Abrir anúncio ↗</v>
      </c>
      <c r="E498" s="9" t="s">
        <v>2804</v>
      </c>
      <c r="F498" s="3" t="s">
        <v>29</v>
      </c>
      <c r="G498" s="9" t="s">
        <v>238</v>
      </c>
      <c r="H498" s="9" t="s">
        <v>2808</v>
      </c>
      <c r="I498" s="3"/>
      <c r="J498" s="3"/>
      <c r="K498" s="9"/>
    </row>
    <row r="499" ht="15.75" customHeight="1">
      <c r="A499" s="10" t="s">
        <v>12</v>
      </c>
      <c r="B499" s="10" t="s">
        <v>14</v>
      </c>
      <c r="C499" s="10" t="s">
        <v>2810</v>
      </c>
      <c r="D499" s="11" t="str">
        <f t="shared" si="1"/>
        <v>Abrir anúncio ↗</v>
      </c>
      <c r="E499" s="12" t="s">
        <v>2634</v>
      </c>
      <c r="F499" s="10" t="s">
        <v>29</v>
      </c>
      <c r="G499" s="12" t="s">
        <v>30</v>
      </c>
      <c r="H499" s="12" t="s">
        <v>31</v>
      </c>
      <c r="I499" s="10"/>
      <c r="J499" s="10"/>
      <c r="K499" s="12"/>
    </row>
    <row r="500" ht="15.75" customHeight="1">
      <c r="A500" s="3" t="s">
        <v>12</v>
      </c>
      <c r="B500" s="3" t="s">
        <v>14</v>
      </c>
      <c r="C500" s="3" t="s">
        <v>2816</v>
      </c>
      <c r="D500" s="8" t="str">
        <f t="shared" si="1"/>
        <v>Abrir anúncio ↗</v>
      </c>
      <c r="E500" s="9" t="s">
        <v>2602</v>
      </c>
      <c r="F500" s="3" t="s">
        <v>29</v>
      </c>
      <c r="G500" s="9" t="s">
        <v>30</v>
      </c>
      <c r="H500" s="9" t="s">
        <v>31</v>
      </c>
      <c r="I500" s="3"/>
      <c r="J500" s="3"/>
      <c r="K500" s="9"/>
    </row>
    <row r="501" ht="15.75" customHeight="1">
      <c r="A501" s="10" t="s">
        <v>12</v>
      </c>
      <c r="B501" s="10" t="s">
        <v>14</v>
      </c>
      <c r="C501" s="10" t="s">
        <v>2820</v>
      </c>
      <c r="D501" s="11" t="str">
        <f t="shared" si="1"/>
        <v>Abrir anúncio ↗</v>
      </c>
      <c r="E501" s="12" t="s">
        <v>1544</v>
      </c>
      <c r="F501" s="10" t="s">
        <v>29</v>
      </c>
      <c r="G501" s="12" t="s">
        <v>30</v>
      </c>
      <c r="H501" s="12" t="s">
        <v>31</v>
      </c>
      <c r="I501" s="10"/>
      <c r="J501" s="10"/>
      <c r="K501" s="12"/>
    </row>
    <row r="502" ht="15.75" customHeight="1">
      <c r="A502" s="3" t="s">
        <v>12</v>
      </c>
      <c r="B502" s="3" t="s">
        <v>14</v>
      </c>
      <c r="C502" s="3" t="s">
        <v>2827</v>
      </c>
      <c r="D502" s="8" t="str">
        <f t="shared" si="1"/>
        <v>Abrir anúncio ↗</v>
      </c>
      <c r="E502" s="9" t="s">
        <v>2830</v>
      </c>
      <c r="F502" s="3" t="s">
        <v>29</v>
      </c>
      <c r="G502" s="9" t="s">
        <v>841</v>
      </c>
      <c r="H502" s="9" t="s">
        <v>1869</v>
      </c>
      <c r="I502" s="3"/>
      <c r="J502" s="3"/>
      <c r="K502" s="9"/>
    </row>
    <row r="503" ht="15.75" customHeight="1">
      <c r="A503" s="10" t="s">
        <v>12</v>
      </c>
      <c r="B503" s="10" t="s">
        <v>14</v>
      </c>
      <c r="C503" s="10" t="s">
        <v>2834</v>
      </c>
      <c r="D503" s="11" t="str">
        <f t="shared" si="1"/>
        <v>Abrir anúncio ↗</v>
      </c>
      <c r="E503" s="12" t="s">
        <v>2835</v>
      </c>
      <c r="F503" s="10" t="s">
        <v>29</v>
      </c>
      <c r="G503" s="12" t="s">
        <v>841</v>
      </c>
      <c r="H503" s="12" t="s">
        <v>2838</v>
      </c>
      <c r="I503" s="10"/>
      <c r="J503" s="10"/>
      <c r="K503" s="12"/>
    </row>
    <row r="504" ht="15.75" customHeight="1">
      <c r="A504" s="3" t="s">
        <v>12</v>
      </c>
      <c r="B504" s="3" t="s">
        <v>14</v>
      </c>
      <c r="C504" s="3" t="s">
        <v>2843</v>
      </c>
      <c r="D504" s="8" t="str">
        <f t="shared" si="1"/>
        <v>Abrir anúncio ↗</v>
      </c>
      <c r="E504" s="9" t="s">
        <v>2844</v>
      </c>
      <c r="F504" s="3" t="s">
        <v>29</v>
      </c>
      <c r="G504" s="9" t="s">
        <v>30</v>
      </c>
      <c r="H504" s="9" t="s">
        <v>31</v>
      </c>
      <c r="I504" s="3"/>
      <c r="J504" s="3"/>
      <c r="K504" s="9"/>
    </row>
    <row r="505" ht="15.75" customHeight="1">
      <c r="A505" s="10" t="s">
        <v>12</v>
      </c>
      <c r="B505" s="10" t="s">
        <v>14</v>
      </c>
      <c r="C505" s="10" t="s">
        <v>2849</v>
      </c>
      <c r="D505" s="11" t="str">
        <f t="shared" si="1"/>
        <v>Abrir anúncio ↗</v>
      </c>
      <c r="E505" s="12" t="s">
        <v>2851</v>
      </c>
      <c r="F505" s="10" t="s">
        <v>29</v>
      </c>
      <c r="G505" s="12" t="s">
        <v>30</v>
      </c>
      <c r="H505" s="12" t="s">
        <v>31</v>
      </c>
      <c r="I505" s="10"/>
      <c r="J505" s="10"/>
      <c r="K505" s="12"/>
    </row>
    <row r="506" ht="15.75" customHeight="1">
      <c r="A506" s="3" t="s">
        <v>12</v>
      </c>
      <c r="B506" s="3" t="s">
        <v>14</v>
      </c>
      <c r="C506" s="3" t="s">
        <v>2853</v>
      </c>
      <c r="D506" s="8" t="str">
        <f t="shared" si="1"/>
        <v>Abrir anúncio ↗</v>
      </c>
      <c r="E506" s="9" t="s">
        <v>2855</v>
      </c>
      <c r="F506" s="3" t="s">
        <v>29</v>
      </c>
      <c r="G506" s="9" t="s">
        <v>30</v>
      </c>
      <c r="H506" s="9" t="s">
        <v>31</v>
      </c>
      <c r="I506" s="3"/>
      <c r="J506" s="3"/>
      <c r="K506" s="9"/>
    </row>
    <row r="507" ht="15.75" customHeight="1">
      <c r="A507" s="10" t="s">
        <v>12</v>
      </c>
      <c r="B507" s="10" t="s">
        <v>14</v>
      </c>
      <c r="C507" s="10" t="s">
        <v>2861</v>
      </c>
      <c r="D507" s="11" t="str">
        <f t="shared" si="1"/>
        <v>Abrir anúncio ↗</v>
      </c>
      <c r="E507" s="12" t="s">
        <v>294</v>
      </c>
      <c r="F507" s="10" t="s">
        <v>29</v>
      </c>
      <c r="G507" s="12" t="s">
        <v>109</v>
      </c>
      <c r="H507" s="12" t="s">
        <v>110</v>
      </c>
      <c r="I507" s="10"/>
      <c r="J507" s="10"/>
      <c r="K507" s="12"/>
    </row>
    <row r="508" ht="15.75" customHeight="1">
      <c r="A508" s="3" t="s">
        <v>12</v>
      </c>
      <c r="B508" s="3" t="s">
        <v>14</v>
      </c>
      <c r="C508" s="3" t="s">
        <v>2865</v>
      </c>
      <c r="D508" s="8" t="str">
        <f t="shared" si="1"/>
        <v>Abrir anúncio ↗</v>
      </c>
      <c r="E508" s="9" t="s">
        <v>565</v>
      </c>
      <c r="F508" s="3" t="s">
        <v>29</v>
      </c>
      <c r="G508" s="9" t="s">
        <v>744</v>
      </c>
      <c r="H508" s="9" t="s">
        <v>745</v>
      </c>
      <c r="I508" s="3"/>
      <c r="J508" s="3"/>
      <c r="K508" s="9"/>
    </row>
    <row r="509" ht="15.75" customHeight="1">
      <c r="A509" s="10" t="s">
        <v>12</v>
      </c>
      <c r="B509" s="10" t="s">
        <v>14</v>
      </c>
      <c r="C509" s="10" t="s">
        <v>2870</v>
      </c>
      <c r="D509" s="11" t="str">
        <f t="shared" si="1"/>
        <v>Abrir anúncio ↗</v>
      </c>
      <c r="E509" s="12" t="s">
        <v>2873</v>
      </c>
      <c r="F509" s="10" t="s">
        <v>29</v>
      </c>
      <c r="G509" s="12" t="s">
        <v>238</v>
      </c>
      <c r="H509" s="12" t="s">
        <v>1787</v>
      </c>
      <c r="I509" s="10"/>
      <c r="J509" s="10"/>
      <c r="K509" s="12"/>
    </row>
    <row r="510" ht="15.75" customHeight="1">
      <c r="A510" s="3" t="s">
        <v>12</v>
      </c>
      <c r="B510" s="3" t="s">
        <v>14</v>
      </c>
      <c r="C510" s="3" t="s">
        <v>2877</v>
      </c>
      <c r="D510" s="8" t="str">
        <f t="shared" si="1"/>
        <v>Abrir anúncio ↗</v>
      </c>
      <c r="E510" s="9" t="s">
        <v>2879</v>
      </c>
      <c r="F510" s="3" t="s">
        <v>29</v>
      </c>
      <c r="G510" s="9" t="s">
        <v>841</v>
      </c>
      <c r="H510" s="9" t="s">
        <v>1938</v>
      </c>
      <c r="I510" s="3"/>
      <c r="J510" s="3"/>
      <c r="K510" s="9"/>
    </row>
    <row r="511" ht="15.75" customHeight="1">
      <c r="A511" s="10" t="s">
        <v>12</v>
      </c>
      <c r="B511" s="10" t="s">
        <v>14</v>
      </c>
      <c r="C511" s="10" t="s">
        <v>2884</v>
      </c>
      <c r="D511" s="11" t="str">
        <f t="shared" si="1"/>
        <v>Abrir anúncio ↗</v>
      </c>
      <c r="E511" s="12" t="s">
        <v>2886</v>
      </c>
      <c r="F511" s="10" t="s">
        <v>29</v>
      </c>
      <c r="G511" s="12" t="s">
        <v>238</v>
      </c>
      <c r="H511" s="12" t="s">
        <v>2888</v>
      </c>
      <c r="I511" s="10"/>
      <c r="J511" s="10"/>
      <c r="K511" s="12"/>
    </row>
    <row r="512" ht="15.75" customHeight="1">
      <c r="A512" s="3" t="s">
        <v>12</v>
      </c>
      <c r="B512" s="3" t="s">
        <v>14</v>
      </c>
      <c r="C512" s="3" t="s">
        <v>2892</v>
      </c>
      <c r="D512" s="8" t="str">
        <f t="shared" si="1"/>
        <v>Abrir anúncio ↗</v>
      </c>
      <c r="E512" s="9" t="s">
        <v>2893</v>
      </c>
      <c r="F512" s="3" t="s">
        <v>29</v>
      </c>
      <c r="G512" s="9" t="s">
        <v>841</v>
      </c>
      <c r="H512" s="9" t="s">
        <v>1812</v>
      </c>
      <c r="I512" s="3"/>
      <c r="J512" s="3"/>
      <c r="K512" s="9"/>
    </row>
    <row r="513" ht="15.75" customHeight="1">
      <c r="A513" s="10" t="s">
        <v>12</v>
      </c>
      <c r="B513" s="10" t="s">
        <v>14</v>
      </c>
      <c r="C513" s="10" t="s">
        <v>2899</v>
      </c>
      <c r="D513" s="11" t="str">
        <f t="shared" si="1"/>
        <v>Abrir anúncio ↗</v>
      </c>
      <c r="E513" s="12" t="s">
        <v>1507</v>
      </c>
      <c r="F513" s="10" t="s">
        <v>29</v>
      </c>
      <c r="G513" s="12" t="s">
        <v>744</v>
      </c>
      <c r="H513" s="12" t="s">
        <v>745</v>
      </c>
      <c r="I513" s="10"/>
      <c r="J513" s="10"/>
      <c r="K513" s="12"/>
    </row>
    <row r="514" ht="15.75" customHeight="1">
      <c r="A514" s="3" t="s">
        <v>12</v>
      </c>
      <c r="B514" s="3" t="s">
        <v>14</v>
      </c>
      <c r="C514" s="3" t="s">
        <v>2902</v>
      </c>
      <c r="D514" s="8" t="str">
        <f t="shared" si="1"/>
        <v>Abrir anúncio ↗</v>
      </c>
      <c r="E514" s="9" t="s">
        <v>1825</v>
      </c>
      <c r="F514" s="3" t="s">
        <v>29</v>
      </c>
      <c r="G514" s="9" t="s">
        <v>744</v>
      </c>
      <c r="H514" s="9" t="s">
        <v>745</v>
      </c>
      <c r="I514" s="3"/>
      <c r="J514" s="3"/>
      <c r="K514" s="9"/>
    </row>
    <row r="515" ht="15.75" customHeight="1">
      <c r="A515" s="10" t="s">
        <v>12</v>
      </c>
      <c r="B515" s="10" t="s">
        <v>14</v>
      </c>
      <c r="C515" s="10" t="s">
        <v>2908</v>
      </c>
      <c r="D515" s="11" t="str">
        <f t="shared" si="1"/>
        <v>Abrir anúncio ↗</v>
      </c>
      <c r="E515" s="12" t="s">
        <v>1618</v>
      </c>
      <c r="F515" s="10" t="s">
        <v>29</v>
      </c>
      <c r="G515" s="12" t="s">
        <v>744</v>
      </c>
      <c r="H515" s="12" t="s">
        <v>745</v>
      </c>
      <c r="I515" s="10"/>
      <c r="J515" s="10"/>
      <c r="K515" s="12"/>
    </row>
    <row r="516" ht="15.75" customHeight="1">
      <c r="A516" s="3" t="s">
        <v>12</v>
      </c>
      <c r="B516" s="3" t="s">
        <v>14</v>
      </c>
      <c r="C516" s="3" t="s">
        <v>2915</v>
      </c>
      <c r="D516" s="8" t="str">
        <f t="shared" si="1"/>
        <v>Abrir anúncio ↗</v>
      </c>
      <c r="E516" s="9" t="s">
        <v>2916</v>
      </c>
      <c r="F516" s="3" t="s">
        <v>29</v>
      </c>
      <c r="G516" s="9" t="s">
        <v>744</v>
      </c>
      <c r="H516" s="9" t="s">
        <v>745</v>
      </c>
      <c r="I516" s="3"/>
      <c r="J516" s="3"/>
      <c r="K516" s="9"/>
    </row>
    <row r="517" ht="15.75" customHeight="1">
      <c r="A517" s="10" t="s">
        <v>12</v>
      </c>
      <c r="B517" s="10" t="s">
        <v>14</v>
      </c>
      <c r="C517" s="10" t="s">
        <v>2919</v>
      </c>
      <c r="D517" s="11" t="str">
        <f t="shared" si="1"/>
        <v>Abrir anúncio ↗</v>
      </c>
      <c r="E517" s="12" t="s">
        <v>2921</v>
      </c>
      <c r="F517" s="10" t="s">
        <v>29</v>
      </c>
      <c r="G517" s="12" t="s">
        <v>841</v>
      </c>
      <c r="H517" s="12" t="s">
        <v>2924</v>
      </c>
      <c r="I517" s="10"/>
      <c r="J517" s="10"/>
      <c r="K517" s="12"/>
    </row>
    <row r="518" ht="15.75" customHeight="1">
      <c r="A518" s="3" t="s">
        <v>12</v>
      </c>
      <c r="B518" s="3" t="s">
        <v>14</v>
      </c>
      <c r="C518" s="3" t="s">
        <v>2926</v>
      </c>
      <c r="D518" s="8" t="str">
        <f t="shared" si="1"/>
        <v>Abrir anúncio ↗</v>
      </c>
      <c r="E518" s="9" t="s">
        <v>1607</v>
      </c>
      <c r="F518" s="3" t="s">
        <v>29</v>
      </c>
      <c r="G518" s="9" t="s">
        <v>744</v>
      </c>
      <c r="H518" s="9" t="s">
        <v>745</v>
      </c>
      <c r="I518" s="3"/>
      <c r="J518" s="3"/>
      <c r="K518" s="9"/>
    </row>
    <row r="519" ht="15.75" customHeight="1">
      <c r="A519" s="10" t="s">
        <v>12</v>
      </c>
      <c r="B519" s="10" t="s">
        <v>14</v>
      </c>
      <c r="C519" s="10" t="s">
        <v>2932</v>
      </c>
      <c r="D519" s="11" t="str">
        <f t="shared" si="1"/>
        <v>Abrir anúncio ↗</v>
      </c>
      <c r="E519" s="12" t="s">
        <v>2667</v>
      </c>
      <c r="F519" s="10" t="s">
        <v>29</v>
      </c>
      <c r="G519" s="12" t="s">
        <v>744</v>
      </c>
      <c r="H519" s="12" t="s">
        <v>745</v>
      </c>
      <c r="I519" s="10"/>
      <c r="J519" s="10"/>
      <c r="K519" s="12"/>
    </row>
    <row r="520" ht="15.75" customHeight="1">
      <c r="A520" s="3" t="s">
        <v>12</v>
      </c>
      <c r="B520" s="3" t="s">
        <v>14</v>
      </c>
      <c r="C520" s="3" t="s">
        <v>2936</v>
      </c>
      <c r="D520" s="8" t="str">
        <f t="shared" si="1"/>
        <v>Abrir anúncio ↗</v>
      </c>
      <c r="E520" s="9" t="s">
        <v>2544</v>
      </c>
      <c r="F520" s="3" t="s">
        <v>29</v>
      </c>
      <c r="G520" s="9" t="s">
        <v>744</v>
      </c>
      <c r="H520" s="9" t="s">
        <v>745</v>
      </c>
      <c r="I520" s="3"/>
      <c r="J520" s="3"/>
      <c r="K520" s="9"/>
    </row>
    <row r="521" ht="15.75" customHeight="1">
      <c r="A521" s="10" t="s">
        <v>12</v>
      </c>
      <c r="B521" s="10" t="s">
        <v>14</v>
      </c>
      <c r="C521" s="10" t="s">
        <v>2941</v>
      </c>
      <c r="D521" s="11" t="str">
        <f t="shared" si="1"/>
        <v>Abrir anúncio ↗</v>
      </c>
      <c r="E521" s="12" t="s">
        <v>2943</v>
      </c>
      <c r="F521" s="10" t="s">
        <v>29</v>
      </c>
      <c r="G521" s="12" t="s">
        <v>841</v>
      </c>
      <c r="H521" s="12" t="s">
        <v>1567</v>
      </c>
      <c r="I521" s="10"/>
      <c r="J521" s="10"/>
      <c r="K521" s="12"/>
    </row>
    <row r="522" ht="15.75" customHeight="1">
      <c r="A522" s="3" t="s">
        <v>12</v>
      </c>
      <c r="B522" s="3" t="s">
        <v>14</v>
      </c>
      <c r="C522" s="3" t="s">
        <v>2946</v>
      </c>
      <c r="D522" s="8" t="str">
        <f t="shared" si="1"/>
        <v>Abrir anúncio ↗</v>
      </c>
      <c r="E522" s="9" t="s">
        <v>2949</v>
      </c>
      <c r="F522" s="3" t="s">
        <v>29</v>
      </c>
      <c r="G522" s="9" t="s">
        <v>841</v>
      </c>
      <c r="H522" s="9" t="s">
        <v>1246</v>
      </c>
      <c r="I522" s="3"/>
      <c r="J522" s="3"/>
      <c r="K522" s="9"/>
    </row>
    <row r="523" ht="15.75" customHeight="1">
      <c r="A523" s="10" t="s">
        <v>12</v>
      </c>
      <c r="B523" s="10" t="s">
        <v>14</v>
      </c>
      <c r="C523" s="10" t="s">
        <v>2953</v>
      </c>
      <c r="D523" s="11" t="str">
        <f t="shared" si="1"/>
        <v>Abrir anúncio ↗</v>
      </c>
      <c r="E523" s="12" t="s">
        <v>1540</v>
      </c>
      <c r="F523" s="10" t="s">
        <v>29</v>
      </c>
      <c r="G523" s="12" t="s">
        <v>744</v>
      </c>
      <c r="H523" s="12" t="s">
        <v>745</v>
      </c>
      <c r="I523" s="10"/>
      <c r="J523" s="10"/>
      <c r="K523" s="12"/>
    </row>
    <row r="524" ht="15.75" customHeight="1">
      <c r="A524" s="3" t="s">
        <v>12</v>
      </c>
      <c r="B524" s="3" t="s">
        <v>14</v>
      </c>
      <c r="C524" s="3" t="s">
        <v>2958</v>
      </c>
      <c r="D524" s="8" t="str">
        <f t="shared" si="1"/>
        <v>Abrir anúncio ↗</v>
      </c>
      <c r="E524" s="9" t="s">
        <v>2560</v>
      </c>
      <c r="F524" s="3" t="s">
        <v>29</v>
      </c>
      <c r="G524" s="9" t="s">
        <v>744</v>
      </c>
      <c r="H524" s="9" t="s">
        <v>745</v>
      </c>
      <c r="I524" s="3"/>
      <c r="J524" s="3"/>
      <c r="K524" s="9"/>
    </row>
    <row r="525" ht="15.75" customHeight="1">
      <c r="A525" s="10" t="s">
        <v>12</v>
      </c>
      <c r="B525" s="10" t="s">
        <v>14</v>
      </c>
      <c r="C525" s="10" t="s">
        <v>2963</v>
      </c>
      <c r="D525" s="11" t="str">
        <f t="shared" si="1"/>
        <v>Abrir anúncio ↗</v>
      </c>
      <c r="E525" s="12" t="s">
        <v>2964</v>
      </c>
      <c r="F525" s="10" t="s">
        <v>29</v>
      </c>
      <c r="G525" s="12" t="s">
        <v>841</v>
      </c>
      <c r="H525" s="12" t="s">
        <v>1856</v>
      </c>
      <c r="I525" s="10"/>
      <c r="J525" s="10"/>
      <c r="K525" s="12"/>
    </row>
    <row r="526" ht="15.75" customHeight="1">
      <c r="A526" s="3" t="s">
        <v>12</v>
      </c>
      <c r="B526" s="3" t="s">
        <v>14</v>
      </c>
      <c r="C526" s="3" t="s">
        <v>2968</v>
      </c>
      <c r="D526" s="8" t="str">
        <f t="shared" si="1"/>
        <v>Abrir anúncio ↗</v>
      </c>
      <c r="E526" s="9" t="s">
        <v>1442</v>
      </c>
      <c r="F526" s="3" t="s">
        <v>29</v>
      </c>
      <c r="G526" s="9" t="s">
        <v>744</v>
      </c>
      <c r="H526" s="9" t="s">
        <v>745</v>
      </c>
      <c r="I526" s="3"/>
      <c r="J526" s="3"/>
      <c r="K526" s="9"/>
    </row>
    <row r="527" ht="15.75" customHeight="1">
      <c r="A527" s="10" t="s">
        <v>12</v>
      </c>
      <c r="B527" s="10" t="s">
        <v>14</v>
      </c>
      <c r="C527" s="10" t="s">
        <v>2972</v>
      </c>
      <c r="D527" s="11" t="str">
        <f t="shared" si="1"/>
        <v>Abrir anúncio ↗</v>
      </c>
      <c r="E527" s="12" t="s">
        <v>2973</v>
      </c>
      <c r="F527" s="10" t="s">
        <v>29</v>
      </c>
      <c r="G527" s="12" t="s">
        <v>841</v>
      </c>
      <c r="H527" s="12" t="s">
        <v>2975</v>
      </c>
      <c r="I527" s="10"/>
      <c r="J527" s="10"/>
      <c r="K527" s="12"/>
    </row>
    <row r="528" ht="15.75" customHeight="1">
      <c r="A528" s="3" t="s">
        <v>12</v>
      </c>
      <c r="B528" s="3" t="s">
        <v>14</v>
      </c>
      <c r="C528" s="3" t="s">
        <v>2979</v>
      </c>
      <c r="D528" s="8" t="str">
        <f t="shared" si="1"/>
        <v>Abrir anúncio ↗</v>
      </c>
      <c r="E528" s="9" t="s">
        <v>2981</v>
      </c>
      <c r="F528" s="3" t="s">
        <v>29</v>
      </c>
      <c r="G528" s="9" t="s">
        <v>841</v>
      </c>
      <c r="H528" s="9" t="s">
        <v>1567</v>
      </c>
      <c r="I528" s="3"/>
      <c r="J528" s="3"/>
      <c r="K528" s="9"/>
    </row>
    <row r="529" ht="15.75" customHeight="1">
      <c r="A529" s="10" t="s">
        <v>12</v>
      </c>
      <c r="B529" s="10" t="s">
        <v>14</v>
      </c>
      <c r="C529" s="10" t="s">
        <v>2984</v>
      </c>
      <c r="D529" s="11" t="str">
        <f t="shared" si="1"/>
        <v>Abrir anúncio ↗</v>
      </c>
      <c r="E529" s="12" t="s">
        <v>2986</v>
      </c>
      <c r="F529" s="10" t="s">
        <v>29</v>
      </c>
      <c r="G529" s="12" t="s">
        <v>841</v>
      </c>
      <c r="H529" s="12" t="s">
        <v>2987</v>
      </c>
      <c r="I529" s="10"/>
      <c r="J529" s="10"/>
      <c r="K529" s="12"/>
    </row>
    <row r="530" ht="15.75" customHeight="1">
      <c r="A530" s="3" t="s">
        <v>12</v>
      </c>
      <c r="B530" s="3" t="s">
        <v>14</v>
      </c>
      <c r="C530" s="3" t="s">
        <v>2992</v>
      </c>
      <c r="D530" s="8" t="str">
        <f t="shared" si="1"/>
        <v>Abrir anúncio ↗</v>
      </c>
      <c r="E530" s="9" t="s">
        <v>2661</v>
      </c>
      <c r="F530" s="3" t="s">
        <v>29</v>
      </c>
      <c r="G530" s="9" t="s">
        <v>744</v>
      </c>
      <c r="H530" s="9" t="s">
        <v>745</v>
      </c>
      <c r="I530" s="3"/>
      <c r="J530" s="3"/>
      <c r="K530" s="9"/>
    </row>
    <row r="531" ht="15.75" customHeight="1">
      <c r="A531" s="10" t="s">
        <v>12</v>
      </c>
      <c r="B531" s="10" t="s">
        <v>14</v>
      </c>
      <c r="C531" s="10" t="s">
        <v>2995</v>
      </c>
      <c r="D531" s="11" t="str">
        <f t="shared" si="1"/>
        <v>Abrir anúncio ↗</v>
      </c>
      <c r="E531" s="12" t="s">
        <v>2996</v>
      </c>
      <c r="F531" s="10" t="s">
        <v>29</v>
      </c>
      <c r="G531" s="12" t="s">
        <v>841</v>
      </c>
      <c r="H531" s="12" t="s">
        <v>2999</v>
      </c>
      <c r="I531" s="10"/>
      <c r="J531" s="10"/>
      <c r="K531" s="12"/>
    </row>
    <row r="532" ht="15.75" customHeight="1">
      <c r="A532" s="3" t="s">
        <v>12</v>
      </c>
      <c r="B532" s="3" t="s">
        <v>14</v>
      </c>
      <c r="C532" s="3" t="s">
        <v>3003</v>
      </c>
      <c r="D532" s="8" t="str">
        <f t="shared" si="1"/>
        <v>Abrir anúncio ↗</v>
      </c>
      <c r="E532" s="9" t="s">
        <v>2615</v>
      </c>
      <c r="F532" s="3" t="s">
        <v>29</v>
      </c>
      <c r="G532" s="9" t="s">
        <v>744</v>
      </c>
      <c r="H532" s="9" t="s">
        <v>745</v>
      </c>
      <c r="I532" s="3"/>
      <c r="J532" s="3"/>
      <c r="K532" s="9"/>
    </row>
    <row r="533" ht="15.75" customHeight="1">
      <c r="A533" s="10" t="s">
        <v>12</v>
      </c>
      <c r="B533" s="10" t="s">
        <v>14</v>
      </c>
      <c r="C533" s="10" t="s">
        <v>3007</v>
      </c>
      <c r="D533" s="11" t="str">
        <f t="shared" si="1"/>
        <v>Abrir anúncio ↗</v>
      </c>
      <c r="E533" s="12" t="s">
        <v>3009</v>
      </c>
      <c r="F533" s="10" t="s">
        <v>29</v>
      </c>
      <c r="G533" s="12" t="s">
        <v>841</v>
      </c>
      <c r="H533" s="12" t="s">
        <v>1812</v>
      </c>
      <c r="I533" s="10"/>
      <c r="J533" s="10"/>
      <c r="K533" s="12"/>
    </row>
    <row r="534" ht="15.75" customHeight="1">
      <c r="A534" s="3" t="s">
        <v>12</v>
      </c>
      <c r="B534" s="3" t="s">
        <v>14</v>
      </c>
      <c r="C534" s="3" t="s">
        <v>3012</v>
      </c>
      <c r="D534" s="8" t="str">
        <f t="shared" si="1"/>
        <v>Abrir anúncio ↗</v>
      </c>
      <c r="E534" s="9" t="s">
        <v>3014</v>
      </c>
      <c r="F534" s="3" t="s">
        <v>29</v>
      </c>
      <c r="G534" s="9" t="s">
        <v>841</v>
      </c>
      <c r="H534" s="9" t="s">
        <v>1691</v>
      </c>
      <c r="I534" s="3"/>
      <c r="J534" s="3"/>
      <c r="K534" s="9"/>
    </row>
    <row r="535" ht="15.75" customHeight="1">
      <c r="A535" s="10" t="s">
        <v>12</v>
      </c>
      <c r="B535" s="10" t="s">
        <v>14</v>
      </c>
      <c r="C535" s="10" t="s">
        <v>3019</v>
      </c>
      <c r="D535" s="11" t="str">
        <f t="shared" si="1"/>
        <v>Abrir anúncio ↗</v>
      </c>
      <c r="E535" s="12" t="s">
        <v>3021</v>
      </c>
      <c r="F535" s="10" t="s">
        <v>29</v>
      </c>
      <c r="G535" s="12" t="s">
        <v>841</v>
      </c>
      <c r="H535" s="12" t="s">
        <v>1691</v>
      </c>
      <c r="I535" s="10"/>
      <c r="J535" s="10"/>
      <c r="K535" s="12"/>
    </row>
    <row r="536" ht="15.75" customHeight="1">
      <c r="A536" s="3" t="s">
        <v>12</v>
      </c>
      <c r="B536" s="3" t="s">
        <v>14</v>
      </c>
      <c r="C536" s="3" t="s">
        <v>3025</v>
      </c>
      <c r="D536" s="8" t="str">
        <f t="shared" si="1"/>
        <v>Abrir anúncio ↗</v>
      </c>
      <c r="E536" s="9" t="s">
        <v>1371</v>
      </c>
      <c r="F536" s="3" t="s">
        <v>29</v>
      </c>
      <c r="G536" s="9" t="s">
        <v>744</v>
      </c>
      <c r="H536" s="9" t="s">
        <v>745</v>
      </c>
      <c r="I536" s="3"/>
      <c r="J536" s="3"/>
      <c r="K536" s="9"/>
    </row>
    <row r="537" ht="15.75" customHeight="1">
      <c r="A537" s="10" t="s">
        <v>12</v>
      </c>
      <c r="B537" s="10" t="s">
        <v>14</v>
      </c>
      <c r="C537" s="10" t="s">
        <v>3029</v>
      </c>
      <c r="D537" s="11" t="str">
        <f t="shared" si="1"/>
        <v>Abrir anúncio ↗</v>
      </c>
      <c r="E537" s="12" t="s">
        <v>2539</v>
      </c>
      <c r="F537" s="10" t="s">
        <v>29</v>
      </c>
      <c r="G537" s="12" t="s">
        <v>744</v>
      </c>
      <c r="H537" s="12" t="s">
        <v>745</v>
      </c>
      <c r="I537" s="10"/>
      <c r="J537" s="10"/>
      <c r="K537" s="12"/>
    </row>
    <row r="538" ht="15.75" customHeight="1">
      <c r="A538" s="3" t="s">
        <v>12</v>
      </c>
      <c r="B538" s="3" t="s">
        <v>14</v>
      </c>
      <c r="C538" s="3" t="s">
        <v>3033</v>
      </c>
      <c r="D538" s="8" t="str">
        <f t="shared" si="1"/>
        <v>Abrir anúncio ↗</v>
      </c>
      <c r="E538" s="9" t="s">
        <v>3034</v>
      </c>
      <c r="F538" s="3" t="s">
        <v>29</v>
      </c>
      <c r="G538" s="9" t="s">
        <v>841</v>
      </c>
      <c r="H538" s="9" t="s">
        <v>2695</v>
      </c>
      <c r="I538" s="3"/>
      <c r="J538" s="3"/>
      <c r="K538" s="9"/>
    </row>
    <row r="539" ht="15.75" customHeight="1">
      <c r="A539" s="10" t="s">
        <v>12</v>
      </c>
      <c r="B539" s="10" t="s">
        <v>14</v>
      </c>
      <c r="C539" s="10" t="s">
        <v>3039</v>
      </c>
      <c r="D539" s="11" t="str">
        <f t="shared" si="1"/>
        <v>Abrir anúncio ↗</v>
      </c>
      <c r="E539" s="12" t="s">
        <v>3042</v>
      </c>
      <c r="F539" s="10" t="s">
        <v>29</v>
      </c>
      <c r="G539" s="12" t="s">
        <v>841</v>
      </c>
      <c r="H539" s="12" t="s">
        <v>1686</v>
      </c>
      <c r="I539" s="10"/>
      <c r="J539" s="10"/>
      <c r="K539" s="12"/>
    </row>
    <row r="540" ht="15.75" customHeight="1">
      <c r="A540" s="3" t="s">
        <v>12</v>
      </c>
      <c r="B540" s="3" t="s">
        <v>14</v>
      </c>
      <c r="C540" s="3" t="s">
        <v>3045</v>
      </c>
      <c r="D540" s="8" t="str">
        <f t="shared" si="1"/>
        <v>Abrir anúncio ↗</v>
      </c>
      <c r="E540" s="9" t="s">
        <v>1610</v>
      </c>
      <c r="F540" s="3" t="s">
        <v>29</v>
      </c>
      <c r="G540" s="9" t="s">
        <v>744</v>
      </c>
      <c r="H540" s="9" t="s">
        <v>745</v>
      </c>
      <c r="I540" s="3"/>
      <c r="J540" s="3"/>
      <c r="K540" s="9"/>
    </row>
    <row r="541" ht="15.75" customHeight="1">
      <c r="A541" s="10" t="s">
        <v>12</v>
      </c>
      <c r="B541" s="10" t="s">
        <v>14</v>
      </c>
      <c r="C541" s="10" t="s">
        <v>3051</v>
      </c>
      <c r="D541" s="11" t="str">
        <f t="shared" si="1"/>
        <v>Abrir anúncio ↗</v>
      </c>
      <c r="E541" s="12" t="s">
        <v>3052</v>
      </c>
      <c r="F541" s="10" t="s">
        <v>29</v>
      </c>
      <c r="G541" s="12" t="s">
        <v>841</v>
      </c>
      <c r="H541" s="12" t="s">
        <v>1686</v>
      </c>
      <c r="I541" s="10"/>
      <c r="J541" s="10"/>
      <c r="K541" s="12"/>
    </row>
    <row r="542" ht="15.75" customHeight="1">
      <c r="A542" s="3" t="s">
        <v>12</v>
      </c>
      <c r="B542" s="3" t="s">
        <v>14</v>
      </c>
      <c r="C542" s="3" t="s">
        <v>3057</v>
      </c>
      <c r="D542" s="8" t="str">
        <f t="shared" si="1"/>
        <v>Abrir anúncio ↗</v>
      </c>
      <c r="E542" s="9" t="s">
        <v>2650</v>
      </c>
      <c r="F542" s="3" t="s">
        <v>29</v>
      </c>
      <c r="G542" s="9" t="s">
        <v>744</v>
      </c>
      <c r="H542" s="9" t="s">
        <v>745</v>
      </c>
      <c r="I542" s="3"/>
      <c r="J542" s="3"/>
      <c r="K542" s="9"/>
    </row>
    <row r="543" ht="15.75" customHeight="1">
      <c r="A543" s="10" t="s">
        <v>12</v>
      </c>
      <c r="B543" s="10" t="s">
        <v>14</v>
      </c>
      <c r="C543" s="10" t="s">
        <v>3060</v>
      </c>
      <c r="D543" s="11" t="str">
        <f t="shared" si="1"/>
        <v>Abrir anúncio ↗</v>
      </c>
      <c r="E543" s="12" t="s">
        <v>3062</v>
      </c>
      <c r="F543" s="10" t="s">
        <v>29</v>
      </c>
      <c r="G543" s="12" t="s">
        <v>841</v>
      </c>
      <c r="H543" s="12" t="s">
        <v>1698</v>
      </c>
      <c r="I543" s="10"/>
      <c r="J543" s="10"/>
      <c r="K543" s="12"/>
    </row>
    <row r="544" ht="15.75" customHeight="1">
      <c r="A544" s="3" t="s">
        <v>12</v>
      </c>
      <c r="B544" s="3" t="s">
        <v>14</v>
      </c>
      <c r="C544" s="3" t="s">
        <v>3067</v>
      </c>
      <c r="D544" s="8" t="str">
        <f t="shared" si="1"/>
        <v>Abrir anúncio ↗</v>
      </c>
      <c r="E544" s="9" t="s">
        <v>3068</v>
      </c>
      <c r="F544" s="3" t="s">
        <v>29</v>
      </c>
      <c r="G544" s="9" t="s">
        <v>841</v>
      </c>
      <c r="H544" s="9" t="s">
        <v>1567</v>
      </c>
      <c r="I544" s="3"/>
      <c r="J544" s="3"/>
      <c r="K544" s="9"/>
    </row>
    <row r="545" ht="15.75" customHeight="1">
      <c r="A545" s="10" t="s">
        <v>12</v>
      </c>
      <c r="B545" s="10" t="s">
        <v>14</v>
      </c>
      <c r="C545" s="10" t="s">
        <v>3071</v>
      </c>
      <c r="D545" s="11" t="str">
        <f t="shared" si="1"/>
        <v>Abrir anúncio ↗</v>
      </c>
      <c r="E545" s="12" t="s">
        <v>3075</v>
      </c>
      <c r="F545" s="10" t="s">
        <v>29</v>
      </c>
      <c r="G545" s="12" t="s">
        <v>841</v>
      </c>
      <c r="H545" s="12" t="s">
        <v>3076</v>
      </c>
      <c r="I545" s="10"/>
      <c r="J545" s="10"/>
      <c r="K545" s="12"/>
    </row>
    <row r="546" ht="15.75" customHeight="1">
      <c r="A546" s="3" t="s">
        <v>12</v>
      </c>
      <c r="B546" s="3" t="s">
        <v>14</v>
      </c>
      <c r="C546" s="3" t="s">
        <v>3078</v>
      </c>
      <c r="D546" s="8" t="str">
        <f t="shared" si="1"/>
        <v>Abrir anúncio ↗</v>
      </c>
      <c r="E546" s="9" t="s">
        <v>3080</v>
      </c>
      <c r="F546" s="3" t="s">
        <v>29</v>
      </c>
      <c r="G546" s="9" t="s">
        <v>744</v>
      </c>
      <c r="H546" s="9" t="s">
        <v>745</v>
      </c>
      <c r="I546" s="3"/>
      <c r="J546" s="3"/>
      <c r="K546" s="9"/>
    </row>
    <row r="547" ht="15.75" customHeight="1">
      <c r="A547" s="10" t="s">
        <v>12</v>
      </c>
      <c r="B547" s="10" t="s">
        <v>14</v>
      </c>
      <c r="C547" s="10" t="s">
        <v>3085</v>
      </c>
      <c r="D547" s="11" t="str">
        <f t="shared" si="1"/>
        <v>Abrir anúncio ↗</v>
      </c>
      <c r="E547" s="12" t="s">
        <v>1622</v>
      </c>
      <c r="F547" s="10" t="s">
        <v>29</v>
      </c>
      <c r="G547" s="12" t="s">
        <v>744</v>
      </c>
      <c r="H547" s="12" t="s">
        <v>745</v>
      </c>
      <c r="I547" s="10"/>
      <c r="J547" s="10"/>
      <c r="K547" s="12"/>
    </row>
    <row r="548" ht="15.75" customHeight="1">
      <c r="A548" s="3" t="s">
        <v>12</v>
      </c>
      <c r="B548" s="3" t="s">
        <v>14</v>
      </c>
      <c r="C548" s="3" t="s">
        <v>3089</v>
      </c>
      <c r="D548" s="8" t="str">
        <f t="shared" si="1"/>
        <v>Abrir anúncio ↗</v>
      </c>
      <c r="E548" s="9" t="s">
        <v>2549</v>
      </c>
      <c r="F548" s="3" t="s">
        <v>29</v>
      </c>
      <c r="G548" s="9" t="s">
        <v>744</v>
      </c>
      <c r="H548" s="9" t="s">
        <v>745</v>
      </c>
      <c r="I548" s="3"/>
      <c r="J548" s="3"/>
      <c r="K548" s="9"/>
    </row>
    <row r="549" ht="15.75" customHeight="1">
      <c r="A549" s="10" t="s">
        <v>12</v>
      </c>
      <c r="B549" s="10" t="s">
        <v>14</v>
      </c>
      <c r="C549" s="10" t="s">
        <v>3093</v>
      </c>
      <c r="D549" s="11" t="str">
        <f t="shared" si="1"/>
        <v>Abrir anúncio ↗</v>
      </c>
      <c r="E549" s="12" t="s">
        <v>3095</v>
      </c>
      <c r="F549" s="10" t="s">
        <v>29</v>
      </c>
      <c r="G549" s="12" t="s">
        <v>841</v>
      </c>
      <c r="H549" s="12" t="s">
        <v>1125</v>
      </c>
      <c r="I549" s="10"/>
      <c r="J549" s="10"/>
      <c r="K549" s="12"/>
    </row>
    <row r="550" ht="15.75" customHeight="1">
      <c r="A550" s="3" t="s">
        <v>12</v>
      </c>
      <c r="B550" s="3" t="s">
        <v>14</v>
      </c>
      <c r="C550" s="3" t="s">
        <v>3100</v>
      </c>
      <c r="D550" s="8" t="str">
        <f t="shared" si="1"/>
        <v>Abrir anúncio ↗</v>
      </c>
      <c r="E550" s="9" t="s">
        <v>2655</v>
      </c>
      <c r="F550" s="3" t="s">
        <v>29</v>
      </c>
      <c r="G550" s="9" t="s">
        <v>744</v>
      </c>
      <c r="H550" s="9" t="s">
        <v>745</v>
      </c>
      <c r="I550" s="3"/>
      <c r="J550" s="3"/>
      <c r="K550" s="9"/>
    </row>
    <row r="551" ht="15.75" customHeight="1">
      <c r="A551" s="10" t="s">
        <v>12</v>
      </c>
      <c r="B551" s="10" t="s">
        <v>14</v>
      </c>
      <c r="C551" s="10" t="s">
        <v>3102</v>
      </c>
      <c r="D551" s="11" t="str">
        <f t="shared" si="1"/>
        <v>Abrir anúncio ↗</v>
      </c>
      <c r="E551" s="12" t="s">
        <v>3105</v>
      </c>
      <c r="F551" s="10" t="s">
        <v>29</v>
      </c>
      <c r="G551" s="12" t="s">
        <v>238</v>
      </c>
      <c r="H551" s="12" t="s">
        <v>871</v>
      </c>
      <c r="I551" s="10"/>
      <c r="J551" s="10"/>
      <c r="K551" s="12"/>
    </row>
    <row r="552" ht="15.75" customHeight="1">
      <c r="A552" s="3" t="s">
        <v>12</v>
      </c>
      <c r="B552" s="3" t="s">
        <v>14</v>
      </c>
      <c r="C552" s="3" t="s">
        <v>3110</v>
      </c>
      <c r="D552" s="8" t="str">
        <f t="shared" si="1"/>
        <v>Abrir anúncio ↗</v>
      </c>
      <c r="E552" s="9" t="s">
        <v>3111</v>
      </c>
      <c r="F552" s="3" t="s">
        <v>29</v>
      </c>
      <c r="G552" s="9" t="s">
        <v>841</v>
      </c>
      <c r="H552" s="9" t="s">
        <v>3113</v>
      </c>
      <c r="I552" s="3"/>
      <c r="J552" s="3"/>
      <c r="K552" s="9"/>
    </row>
    <row r="553" ht="15.75" customHeight="1">
      <c r="A553" s="10" t="s">
        <v>12</v>
      </c>
      <c r="B553" s="10" t="s">
        <v>14</v>
      </c>
      <c r="C553" s="10" t="s">
        <v>3118</v>
      </c>
      <c r="D553" s="11" t="str">
        <f t="shared" si="1"/>
        <v>Abrir anúncio ↗</v>
      </c>
      <c r="E553" s="12" t="s">
        <v>1423</v>
      </c>
      <c r="F553" s="10" t="s">
        <v>29</v>
      </c>
      <c r="G553" s="12" t="s">
        <v>744</v>
      </c>
      <c r="H553" s="12" t="s">
        <v>745</v>
      </c>
      <c r="I553" s="10"/>
      <c r="J553" s="10"/>
      <c r="K553" s="12"/>
    </row>
    <row r="554" ht="15.75" customHeight="1">
      <c r="A554" s="3" t="s">
        <v>12</v>
      </c>
      <c r="B554" s="3" t="s">
        <v>14</v>
      </c>
      <c r="C554" s="3" t="s">
        <v>3120</v>
      </c>
      <c r="D554" s="8" t="str">
        <f t="shared" si="1"/>
        <v>Abrir anúncio ↗</v>
      </c>
      <c r="E554" s="9" t="s">
        <v>2575</v>
      </c>
      <c r="F554" s="3" t="s">
        <v>29</v>
      </c>
      <c r="G554" s="9" t="s">
        <v>744</v>
      </c>
      <c r="H554" s="9" t="s">
        <v>745</v>
      </c>
      <c r="I554" s="3"/>
      <c r="J554" s="3"/>
      <c r="K554" s="9"/>
    </row>
    <row r="555" ht="15.75" customHeight="1">
      <c r="A555" s="10" t="s">
        <v>12</v>
      </c>
      <c r="B555" s="10" t="s">
        <v>14</v>
      </c>
      <c r="C555" s="10" t="s">
        <v>3127</v>
      </c>
      <c r="D555" s="11" t="str">
        <f t="shared" si="1"/>
        <v>Abrir anúncio ↗</v>
      </c>
      <c r="E555" s="12" t="s">
        <v>2608</v>
      </c>
      <c r="F555" s="10" t="s">
        <v>29</v>
      </c>
      <c r="G555" s="12" t="s">
        <v>744</v>
      </c>
      <c r="H555" s="12" t="s">
        <v>745</v>
      </c>
      <c r="I555" s="10"/>
      <c r="J555" s="10"/>
      <c r="K555" s="12"/>
    </row>
    <row r="556" ht="15.75" customHeight="1">
      <c r="A556" s="3" t="s">
        <v>12</v>
      </c>
      <c r="B556" s="3" t="s">
        <v>14</v>
      </c>
      <c r="C556" s="3" t="s">
        <v>3131</v>
      </c>
      <c r="D556" s="8" t="str">
        <f t="shared" si="1"/>
        <v>Abrir anúncio ↗</v>
      </c>
      <c r="E556" s="9" t="s">
        <v>3133</v>
      </c>
      <c r="F556" s="3" t="s">
        <v>29</v>
      </c>
      <c r="G556" s="9" t="s">
        <v>841</v>
      </c>
      <c r="H556" s="9" t="s">
        <v>3076</v>
      </c>
      <c r="I556" s="3"/>
      <c r="J556" s="3"/>
      <c r="K556" s="9"/>
    </row>
    <row r="557" ht="15.75" customHeight="1">
      <c r="A557" s="10" t="s">
        <v>12</v>
      </c>
      <c r="B557" s="10" t="s">
        <v>14</v>
      </c>
      <c r="C557" s="10" t="s">
        <v>3136</v>
      </c>
      <c r="D557" s="11" t="str">
        <f t="shared" si="1"/>
        <v>Abrir anúncio ↗</v>
      </c>
      <c r="E557" s="12" t="s">
        <v>3137</v>
      </c>
      <c r="F557" s="10" t="s">
        <v>29</v>
      </c>
      <c r="G557" s="12" t="s">
        <v>841</v>
      </c>
      <c r="H557" s="12" t="s">
        <v>3139</v>
      </c>
      <c r="I557" s="10"/>
      <c r="J557" s="10"/>
      <c r="K557" s="12"/>
    </row>
    <row r="558" ht="15.75" customHeight="1">
      <c r="A558" s="3" t="s">
        <v>12</v>
      </c>
      <c r="B558" s="3" t="s">
        <v>14</v>
      </c>
      <c r="C558" s="3" t="s">
        <v>3144</v>
      </c>
      <c r="D558" s="8" t="str">
        <f t="shared" si="1"/>
        <v>Abrir anúncio ↗</v>
      </c>
      <c r="E558" s="9" t="s">
        <v>3146</v>
      </c>
      <c r="F558" s="3" t="s">
        <v>29</v>
      </c>
      <c r="G558" s="9" t="s">
        <v>30</v>
      </c>
      <c r="H558" s="9" t="s">
        <v>31</v>
      </c>
      <c r="I558" s="3"/>
      <c r="J558" s="3"/>
      <c r="K558" s="9"/>
    </row>
    <row r="559" ht="15.75" customHeight="1">
      <c r="A559" s="10" t="s">
        <v>12</v>
      </c>
      <c r="B559" s="10" t="s">
        <v>14</v>
      </c>
      <c r="C559" s="10" t="s">
        <v>3149</v>
      </c>
      <c r="D559" s="11" t="str">
        <f t="shared" si="1"/>
        <v>Abrir anúncio ↗</v>
      </c>
      <c r="E559" s="12" t="s">
        <v>1393</v>
      </c>
      <c r="F559" s="10" t="s">
        <v>29</v>
      </c>
      <c r="G559" s="12" t="s">
        <v>30</v>
      </c>
      <c r="H559" s="12" t="s">
        <v>31</v>
      </c>
      <c r="I559" s="10"/>
      <c r="J559" s="10"/>
      <c r="K559" s="12"/>
    </row>
    <row r="560" ht="15.75" customHeight="1">
      <c r="A560" s="3" t="s">
        <v>12</v>
      </c>
      <c r="B560" s="3" t="s">
        <v>14</v>
      </c>
      <c r="C560" s="3" t="s">
        <v>3154</v>
      </c>
      <c r="D560" s="8" t="str">
        <f t="shared" si="1"/>
        <v>Abrir anúncio ↗</v>
      </c>
      <c r="E560" s="9" t="s">
        <v>790</v>
      </c>
      <c r="F560" s="3" t="s">
        <v>29</v>
      </c>
      <c r="G560" s="9" t="s">
        <v>744</v>
      </c>
      <c r="H560" s="9" t="s">
        <v>745</v>
      </c>
      <c r="I560" s="3"/>
      <c r="J560" s="3"/>
      <c r="K560" s="9"/>
    </row>
    <row r="561" ht="15.75" customHeight="1">
      <c r="A561" s="10" t="s">
        <v>12</v>
      </c>
      <c r="B561" s="10" t="s">
        <v>14</v>
      </c>
      <c r="C561" s="10" t="s">
        <v>3159</v>
      </c>
      <c r="D561" s="11" t="str">
        <f t="shared" si="1"/>
        <v>Abrir anúncio ↗</v>
      </c>
      <c r="E561" s="12" t="s">
        <v>3162</v>
      </c>
      <c r="F561" s="10" t="s">
        <v>29</v>
      </c>
      <c r="G561" s="12" t="s">
        <v>1111</v>
      </c>
      <c r="H561" s="12" t="s">
        <v>3163</v>
      </c>
      <c r="I561" s="10"/>
      <c r="J561" s="10"/>
      <c r="K561" s="12"/>
    </row>
    <row r="562" ht="15.75" customHeight="1">
      <c r="A562" s="3" t="s">
        <v>12</v>
      </c>
      <c r="B562" s="3" t="s">
        <v>14</v>
      </c>
      <c r="C562" s="3" t="s">
        <v>3165</v>
      </c>
      <c r="D562" s="8" t="str">
        <f t="shared" si="1"/>
        <v>Abrir anúncio ↗</v>
      </c>
      <c r="E562" s="9" t="s">
        <v>3167</v>
      </c>
      <c r="F562" s="3" t="s">
        <v>29</v>
      </c>
      <c r="G562" s="9" t="s">
        <v>841</v>
      </c>
      <c r="H562" s="9" t="s">
        <v>1691</v>
      </c>
      <c r="I562" s="3"/>
      <c r="J562" s="3"/>
      <c r="K562" s="9"/>
    </row>
    <row r="563" ht="15.75" customHeight="1">
      <c r="A563" s="10" t="s">
        <v>12</v>
      </c>
      <c r="B563" s="10" t="s">
        <v>14</v>
      </c>
      <c r="C563" s="10" t="s">
        <v>3171</v>
      </c>
      <c r="D563" s="11" t="str">
        <f t="shared" si="1"/>
        <v>Abrir anúncio ↗</v>
      </c>
      <c r="E563" s="12" t="s">
        <v>3172</v>
      </c>
      <c r="F563" s="10" t="s">
        <v>86</v>
      </c>
      <c r="G563" s="12" t="s">
        <v>30</v>
      </c>
      <c r="H563" s="12" t="s">
        <v>31</v>
      </c>
      <c r="I563" s="10"/>
      <c r="J563" s="10"/>
      <c r="K563" s="12"/>
    </row>
    <row r="564" ht="15.75" customHeight="1">
      <c r="A564" s="3" t="s">
        <v>12</v>
      </c>
      <c r="B564" s="3" t="s">
        <v>14</v>
      </c>
      <c r="C564" s="3" t="s">
        <v>3175</v>
      </c>
      <c r="D564" s="8" t="str">
        <f t="shared" si="1"/>
        <v>Abrir anúncio ↗</v>
      </c>
      <c r="E564" s="9" t="s">
        <v>585</v>
      </c>
      <c r="F564" s="3" t="s">
        <v>29</v>
      </c>
      <c r="G564" s="9" t="s">
        <v>30</v>
      </c>
      <c r="H564" s="9" t="s">
        <v>31</v>
      </c>
      <c r="I564" s="3"/>
      <c r="J564" s="3"/>
      <c r="K564" s="9"/>
    </row>
    <row r="565" ht="15.75" customHeight="1">
      <c r="A565" s="10" t="s">
        <v>12</v>
      </c>
      <c r="B565" s="10" t="s">
        <v>14</v>
      </c>
      <c r="C565" s="10" t="s">
        <v>3180</v>
      </c>
      <c r="D565" s="11" t="str">
        <f t="shared" si="1"/>
        <v>Abrir anúncio ↗</v>
      </c>
      <c r="E565" s="12" t="s">
        <v>3181</v>
      </c>
      <c r="F565" s="10" t="s">
        <v>29</v>
      </c>
      <c r="G565" s="12" t="s">
        <v>744</v>
      </c>
      <c r="H565" s="12" t="s">
        <v>745</v>
      </c>
      <c r="I565" s="10"/>
      <c r="J565" s="10"/>
      <c r="K565" s="12"/>
    </row>
    <row r="566" ht="15.75" customHeight="1">
      <c r="A566" s="3" t="s">
        <v>12</v>
      </c>
      <c r="B566" s="3" t="s">
        <v>14</v>
      </c>
      <c r="C566" s="3" t="s">
        <v>3185</v>
      </c>
      <c r="D566" s="8" t="str">
        <f t="shared" si="1"/>
        <v>Abrir anúncio ↗</v>
      </c>
      <c r="E566" s="9" t="s">
        <v>3187</v>
      </c>
      <c r="F566" s="3" t="s">
        <v>29</v>
      </c>
      <c r="G566" s="9" t="s">
        <v>30</v>
      </c>
      <c r="H566" s="9" t="s">
        <v>31</v>
      </c>
      <c r="I566" s="3"/>
      <c r="J566" s="3"/>
      <c r="K566" s="9"/>
    </row>
    <row r="567" ht="15.75" customHeight="1">
      <c r="A567" s="10" t="s">
        <v>12</v>
      </c>
      <c r="B567" s="10" t="s">
        <v>14</v>
      </c>
      <c r="C567" s="10" t="s">
        <v>3191</v>
      </c>
      <c r="D567" s="11" t="str">
        <f t="shared" si="1"/>
        <v>Abrir anúncio ↗</v>
      </c>
      <c r="E567" s="12" t="s">
        <v>3192</v>
      </c>
      <c r="F567" s="10" t="s">
        <v>29</v>
      </c>
      <c r="G567" s="12" t="s">
        <v>30</v>
      </c>
      <c r="H567" s="12" t="s">
        <v>31</v>
      </c>
      <c r="I567" s="10"/>
      <c r="J567" s="10"/>
      <c r="K567" s="12"/>
    </row>
    <row r="568" ht="15.75" customHeight="1">
      <c r="A568" s="3" t="s">
        <v>12</v>
      </c>
      <c r="B568" s="3" t="s">
        <v>14</v>
      </c>
      <c r="C568" s="3" t="s">
        <v>3196</v>
      </c>
      <c r="D568" s="8" t="str">
        <f t="shared" si="1"/>
        <v>Abrir anúncio ↗</v>
      </c>
      <c r="E568" s="9" t="s">
        <v>3199</v>
      </c>
      <c r="F568" s="3" t="s">
        <v>29</v>
      </c>
      <c r="G568" s="9" t="s">
        <v>30</v>
      </c>
      <c r="H568" s="9" t="s">
        <v>31</v>
      </c>
      <c r="I568" s="3"/>
      <c r="J568" s="3"/>
      <c r="K568" s="9"/>
    </row>
    <row r="569" ht="15.75" customHeight="1">
      <c r="A569" s="10" t="s">
        <v>12</v>
      </c>
      <c r="B569" s="10" t="s">
        <v>14</v>
      </c>
      <c r="C569" s="10" t="s">
        <v>3202</v>
      </c>
      <c r="D569" s="11" t="str">
        <f t="shared" si="1"/>
        <v>Abrir anúncio ↗</v>
      </c>
      <c r="E569" s="12" t="s">
        <v>3203</v>
      </c>
      <c r="F569" s="10" t="s">
        <v>29</v>
      </c>
      <c r="G569" s="12" t="s">
        <v>30</v>
      </c>
      <c r="H569" s="12" t="s">
        <v>31</v>
      </c>
      <c r="I569" s="10"/>
      <c r="J569" s="10"/>
      <c r="K569" s="12"/>
    </row>
    <row r="570" ht="15.75" customHeight="1">
      <c r="A570" s="3" t="s">
        <v>12</v>
      </c>
      <c r="B570" s="3" t="s">
        <v>14</v>
      </c>
      <c r="C570" s="3" t="s">
        <v>3209</v>
      </c>
      <c r="D570" s="8" t="str">
        <f t="shared" si="1"/>
        <v>Abrir anúncio ↗</v>
      </c>
      <c r="E570" s="9" t="s">
        <v>3211</v>
      </c>
      <c r="F570" s="3" t="s">
        <v>29</v>
      </c>
      <c r="G570" s="9" t="s">
        <v>30</v>
      </c>
      <c r="H570" s="9" t="s">
        <v>31</v>
      </c>
      <c r="I570" s="3"/>
      <c r="J570" s="3"/>
      <c r="K570" s="9"/>
    </row>
    <row r="571" ht="15.75" customHeight="1">
      <c r="A571" s="10" t="s">
        <v>12</v>
      </c>
      <c r="B571" s="10" t="s">
        <v>14</v>
      </c>
      <c r="C571" s="10" t="s">
        <v>3212</v>
      </c>
      <c r="D571" s="11" t="str">
        <f t="shared" si="1"/>
        <v>Abrir anúncio ↗</v>
      </c>
      <c r="E571" s="12" t="s">
        <v>3213</v>
      </c>
      <c r="F571" s="10" t="s">
        <v>29</v>
      </c>
      <c r="G571" s="12" t="s">
        <v>30</v>
      </c>
      <c r="H571" s="12" t="s">
        <v>31</v>
      </c>
      <c r="I571" s="10"/>
      <c r="J571" s="10"/>
      <c r="K571" s="12"/>
    </row>
    <row r="572" ht="15.75" customHeight="1">
      <c r="A572" s="3" t="s">
        <v>12</v>
      </c>
      <c r="B572" s="3" t="s">
        <v>14</v>
      </c>
      <c r="C572" s="3" t="s">
        <v>3220</v>
      </c>
      <c r="D572" s="8" t="str">
        <f t="shared" si="1"/>
        <v>Abrir anúncio ↗</v>
      </c>
      <c r="E572" s="9" t="s">
        <v>3221</v>
      </c>
      <c r="F572" s="3" t="s">
        <v>29</v>
      </c>
      <c r="G572" s="9" t="s">
        <v>30</v>
      </c>
      <c r="H572" s="9" t="s">
        <v>31</v>
      </c>
      <c r="I572" s="3"/>
      <c r="J572" s="3"/>
      <c r="K572" s="9"/>
    </row>
    <row r="573" ht="15.75" customHeight="1">
      <c r="A573" s="10" t="s">
        <v>12</v>
      </c>
      <c r="B573" s="10" t="s">
        <v>14</v>
      </c>
      <c r="C573" s="10" t="s">
        <v>3222</v>
      </c>
      <c r="D573" s="11" t="str">
        <f t="shared" si="1"/>
        <v>Abrir anúncio ↗</v>
      </c>
      <c r="E573" s="12" t="s">
        <v>3225</v>
      </c>
      <c r="F573" s="10" t="s">
        <v>29</v>
      </c>
      <c r="G573" s="12" t="s">
        <v>30</v>
      </c>
      <c r="H573" s="12" t="s">
        <v>31</v>
      </c>
      <c r="I573" s="10"/>
      <c r="J573" s="10"/>
      <c r="K573" s="12"/>
    </row>
    <row r="574" ht="15.75" customHeight="1">
      <c r="A574" s="3" t="s">
        <v>12</v>
      </c>
      <c r="B574" s="3" t="s">
        <v>14</v>
      </c>
      <c r="C574" s="3" t="s">
        <v>3230</v>
      </c>
      <c r="D574" s="8" t="str">
        <f t="shared" si="1"/>
        <v>Abrir anúncio ↗</v>
      </c>
      <c r="E574" s="9" t="s">
        <v>3231</v>
      </c>
      <c r="F574" s="3" t="s">
        <v>29</v>
      </c>
      <c r="G574" s="9" t="s">
        <v>30</v>
      </c>
      <c r="H574" s="9" t="s">
        <v>31</v>
      </c>
      <c r="I574" s="3"/>
      <c r="J574" s="3"/>
      <c r="K574" s="9"/>
    </row>
    <row r="575" ht="15.75" customHeight="1">
      <c r="A575" s="10" t="s">
        <v>12</v>
      </c>
      <c r="B575" s="10" t="s">
        <v>14</v>
      </c>
      <c r="C575" s="10" t="s">
        <v>3233</v>
      </c>
      <c r="D575" s="11" t="str">
        <f t="shared" si="1"/>
        <v>Abrir anúncio ↗</v>
      </c>
      <c r="E575" s="12" t="s">
        <v>3237</v>
      </c>
      <c r="F575" s="10" t="s">
        <v>29</v>
      </c>
      <c r="G575" s="12" t="s">
        <v>30</v>
      </c>
      <c r="H575" s="12" t="s">
        <v>31</v>
      </c>
      <c r="I575" s="10"/>
      <c r="J575" s="10"/>
      <c r="K575" s="12"/>
    </row>
    <row r="576" ht="15.75" customHeight="1">
      <c r="A576" s="3" t="s">
        <v>12</v>
      </c>
      <c r="B576" s="3" t="s">
        <v>14</v>
      </c>
      <c r="C576" s="3" t="s">
        <v>3240</v>
      </c>
      <c r="D576" s="8" t="str">
        <f t="shared" si="1"/>
        <v>Abrir anúncio ↗</v>
      </c>
      <c r="E576" s="9" t="s">
        <v>3241</v>
      </c>
      <c r="F576" s="3" t="s">
        <v>29</v>
      </c>
      <c r="G576" s="9" t="s">
        <v>30</v>
      </c>
      <c r="H576" s="9" t="s">
        <v>31</v>
      </c>
      <c r="I576" s="3"/>
      <c r="J576" s="3"/>
      <c r="K576" s="9"/>
    </row>
    <row r="577" ht="15.75" customHeight="1">
      <c r="A577" s="10" t="s">
        <v>12</v>
      </c>
      <c r="B577" s="10" t="s">
        <v>14</v>
      </c>
      <c r="C577" s="10" t="s">
        <v>3245</v>
      </c>
      <c r="D577" s="11" t="str">
        <f t="shared" si="1"/>
        <v>Abrir anúncio ↗</v>
      </c>
      <c r="E577" s="12" t="s">
        <v>3248</v>
      </c>
      <c r="F577" s="10" t="s">
        <v>29</v>
      </c>
      <c r="G577" s="12" t="s">
        <v>30</v>
      </c>
      <c r="H577" s="12" t="s">
        <v>31</v>
      </c>
      <c r="I577" s="10"/>
      <c r="J577" s="10"/>
      <c r="K577" s="12"/>
    </row>
    <row r="578" ht="15.75" customHeight="1">
      <c r="A578" s="3" t="s">
        <v>12</v>
      </c>
      <c r="B578" s="3" t="s">
        <v>14</v>
      </c>
      <c r="C578" s="3" t="s">
        <v>3250</v>
      </c>
      <c r="D578" s="8" t="str">
        <f t="shared" si="1"/>
        <v>Abrir anúncio ↗</v>
      </c>
      <c r="E578" s="9" t="s">
        <v>3252</v>
      </c>
      <c r="F578" s="3" t="s">
        <v>29</v>
      </c>
      <c r="G578" s="9" t="s">
        <v>30</v>
      </c>
      <c r="H578" s="9" t="s">
        <v>31</v>
      </c>
      <c r="I578" s="3"/>
      <c r="J578" s="3"/>
      <c r="K578" s="9"/>
    </row>
    <row r="579" ht="15.75" customHeight="1">
      <c r="A579" s="10" t="s">
        <v>12</v>
      </c>
      <c r="B579" s="10" t="s">
        <v>14</v>
      </c>
      <c r="C579" s="10" t="s">
        <v>3255</v>
      </c>
      <c r="D579" s="11" t="str">
        <f t="shared" si="1"/>
        <v>Abrir anúncio ↗</v>
      </c>
      <c r="E579" s="12" t="s">
        <v>3257</v>
      </c>
      <c r="F579" s="10" t="s">
        <v>29</v>
      </c>
      <c r="G579" s="12" t="s">
        <v>30</v>
      </c>
      <c r="H579" s="12" t="s">
        <v>31</v>
      </c>
      <c r="I579" s="10"/>
      <c r="J579" s="10"/>
      <c r="K579" s="12"/>
    </row>
    <row r="580" ht="15.75" customHeight="1">
      <c r="A580" s="3" t="s">
        <v>12</v>
      </c>
      <c r="B580" s="3" t="s">
        <v>14</v>
      </c>
      <c r="C580" s="3" t="s">
        <v>3261</v>
      </c>
      <c r="D580" s="8" t="str">
        <f t="shared" si="1"/>
        <v>Abrir anúncio ↗</v>
      </c>
      <c r="E580" s="9" t="s">
        <v>3262</v>
      </c>
      <c r="F580" s="3" t="s">
        <v>29</v>
      </c>
      <c r="G580" s="9" t="s">
        <v>30</v>
      </c>
      <c r="H580" s="9" t="s">
        <v>31</v>
      </c>
      <c r="I580" s="3"/>
      <c r="J580" s="3"/>
      <c r="K580" s="9"/>
    </row>
    <row r="581" ht="15.75" customHeight="1">
      <c r="A581" s="10" t="s">
        <v>12</v>
      </c>
      <c r="B581" s="10" t="s">
        <v>14</v>
      </c>
      <c r="C581" s="10" t="s">
        <v>3265</v>
      </c>
      <c r="D581" s="11" t="str">
        <f t="shared" si="1"/>
        <v>Abrir anúncio ↗</v>
      </c>
      <c r="E581" s="12" t="s">
        <v>3267</v>
      </c>
      <c r="F581" s="10" t="s">
        <v>29</v>
      </c>
      <c r="G581" s="12" t="s">
        <v>30</v>
      </c>
      <c r="H581" s="12" t="s">
        <v>31</v>
      </c>
      <c r="I581" s="10"/>
      <c r="J581" s="10"/>
      <c r="K581" s="12"/>
    </row>
    <row r="582" ht="15.75" customHeight="1">
      <c r="A582" s="3" t="s">
        <v>12</v>
      </c>
      <c r="B582" s="3" t="s">
        <v>14</v>
      </c>
      <c r="C582" s="3" t="s">
        <v>3272</v>
      </c>
      <c r="D582" s="8" t="str">
        <f t="shared" si="1"/>
        <v>Abrir anúncio ↗</v>
      </c>
      <c r="E582" s="9" t="s">
        <v>3273</v>
      </c>
      <c r="F582" s="3" t="s">
        <v>29</v>
      </c>
      <c r="G582" s="9" t="s">
        <v>30</v>
      </c>
      <c r="H582" s="9" t="s">
        <v>31</v>
      </c>
      <c r="I582" s="3"/>
      <c r="J582" s="3"/>
      <c r="K582" s="9"/>
    </row>
    <row r="583" ht="15.75" customHeight="1">
      <c r="A583" s="10" t="s">
        <v>12</v>
      </c>
      <c r="B583" s="10" t="s">
        <v>14</v>
      </c>
      <c r="C583" s="10" t="s">
        <v>3275</v>
      </c>
      <c r="D583" s="11" t="str">
        <f t="shared" si="1"/>
        <v>Abrir anúncio ↗</v>
      </c>
      <c r="E583" s="12" t="s">
        <v>3277</v>
      </c>
      <c r="F583" s="10" t="s">
        <v>29</v>
      </c>
      <c r="G583" s="12" t="s">
        <v>30</v>
      </c>
      <c r="H583" s="12" t="s">
        <v>31</v>
      </c>
      <c r="I583" s="10"/>
      <c r="J583" s="10"/>
      <c r="K583" s="12"/>
    </row>
    <row r="584" ht="15.75" customHeight="1">
      <c r="A584" s="3" t="s">
        <v>12</v>
      </c>
      <c r="B584" s="3" t="s">
        <v>14</v>
      </c>
      <c r="C584" s="3" t="s">
        <v>3282</v>
      </c>
      <c r="D584" s="8" t="str">
        <f t="shared" si="1"/>
        <v>Abrir anúncio ↗</v>
      </c>
      <c r="E584" s="9" t="s">
        <v>3283</v>
      </c>
      <c r="F584" s="3" t="s">
        <v>29</v>
      </c>
      <c r="G584" s="9" t="s">
        <v>30</v>
      </c>
      <c r="H584" s="9" t="s">
        <v>31</v>
      </c>
      <c r="I584" s="3"/>
      <c r="J584" s="3"/>
      <c r="K584" s="9"/>
    </row>
    <row r="585" ht="15.75" customHeight="1">
      <c r="A585" s="10" t="s">
        <v>12</v>
      </c>
      <c r="B585" s="10" t="s">
        <v>14</v>
      </c>
      <c r="C585" s="10" t="s">
        <v>3287</v>
      </c>
      <c r="D585" s="11" t="str">
        <f t="shared" si="1"/>
        <v>Abrir anúncio ↗</v>
      </c>
      <c r="E585" s="12" t="s">
        <v>3288</v>
      </c>
      <c r="F585" s="10" t="s">
        <v>29</v>
      </c>
      <c r="G585" s="12" t="s">
        <v>30</v>
      </c>
      <c r="H585" s="12" t="s">
        <v>31</v>
      </c>
      <c r="I585" s="10"/>
      <c r="J585" s="10"/>
      <c r="K585" s="12"/>
    </row>
    <row r="586" ht="15.75" customHeight="1">
      <c r="A586" s="3" t="s">
        <v>12</v>
      </c>
      <c r="B586" s="3" t="s">
        <v>14</v>
      </c>
      <c r="C586" s="3" t="s">
        <v>3291</v>
      </c>
      <c r="D586" s="8" t="str">
        <f t="shared" si="1"/>
        <v>Abrir anúncio ↗</v>
      </c>
      <c r="E586" s="9" t="s">
        <v>3293</v>
      </c>
      <c r="F586" s="3" t="s">
        <v>29</v>
      </c>
      <c r="G586" s="9" t="s">
        <v>30</v>
      </c>
      <c r="H586" s="9" t="s">
        <v>31</v>
      </c>
      <c r="I586" s="3"/>
      <c r="J586" s="3"/>
      <c r="K586" s="9"/>
    </row>
    <row r="587" ht="15.75" customHeight="1">
      <c r="A587" s="10" t="s">
        <v>12</v>
      </c>
      <c r="B587" s="10" t="s">
        <v>14</v>
      </c>
      <c r="C587" s="10" t="s">
        <v>3297</v>
      </c>
      <c r="D587" s="11" t="str">
        <f t="shared" si="1"/>
        <v>Abrir anúncio ↗</v>
      </c>
      <c r="E587" s="12" t="s">
        <v>3298</v>
      </c>
      <c r="F587" s="10" t="s">
        <v>29</v>
      </c>
      <c r="G587" s="12" t="s">
        <v>30</v>
      </c>
      <c r="H587" s="12" t="s">
        <v>31</v>
      </c>
      <c r="I587" s="10"/>
      <c r="J587" s="10"/>
      <c r="K587" s="12"/>
    </row>
    <row r="588" ht="15.75" customHeight="1">
      <c r="A588" s="3" t="s">
        <v>12</v>
      </c>
      <c r="B588" s="3" t="s">
        <v>14</v>
      </c>
      <c r="C588" s="3" t="s">
        <v>3302</v>
      </c>
      <c r="D588" s="8" t="str">
        <f t="shared" si="1"/>
        <v>Abrir anúncio ↗</v>
      </c>
      <c r="E588" s="9" t="s">
        <v>3304</v>
      </c>
      <c r="F588" s="3" t="s">
        <v>29</v>
      </c>
      <c r="G588" s="9" t="s">
        <v>30</v>
      </c>
      <c r="H588" s="9" t="s">
        <v>31</v>
      </c>
      <c r="I588" s="3"/>
      <c r="J588" s="3"/>
      <c r="K588" s="9"/>
    </row>
    <row r="589" ht="15.75" customHeight="1">
      <c r="A589" s="10" t="s">
        <v>12</v>
      </c>
      <c r="B589" s="10" t="s">
        <v>14</v>
      </c>
      <c r="C589" s="10" t="s">
        <v>3308</v>
      </c>
      <c r="D589" s="11" t="str">
        <f t="shared" si="1"/>
        <v>Abrir anúncio ↗</v>
      </c>
      <c r="E589" s="12" t="s">
        <v>3309</v>
      </c>
      <c r="F589" s="10" t="s">
        <v>29</v>
      </c>
      <c r="G589" s="12" t="s">
        <v>30</v>
      </c>
      <c r="H589" s="12" t="s">
        <v>31</v>
      </c>
      <c r="I589" s="10"/>
      <c r="J589" s="10"/>
      <c r="K589" s="12"/>
    </row>
    <row r="590" ht="15.75" customHeight="1">
      <c r="A590" s="3" t="s">
        <v>12</v>
      </c>
      <c r="B590" s="3" t="s">
        <v>14</v>
      </c>
      <c r="C590" s="3" t="s">
        <v>3313</v>
      </c>
      <c r="D590" s="8" t="str">
        <f t="shared" si="1"/>
        <v>Abrir anúncio ↗</v>
      </c>
      <c r="E590" s="9" t="s">
        <v>3316</v>
      </c>
      <c r="F590" s="3" t="s">
        <v>29</v>
      </c>
      <c r="G590" s="9" t="s">
        <v>30</v>
      </c>
      <c r="H590" s="9" t="s">
        <v>31</v>
      </c>
      <c r="I590" s="3"/>
      <c r="J590" s="3"/>
      <c r="K590" s="9"/>
    </row>
    <row r="591" ht="15.75" customHeight="1">
      <c r="A591" s="10" t="s">
        <v>12</v>
      </c>
      <c r="B591" s="10" t="s">
        <v>14</v>
      </c>
      <c r="C591" s="10" t="s">
        <v>3318</v>
      </c>
      <c r="D591" s="11" t="str">
        <f t="shared" si="1"/>
        <v>Abrir anúncio ↗</v>
      </c>
      <c r="E591" s="12" t="s">
        <v>3320</v>
      </c>
      <c r="F591" s="10" t="s">
        <v>29</v>
      </c>
      <c r="G591" s="12" t="s">
        <v>30</v>
      </c>
      <c r="H591" s="12" t="s">
        <v>31</v>
      </c>
      <c r="I591" s="10"/>
      <c r="J591" s="10"/>
      <c r="K591" s="12"/>
    </row>
    <row r="592" ht="15.75" customHeight="1">
      <c r="A592" s="3" t="s">
        <v>12</v>
      </c>
      <c r="B592" s="3" t="s">
        <v>14</v>
      </c>
      <c r="C592" s="3" t="s">
        <v>3324</v>
      </c>
      <c r="D592" s="8" t="str">
        <f t="shared" si="1"/>
        <v>Abrir anúncio ↗</v>
      </c>
      <c r="E592" s="9" t="s">
        <v>3326</v>
      </c>
      <c r="F592" s="3" t="s">
        <v>29</v>
      </c>
      <c r="G592" s="9" t="s">
        <v>30</v>
      </c>
      <c r="H592" s="9" t="s">
        <v>31</v>
      </c>
      <c r="I592" s="3"/>
      <c r="J592" s="3"/>
      <c r="K592" s="9"/>
    </row>
    <row r="593" ht="15.75" customHeight="1">
      <c r="A593" s="10" t="s">
        <v>12</v>
      </c>
      <c r="B593" s="10" t="s">
        <v>14</v>
      </c>
      <c r="C593" s="10" t="s">
        <v>3328</v>
      </c>
      <c r="D593" s="11" t="str">
        <f t="shared" si="1"/>
        <v>Abrir anúncio ↗</v>
      </c>
      <c r="E593" s="12" t="s">
        <v>3329</v>
      </c>
      <c r="F593" s="10" t="s">
        <v>29</v>
      </c>
      <c r="G593" s="12" t="s">
        <v>30</v>
      </c>
      <c r="H593" s="12" t="s">
        <v>31</v>
      </c>
      <c r="I593" s="10"/>
      <c r="J593" s="10"/>
      <c r="K593" s="12"/>
    </row>
    <row r="594" ht="15.75" customHeight="1">
      <c r="A594" s="3" t="s">
        <v>12</v>
      </c>
      <c r="B594" s="3" t="s">
        <v>14</v>
      </c>
      <c r="C594" s="3" t="s">
        <v>3333</v>
      </c>
      <c r="D594" s="8" t="str">
        <f t="shared" si="1"/>
        <v>Abrir anúncio ↗</v>
      </c>
      <c r="E594" s="9" t="s">
        <v>3336</v>
      </c>
      <c r="F594" s="3" t="s">
        <v>29</v>
      </c>
      <c r="G594" s="9" t="s">
        <v>30</v>
      </c>
      <c r="H594" s="9" t="s">
        <v>31</v>
      </c>
      <c r="I594" s="3"/>
      <c r="J594" s="3"/>
      <c r="K594" s="9"/>
    </row>
    <row r="595" ht="15.75" customHeight="1">
      <c r="A595" s="10" t="s">
        <v>12</v>
      </c>
      <c r="B595" s="10" t="s">
        <v>14</v>
      </c>
      <c r="C595" s="10" t="s">
        <v>3338</v>
      </c>
      <c r="D595" s="11" t="str">
        <f t="shared" si="1"/>
        <v>Abrir anúncio ↗</v>
      </c>
      <c r="E595" s="12" t="s">
        <v>3339</v>
      </c>
      <c r="F595" s="10" t="s">
        <v>29</v>
      </c>
      <c r="G595" s="12" t="s">
        <v>30</v>
      </c>
      <c r="H595" s="12" t="s">
        <v>31</v>
      </c>
      <c r="I595" s="10"/>
      <c r="J595" s="10"/>
      <c r="K595" s="12"/>
    </row>
    <row r="596" ht="15.75" customHeight="1">
      <c r="A596" s="3" t="s">
        <v>12</v>
      </c>
      <c r="B596" s="3" t="s">
        <v>14</v>
      </c>
      <c r="C596" s="3" t="s">
        <v>3345</v>
      </c>
      <c r="D596" s="8" t="str">
        <f t="shared" si="1"/>
        <v>Abrir anúncio ↗</v>
      </c>
      <c r="E596" s="9" t="s">
        <v>3347</v>
      </c>
      <c r="F596" s="3" t="s">
        <v>29</v>
      </c>
      <c r="G596" s="9" t="s">
        <v>30</v>
      </c>
      <c r="H596" s="9" t="s">
        <v>31</v>
      </c>
      <c r="I596" s="3"/>
      <c r="J596" s="3"/>
      <c r="K596" s="9"/>
    </row>
    <row r="597" ht="15.75" customHeight="1">
      <c r="A597" s="10" t="s">
        <v>12</v>
      </c>
      <c r="B597" s="10" t="s">
        <v>14</v>
      </c>
      <c r="C597" s="10" t="s">
        <v>3348</v>
      </c>
      <c r="D597" s="11" t="str">
        <f t="shared" si="1"/>
        <v>Abrir anúncio ↗</v>
      </c>
      <c r="E597" s="12" t="s">
        <v>3350</v>
      </c>
      <c r="F597" s="10" t="s">
        <v>29</v>
      </c>
      <c r="G597" s="12" t="s">
        <v>30</v>
      </c>
      <c r="H597" s="12" t="s">
        <v>31</v>
      </c>
      <c r="I597" s="10"/>
      <c r="J597" s="10"/>
      <c r="K597" s="12"/>
    </row>
    <row r="598" ht="15.75" customHeight="1">
      <c r="A598" s="3" t="s">
        <v>12</v>
      </c>
      <c r="B598" s="3" t="s">
        <v>14</v>
      </c>
      <c r="C598" s="3" t="s">
        <v>3356</v>
      </c>
      <c r="D598" s="8" t="str">
        <f t="shared" si="1"/>
        <v>Abrir anúncio ↗</v>
      </c>
      <c r="E598" s="9" t="s">
        <v>3357</v>
      </c>
      <c r="F598" s="3" t="s">
        <v>29</v>
      </c>
      <c r="G598" s="9" t="s">
        <v>30</v>
      </c>
      <c r="H598" s="9" t="s">
        <v>31</v>
      </c>
      <c r="I598" s="3"/>
      <c r="J598" s="3"/>
      <c r="K598" s="9"/>
    </row>
    <row r="599" ht="15.75" customHeight="1">
      <c r="A599" s="10" t="s">
        <v>12</v>
      </c>
      <c r="B599" s="10" t="s">
        <v>14</v>
      </c>
      <c r="C599" s="10" t="s">
        <v>3359</v>
      </c>
      <c r="D599" s="11" t="str">
        <f t="shared" si="1"/>
        <v>Abrir anúncio ↗</v>
      </c>
      <c r="E599" s="12" t="s">
        <v>3362</v>
      </c>
      <c r="F599" s="10" t="s">
        <v>29</v>
      </c>
      <c r="G599" s="12" t="s">
        <v>30</v>
      </c>
      <c r="H599" s="12" t="s">
        <v>31</v>
      </c>
      <c r="I599" s="10"/>
      <c r="J599" s="10"/>
      <c r="K599" s="12"/>
    </row>
    <row r="600" ht="15.75" customHeight="1">
      <c r="A600" s="3" t="s">
        <v>12</v>
      </c>
      <c r="B600" s="3" t="s">
        <v>14</v>
      </c>
      <c r="C600" s="3" t="s">
        <v>3365</v>
      </c>
      <c r="D600" s="8" t="str">
        <f t="shared" si="1"/>
        <v>Abrir anúncio ↗</v>
      </c>
      <c r="E600" s="9" t="s">
        <v>3367</v>
      </c>
      <c r="F600" s="3" t="s">
        <v>29</v>
      </c>
      <c r="G600" s="9" t="s">
        <v>30</v>
      </c>
      <c r="H600" s="9" t="s">
        <v>31</v>
      </c>
      <c r="I600" s="3"/>
      <c r="J600" s="3"/>
      <c r="K600" s="9"/>
    </row>
    <row r="601" ht="15.75" customHeight="1">
      <c r="A601" s="10" t="s">
        <v>12</v>
      </c>
      <c r="B601" s="10" t="s">
        <v>14</v>
      </c>
      <c r="C601" s="10" t="s">
        <v>3372</v>
      </c>
      <c r="D601" s="11" t="str">
        <f t="shared" si="1"/>
        <v>Abrir anúncio ↗</v>
      </c>
      <c r="E601" s="12" t="s">
        <v>3374</v>
      </c>
      <c r="F601" s="10" t="s">
        <v>29</v>
      </c>
      <c r="G601" s="12" t="s">
        <v>30</v>
      </c>
      <c r="H601" s="12" t="s">
        <v>31</v>
      </c>
      <c r="I601" s="10"/>
      <c r="J601" s="10"/>
      <c r="K601" s="12"/>
    </row>
    <row r="602" ht="15.75" customHeight="1">
      <c r="A602" s="3" t="s">
        <v>12</v>
      </c>
      <c r="B602" s="3" t="s">
        <v>14</v>
      </c>
      <c r="C602" s="3" t="s">
        <v>3376</v>
      </c>
      <c r="D602" s="8" t="str">
        <f t="shared" si="1"/>
        <v>Abrir anúncio ↗</v>
      </c>
      <c r="E602" s="9" t="s">
        <v>3379</v>
      </c>
      <c r="F602" s="3" t="s">
        <v>29</v>
      </c>
      <c r="G602" s="9" t="s">
        <v>30</v>
      </c>
      <c r="H602" s="9" t="s">
        <v>31</v>
      </c>
      <c r="I602" s="3"/>
      <c r="J602" s="3"/>
      <c r="K602" s="9"/>
    </row>
    <row r="603" ht="15.75" customHeight="1">
      <c r="A603" s="10" t="s">
        <v>12</v>
      </c>
      <c r="B603" s="10" t="s">
        <v>14</v>
      </c>
      <c r="C603" s="10" t="s">
        <v>3382</v>
      </c>
      <c r="D603" s="11" t="str">
        <f t="shared" si="1"/>
        <v>Abrir anúncio ↗</v>
      </c>
      <c r="E603" s="12" t="s">
        <v>3383</v>
      </c>
      <c r="F603" s="10" t="s">
        <v>29</v>
      </c>
      <c r="G603" s="12" t="s">
        <v>30</v>
      </c>
      <c r="H603" s="12" t="s">
        <v>31</v>
      </c>
      <c r="I603" s="10"/>
      <c r="J603" s="10"/>
      <c r="K603" s="12"/>
    </row>
    <row r="604" ht="15.75" customHeight="1">
      <c r="A604" s="3" t="s">
        <v>12</v>
      </c>
      <c r="B604" s="3" t="s">
        <v>14</v>
      </c>
      <c r="C604" s="3" t="s">
        <v>3386</v>
      </c>
      <c r="D604" s="8" t="str">
        <f t="shared" si="1"/>
        <v>Abrir anúncio ↗</v>
      </c>
      <c r="E604" s="9" t="s">
        <v>3388</v>
      </c>
      <c r="F604" s="3" t="s">
        <v>29</v>
      </c>
      <c r="G604" s="9" t="s">
        <v>30</v>
      </c>
      <c r="H604" s="9" t="s">
        <v>31</v>
      </c>
      <c r="I604" s="3"/>
      <c r="J604" s="3"/>
      <c r="K604" s="9"/>
    </row>
    <row r="605" ht="15.75" customHeight="1">
      <c r="A605" s="10" t="s">
        <v>12</v>
      </c>
      <c r="B605" s="10" t="s">
        <v>14</v>
      </c>
      <c r="C605" s="10" t="s">
        <v>3393</v>
      </c>
      <c r="D605" s="11" t="str">
        <f t="shared" si="1"/>
        <v>Abrir anúncio ↗</v>
      </c>
      <c r="E605" s="12" t="s">
        <v>3394</v>
      </c>
      <c r="F605" s="10" t="s">
        <v>29</v>
      </c>
      <c r="G605" s="12" t="s">
        <v>30</v>
      </c>
      <c r="H605" s="12" t="s">
        <v>31</v>
      </c>
      <c r="I605" s="10"/>
      <c r="J605" s="10"/>
      <c r="K605" s="12"/>
    </row>
    <row r="606" ht="15.75" customHeight="1">
      <c r="A606" s="3" t="s">
        <v>12</v>
      </c>
      <c r="B606" s="3" t="s">
        <v>14</v>
      </c>
      <c r="C606" s="3" t="s">
        <v>3398</v>
      </c>
      <c r="D606" s="8" t="str">
        <f t="shared" si="1"/>
        <v>Abrir anúncio ↗</v>
      </c>
      <c r="E606" s="9" t="s">
        <v>3401</v>
      </c>
      <c r="F606" s="3" t="s">
        <v>29</v>
      </c>
      <c r="G606" s="9" t="s">
        <v>30</v>
      </c>
      <c r="H606" s="9" t="s">
        <v>31</v>
      </c>
      <c r="I606" s="3"/>
      <c r="J606" s="3"/>
      <c r="K606" s="9"/>
    </row>
    <row r="607" ht="15.75" customHeight="1">
      <c r="A607" s="10" t="s">
        <v>12</v>
      </c>
      <c r="B607" s="10" t="s">
        <v>14</v>
      </c>
      <c r="C607" s="10" t="s">
        <v>3405</v>
      </c>
      <c r="D607" s="11" t="str">
        <f t="shared" si="1"/>
        <v>Abrir anúncio ↗</v>
      </c>
      <c r="E607" s="12" t="s">
        <v>3406</v>
      </c>
      <c r="F607" s="10" t="s">
        <v>29</v>
      </c>
      <c r="G607" s="12" t="s">
        <v>30</v>
      </c>
      <c r="H607" s="12" t="s">
        <v>31</v>
      </c>
      <c r="I607" s="10"/>
      <c r="J607" s="10"/>
      <c r="K607" s="12"/>
    </row>
    <row r="608" ht="15.75" customHeight="1">
      <c r="A608" s="3" t="s">
        <v>12</v>
      </c>
      <c r="B608" s="3" t="s">
        <v>14</v>
      </c>
      <c r="C608" s="3" t="s">
        <v>3409</v>
      </c>
      <c r="D608" s="8" t="str">
        <f t="shared" si="1"/>
        <v>Abrir anúncio ↗</v>
      </c>
      <c r="E608" s="9" t="s">
        <v>3412</v>
      </c>
      <c r="F608" s="3" t="s">
        <v>29</v>
      </c>
      <c r="G608" s="9" t="s">
        <v>30</v>
      </c>
      <c r="H608" s="9" t="s">
        <v>31</v>
      </c>
      <c r="I608" s="3"/>
      <c r="J608" s="3"/>
      <c r="K608" s="9"/>
    </row>
    <row r="609" ht="15.75" customHeight="1">
      <c r="A609" s="10" t="s">
        <v>12</v>
      </c>
      <c r="B609" s="10" t="s">
        <v>14</v>
      </c>
      <c r="C609" s="10" t="s">
        <v>3417</v>
      </c>
      <c r="D609" s="11" t="str">
        <f t="shared" si="1"/>
        <v>Abrir anúncio ↗</v>
      </c>
      <c r="E609" s="12" t="s">
        <v>3418</v>
      </c>
      <c r="F609" s="10" t="s">
        <v>29</v>
      </c>
      <c r="G609" s="12" t="s">
        <v>30</v>
      </c>
      <c r="H609" s="12" t="s">
        <v>31</v>
      </c>
      <c r="I609" s="10"/>
      <c r="J609" s="10"/>
      <c r="K609" s="12"/>
    </row>
    <row r="610" ht="15.75" customHeight="1">
      <c r="A610" s="3" t="s">
        <v>12</v>
      </c>
      <c r="B610" s="3" t="s">
        <v>14</v>
      </c>
      <c r="C610" s="3" t="s">
        <v>3423</v>
      </c>
      <c r="D610" s="8" t="str">
        <f t="shared" si="1"/>
        <v>Abrir anúncio ↗</v>
      </c>
      <c r="E610" s="9" t="s">
        <v>3427</v>
      </c>
      <c r="F610" s="3" t="s">
        <v>29</v>
      </c>
      <c r="G610" s="9" t="s">
        <v>30</v>
      </c>
      <c r="H610" s="9" t="s">
        <v>31</v>
      </c>
      <c r="I610" s="3"/>
      <c r="J610" s="3"/>
      <c r="K610" s="9"/>
    </row>
    <row r="611" ht="15.75" customHeight="1">
      <c r="A611" s="10" t="s">
        <v>12</v>
      </c>
      <c r="B611" s="10" t="s">
        <v>14</v>
      </c>
      <c r="C611" s="10" t="s">
        <v>3430</v>
      </c>
      <c r="D611" s="11" t="str">
        <f t="shared" si="1"/>
        <v>Abrir anúncio ↗</v>
      </c>
      <c r="E611" s="12" t="s">
        <v>3432</v>
      </c>
      <c r="F611" s="10" t="s">
        <v>29</v>
      </c>
      <c r="G611" s="12" t="s">
        <v>30</v>
      </c>
      <c r="H611" s="12" t="s">
        <v>31</v>
      </c>
      <c r="I611" s="10"/>
      <c r="J611" s="10"/>
      <c r="K611" s="12"/>
    </row>
    <row r="612" ht="15.75" customHeight="1">
      <c r="A612" s="3" t="s">
        <v>12</v>
      </c>
      <c r="B612" s="3" t="s">
        <v>14</v>
      </c>
      <c r="C612" s="3" t="s">
        <v>3435</v>
      </c>
      <c r="D612" s="8" t="str">
        <f t="shared" si="1"/>
        <v>Abrir anúncio ↗</v>
      </c>
      <c r="E612" s="9" t="s">
        <v>3437</v>
      </c>
      <c r="F612" s="3" t="s">
        <v>29</v>
      </c>
      <c r="G612" s="9" t="s">
        <v>30</v>
      </c>
      <c r="H612" s="9" t="s">
        <v>31</v>
      </c>
      <c r="I612" s="3"/>
      <c r="J612" s="3"/>
      <c r="K612" s="9"/>
    </row>
    <row r="613" ht="15.75" customHeight="1">
      <c r="A613" s="10" t="s">
        <v>12</v>
      </c>
      <c r="B613" s="10" t="s">
        <v>14</v>
      </c>
      <c r="C613" s="10" t="s">
        <v>3443</v>
      </c>
      <c r="D613" s="11" t="str">
        <f t="shared" si="1"/>
        <v>Abrir anúncio ↗</v>
      </c>
      <c r="E613" s="12" t="s">
        <v>3445</v>
      </c>
      <c r="F613" s="10" t="s">
        <v>29</v>
      </c>
      <c r="G613" s="12" t="s">
        <v>30</v>
      </c>
      <c r="H613" s="12" t="s">
        <v>31</v>
      </c>
      <c r="I613" s="10"/>
      <c r="J613" s="10"/>
      <c r="K613" s="12"/>
    </row>
    <row r="614" ht="15.75" customHeight="1">
      <c r="A614" s="3" t="s">
        <v>12</v>
      </c>
      <c r="B614" s="3" t="s">
        <v>14</v>
      </c>
      <c r="C614" s="3" t="s">
        <v>3447</v>
      </c>
      <c r="D614" s="8" t="str">
        <f t="shared" si="1"/>
        <v>Abrir anúncio ↗</v>
      </c>
      <c r="E614" s="9" t="s">
        <v>3448</v>
      </c>
      <c r="F614" s="3" t="s">
        <v>29</v>
      </c>
      <c r="G614" s="9" t="s">
        <v>30</v>
      </c>
      <c r="H614" s="9" t="s">
        <v>31</v>
      </c>
      <c r="I614" s="3"/>
      <c r="J614" s="3"/>
      <c r="K614" s="9"/>
    </row>
    <row r="615" ht="15.75" customHeight="1">
      <c r="A615" s="10" t="s">
        <v>12</v>
      </c>
      <c r="B615" s="10" t="s">
        <v>14</v>
      </c>
      <c r="C615" s="10" t="s">
        <v>3454</v>
      </c>
      <c r="D615" s="11" t="str">
        <f t="shared" si="1"/>
        <v>Abrir anúncio ↗</v>
      </c>
      <c r="E615" s="12" t="s">
        <v>3456</v>
      </c>
      <c r="F615" s="10" t="s">
        <v>29</v>
      </c>
      <c r="G615" s="12" t="s">
        <v>30</v>
      </c>
      <c r="H615" s="12" t="s">
        <v>31</v>
      </c>
      <c r="I615" s="10"/>
      <c r="J615" s="10"/>
      <c r="K615" s="12"/>
    </row>
    <row r="616" ht="15.75" customHeight="1">
      <c r="A616" s="3" t="s">
        <v>12</v>
      </c>
      <c r="B616" s="3" t="s">
        <v>14</v>
      </c>
      <c r="C616" s="3" t="s">
        <v>3458</v>
      </c>
      <c r="D616" s="8" t="str">
        <f t="shared" si="1"/>
        <v>Abrir anúncio ↗</v>
      </c>
      <c r="E616" s="9" t="s">
        <v>3459</v>
      </c>
      <c r="F616" s="3" t="s">
        <v>29</v>
      </c>
      <c r="G616" s="9" t="s">
        <v>744</v>
      </c>
      <c r="H616" s="9" t="s">
        <v>745</v>
      </c>
      <c r="I616" s="3"/>
      <c r="J616" s="3"/>
      <c r="K616" s="9"/>
    </row>
    <row r="617" ht="15.75" customHeight="1">
      <c r="A617" s="10" t="s">
        <v>12</v>
      </c>
      <c r="B617" s="10" t="s">
        <v>14</v>
      </c>
      <c r="C617" s="10" t="s">
        <v>3465</v>
      </c>
      <c r="D617" s="11" t="str">
        <f t="shared" si="1"/>
        <v>Abrir anúncio ↗</v>
      </c>
      <c r="E617" s="12" t="s">
        <v>237</v>
      </c>
      <c r="F617" s="10" t="s">
        <v>86</v>
      </c>
      <c r="G617" s="12" t="s">
        <v>238</v>
      </c>
      <c r="H617" s="12" t="s">
        <v>240</v>
      </c>
      <c r="I617" s="10"/>
      <c r="J617" s="10"/>
      <c r="K617" s="12"/>
    </row>
    <row r="618" ht="15.75" customHeight="1">
      <c r="A618" s="3" t="s">
        <v>12</v>
      </c>
      <c r="B618" s="3" t="s">
        <v>14</v>
      </c>
      <c r="C618" s="3" t="s">
        <v>3469</v>
      </c>
      <c r="D618" s="8" t="str">
        <f t="shared" si="1"/>
        <v>Abrir anúncio ↗</v>
      </c>
      <c r="E618" s="9" t="s">
        <v>437</v>
      </c>
      <c r="F618" s="3" t="s">
        <v>29</v>
      </c>
      <c r="G618" s="9" t="s">
        <v>744</v>
      </c>
      <c r="H618" s="9" t="s">
        <v>745</v>
      </c>
      <c r="I618" s="3"/>
      <c r="J618" s="3"/>
      <c r="K618" s="9"/>
    </row>
    <row r="619" ht="15.75" customHeight="1">
      <c r="A619" s="10" t="s">
        <v>12</v>
      </c>
      <c r="B619" s="10" t="s">
        <v>14</v>
      </c>
      <c r="C619" s="10" t="s">
        <v>3473</v>
      </c>
      <c r="D619" s="11" t="str">
        <f t="shared" si="1"/>
        <v>Abrir anúncio ↗</v>
      </c>
      <c r="E619" s="12" t="s">
        <v>3474</v>
      </c>
      <c r="F619" s="10" t="s">
        <v>29</v>
      </c>
      <c r="G619" s="12" t="s">
        <v>30</v>
      </c>
      <c r="H619" s="12" t="s">
        <v>31</v>
      </c>
      <c r="I619" s="10"/>
      <c r="J619" s="10"/>
      <c r="K619" s="12"/>
    </row>
    <row r="620" ht="15.75" customHeight="1">
      <c r="A620" s="3" t="s">
        <v>12</v>
      </c>
      <c r="B620" s="3" t="s">
        <v>14</v>
      </c>
      <c r="C620" s="3" t="s">
        <v>3478</v>
      </c>
      <c r="D620" s="8" t="str">
        <f t="shared" si="1"/>
        <v>Abrir anúncio ↗</v>
      </c>
      <c r="E620" s="9" t="s">
        <v>237</v>
      </c>
      <c r="F620" s="3" t="s">
        <v>29</v>
      </c>
      <c r="G620" s="9" t="s">
        <v>238</v>
      </c>
      <c r="H620" s="9" t="s">
        <v>240</v>
      </c>
      <c r="I620" s="3"/>
      <c r="J620" s="3"/>
      <c r="K620" s="9"/>
    </row>
    <row r="621" ht="15.75" customHeight="1">
      <c r="A621" s="10" t="s">
        <v>12</v>
      </c>
      <c r="B621" s="10" t="s">
        <v>14</v>
      </c>
      <c r="C621" s="10" t="s">
        <v>3484</v>
      </c>
      <c r="D621" s="11" t="str">
        <f t="shared" si="1"/>
        <v>Abrir anúncio ↗</v>
      </c>
      <c r="E621" s="12" t="s">
        <v>3485</v>
      </c>
      <c r="F621" s="10" t="s">
        <v>29</v>
      </c>
      <c r="G621" s="12" t="s">
        <v>238</v>
      </c>
      <c r="H621" s="12" t="s">
        <v>3487</v>
      </c>
      <c r="I621" s="10"/>
      <c r="J621" s="10"/>
      <c r="K621" s="12"/>
    </row>
    <row r="622" ht="15.75" customHeight="1">
      <c r="A622" s="3" t="s">
        <v>12</v>
      </c>
      <c r="B622" s="3" t="s">
        <v>14</v>
      </c>
      <c r="C622" s="3" t="s">
        <v>3488</v>
      </c>
      <c r="D622" s="8" t="str">
        <f t="shared" si="1"/>
        <v>Abrir anúncio ↗</v>
      </c>
      <c r="E622" s="9" t="s">
        <v>3490</v>
      </c>
      <c r="F622" s="3" t="s">
        <v>29</v>
      </c>
      <c r="G622" s="9" t="s">
        <v>30</v>
      </c>
      <c r="H622" s="9" t="s">
        <v>31</v>
      </c>
      <c r="I622" s="3"/>
      <c r="J622" s="3"/>
      <c r="K622" s="9"/>
    </row>
    <row r="623" ht="15.75" customHeight="1">
      <c r="A623" s="10" t="s">
        <v>12</v>
      </c>
      <c r="B623" s="10" t="s">
        <v>82</v>
      </c>
      <c r="C623" s="10" t="s">
        <v>3496</v>
      </c>
      <c r="D623" s="11" t="str">
        <f t="shared" si="1"/>
        <v>Abrir anúncio ↗</v>
      </c>
      <c r="E623" s="12" t="s">
        <v>3498</v>
      </c>
      <c r="F623" s="10" t="s">
        <v>29</v>
      </c>
      <c r="G623" s="12" t="s">
        <v>492</v>
      </c>
      <c r="H623" s="12" t="s">
        <v>3499</v>
      </c>
      <c r="I623" s="10"/>
      <c r="J623" s="10"/>
      <c r="K623" s="12"/>
    </row>
    <row r="624" ht="15.75" customHeight="1">
      <c r="A624" s="3" t="s">
        <v>12</v>
      </c>
      <c r="B624" s="3" t="s">
        <v>82</v>
      </c>
      <c r="C624" s="3" t="s">
        <v>3500</v>
      </c>
      <c r="D624" s="8" t="str">
        <f t="shared" si="1"/>
        <v>Abrir anúncio ↗</v>
      </c>
      <c r="E624" s="9" t="s">
        <v>3501</v>
      </c>
      <c r="F624" s="3" t="s">
        <v>29</v>
      </c>
      <c r="G624" s="9" t="s">
        <v>87</v>
      </c>
      <c r="H624" s="9" t="s">
        <v>126</v>
      </c>
      <c r="I624" s="3"/>
      <c r="J624" s="3"/>
      <c r="K624" s="9"/>
    </row>
    <row r="625" ht="15.75" customHeight="1">
      <c r="A625" s="10" t="s">
        <v>12</v>
      </c>
      <c r="B625" s="10" t="s">
        <v>82</v>
      </c>
      <c r="C625" s="10" t="s">
        <v>3508</v>
      </c>
      <c r="D625" s="11" t="str">
        <f t="shared" si="1"/>
        <v>Abrir anúncio ↗</v>
      </c>
      <c r="E625" s="12" t="s">
        <v>3510</v>
      </c>
      <c r="F625" s="10" t="s">
        <v>86</v>
      </c>
      <c r="G625" s="12" t="s">
        <v>1478</v>
      </c>
      <c r="H625" s="12" t="s">
        <v>1480</v>
      </c>
      <c r="I625" s="10"/>
      <c r="J625" s="10"/>
      <c r="K625" s="12"/>
    </row>
    <row r="626" ht="15.75" customHeight="1">
      <c r="A626" s="3" t="s">
        <v>12</v>
      </c>
      <c r="B626" s="3" t="s">
        <v>82</v>
      </c>
      <c r="C626" s="3" t="s">
        <v>3511</v>
      </c>
      <c r="D626" s="8" t="str">
        <f t="shared" si="1"/>
        <v>Abrir anúncio ↗</v>
      </c>
      <c r="E626" s="9" t="s">
        <v>3515</v>
      </c>
      <c r="F626" s="3" t="s">
        <v>29</v>
      </c>
      <c r="G626" s="9" t="s">
        <v>99</v>
      </c>
      <c r="H626" s="9" t="s">
        <v>143</v>
      </c>
      <c r="I626" s="3"/>
      <c r="J626" s="3"/>
      <c r="K626" s="9"/>
    </row>
    <row r="627" ht="15.75" customHeight="1">
      <c r="A627" s="10" t="s">
        <v>12</v>
      </c>
      <c r="B627" s="10" t="s">
        <v>82</v>
      </c>
      <c r="C627" s="10" t="s">
        <v>3519</v>
      </c>
      <c r="D627" s="11" t="str">
        <f t="shared" si="1"/>
        <v>Abrir anúncio ↗</v>
      </c>
      <c r="E627" s="12" t="s">
        <v>3520</v>
      </c>
      <c r="F627" s="10" t="s">
        <v>29</v>
      </c>
      <c r="G627" s="12" t="s">
        <v>3521</v>
      </c>
      <c r="H627" s="12" t="s">
        <v>3522</v>
      </c>
      <c r="I627" s="10"/>
      <c r="J627" s="10"/>
      <c r="K627" s="12"/>
    </row>
    <row r="628" ht="15.75" customHeight="1">
      <c r="A628" s="3" t="s">
        <v>12</v>
      </c>
      <c r="B628" s="3" t="s">
        <v>82</v>
      </c>
      <c r="C628" s="3" t="s">
        <v>3524</v>
      </c>
      <c r="D628" s="8" t="str">
        <f t="shared" si="1"/>
        <v>Abrir anúncio ↗</v>
      </c>
      <c r="E628" s="9" t="s">
        <v>3528</v>
      </c>
      <c r="F628" s="3" t="s">
        <v>29</v>
      </c>
      <c r="G628" s="9" t="s">
        <v>87</v>
      </c>
      <c r="H628" s="9" t="s">
        <v>126</v>
      </c>
      <c r="I628" s="3"/>
      <c r="J628" s="3"/>
      <c r="K628" s="9"/>
    </row>
    <row r="629" ht="15.75" customHeight="1">
      <c r="A629" s="10" t="s">
        <v>12</v>
      </c>
      <c r="B629" s="10" t="s">
        <v>82</v>
      </c>
      <c r="C629" s="10" t="s">
        <v>3532</v>
      </c>
      <c r="D629" s="11" t="str">
        <f t="shared" si="1"/>
        <v>Abrir anúncio ↗</v>
      </c>
      <c r="E629" s="12" t="s">
        <v>3533</v>
      </c>
      <c r="F629" s="10" t="s">
        <v>29</v>
      </c>
      <c r="G629" s="12" t="s">
        <v>99</v>
      </c>
      <c r="H629" s="12" t="s">
        <v>143</v>
      </c>
      <c r="I629" s="10"/>
      <c r="J629" s="10"/>
      <c r="K629" s="12"/>
    </row>
    <row r="630" ht="15.75" customHeight="1">
      <c r="A630" s="3" t="s">
        <v>12</v>
      </c>
      <c r="B630" s="3" t="s">
        <v>82</v>
      </c>
      <c r="C630" s="3" t="s">
        <v>3537</v>
      </c>
      <c r="D630" s="8" t="str">
        <f t="shared" si="1"/>
        <v>Abrir anúncio ↗</v>
      </c>
      <c r="E630" s="9" t="s">
        <v>3540</v>
      </c>
      <c r="F630" s="3" t="s">
        <v>29</v>
      </c>
      <c r="G630" s="9" t="s">
        <v>99</v>
      </c>
      <c r="H630" s="9" t="s">
        <v>143</v>
      </c>
      <c r="I630" s="3"/>
      <c r="J630" s="3"/>
      <c r="K630" s="9"/>
    </row>
    <row r="631" ht="15.75" customHeight="1">
      <c r="A631" s="10" t="s">
        <v>12</v>
      </c>
      <c r="B631" s="10" t="s">
        <v>82</v>
      </c>
      <c r="C631" s="10" t="s">
        <v>3542</v>
      </c>
      <c r="D631" s="11" t="str">
        <f t="shared" si="1"/>
        <v>Abrir anúncio ↗</v>
      </c>
      <c r="E631" s="12" t="s">
        <v>3544</v>
      </c>
      <c r="F631" s="10" t="s">
        <v>29</v>
      </c>
      <c r="G631" s="12" t="s">
        <v>99</v>
      </c>
      <c r="H631" s="12" t="s">
        <v>3547</v>
      </c>
      <c r="I631" s="10"/>
      <c r="J631" s="10"/>
      <c r="K631" s="12"/>
    </row>
    <row r="632" ht="15.75" customHeight="1">
      <c r="A632" s="3" t="s">
        <v>12</v>
      </c>
      <c r="B632" s="3" t="s">
        <v>82</v>
      </c>
      <c r="C632" s="3" t="s">
        <v>3550</v>
      </c>
      <c r="D632" s="8" t="str">
        <f t="shared" si="1"/>
        <v>Abrir anúncio ↗</v>
      </c>
      <c r="E632" s="9" t="s">
        <v>3552</v>
      </c>
      <c r="F632" s="3" t="s">
        <v>29</v>
      </c>
      <c r="G632" s="9" t="s">
        <v>99</v>
      </c>
      <c r="H632" s="9" t="s">
        <v>3547</v>
      </c>
      <c r="I632" s="3"/>
      <c r="J632" s="3"/>
      <c r="K632" s="9"/>
    </row>
    <row r="633" ht="15.75" customHeight="1">
      <c r="A633" s="10" t="s">
        <v>12</v>
      </c>
      <c r="B633" s="10" t="s">
        <v>82</v>
      </c>
      <c r="C633" s="10" t="s">
        <v>3556</v>
      </c>
      <c r="D633" s="11" t="str">
        <f t="shared" si="1"/>
        <v>Abrir anúncio ↗</v>
      </c>
      <c r="E633" s="12" t="s">
        <v>3558</v>
      </c>
      <c r="F633" s="10" t="s">
        <v>29</v>
      </c>
      <c r="G633" s="12" t="s">
        <v>99</v>
      </c>
      <c r="H633" s="12" t="s">
        <v>3547</v>
      </c>
      <c r="I633" s="10"/>
      <c r="J633" s="10"/>
      <c r="K633" s="12"/>
    </row>
    <row r="634" ht="15.75" customHeight="1">
      <c r="A634" s="3" t="s">
        <v>12</v>
      </c>
      <c r="B634" s="3" t="s">
        <v>82</v>
      </c>
      <c r="C634" s="3" t="s">
        <v>3561</v>
      </c>
      <c r="D634" s="8" t="str">
        <f t="shared" si="1"/>
        <v>Abrir anúncio ↗</v>
      </c>
      <c r="E634" s="9" t="s">
        <v>3562</v>
      </c>
      <c r="F634" s="3" t="s">
        <v>29</v>
      </c>
      <c r="G634" s="9" t="s">
        <v>99</v>
      </c>
      <c r="H634" s="9" t="s">
        <v>3547</v>
      </c>
      <c r="I634" s="3"/>
      <c r="J634" s="3"/>
      <c r="K634" s="9"/>
    </row>
    <row r="635" ht="15.75" customHeight="1">
      <c r="A635" s="10" t="s">
        <v>12</v>
      </c>
      <c r="B635" s="10" t="s">
        <v>82</v>
      </c>
      <c r="C635" s="10" t="s">
        <v>3566</v>
      </c>
      <c r="D635" s="11" t="str">
        <f t="shared" si="1"/>
        <v>Abrir anúncio ↗</v>
      </c>
      <c r="E635" s="12" t="s">
        <v>3568</v>
      </c>
      <c r="F635" s="10" t="s">
        <v>29</v>
      </c>
      <c r="G635" s="12" t="s">
        <v>99</v>
      </c>
      <c r="H635" s="12" t="s">
        <v>143</v>
      </c>
      <c r="I635" s="10"/>
      <c r="J635" s="10"/>
      <c r="K635" s="12"/>
    </row>
    <row r="636" ht="15.75" customHeight="1">
      <c r="A636" s="3" t="s">
        <v>12</v>
      </c>
      <c r="B636" s="3" t="s">
        <v>82</v>
      </c>
      <c r="C636" s="3" t="s">
        <v>3570</v>
      </c>
      <c r="D636" s="8" t="str">
        <f t="shared" si="1"/>
        <v>Abrir anúncio ↗</v>
      </c>
      <c r="E636" s="9" t="s">
        <v>3572</v>
      </c>
      <c r="F636" s="3" t="s">
        <v>29</v>
      </c>
      <c r="G636" s="9" t="s">
        <v>99</v>
      </c>
      <c r="H636" s="9" t="s">
        <v>143</v>
      </c>
      <c r="I636" s="3"/>
      <c r="J636" s="3"/>
      <c r="K636" s="9"/>
    </row>
    <row r="637" ht="15.75" customHeight="1">
      <c r="A637" s="10" t="s">
        <v>12</v>
      </c>
      <c r="B637" s="10" t="s">
        <v>82</v>
      </c>
      <c r="C637" s="10" t="s">
        <v>3577</v>
      </c>
      <c r="D637" s="11" t="str">
        <f t="shared" si="1"/>
        <v>Abrir anúncio ↗</v>
      </c>
      <c r="E637" s="12" t="s">
        <v>3579</v>
      </c>
      <c r="F637" s="10" t="s">
        <v>29</v>
      </c>
      <c r="G637" s="12" t="s">
        <v>99</v>
      </c>
      <c r="H637" s="12" t="s">
        <v>143</v>
      </c>
      <c r="I637" s="10"/>
      <c r="J637" s="10"/>
      <c r="K637" s="12"/>
    </row>
    <row r="638" ht="15.75" customHeight="1">
      <c r="A638" s="3" t="s">
        <v>12</v>
      </c>
      <c r="B638" s="3" t="s">
        <v>82</v>
      </c>
      <c r="C638" s="3" t="s">
        <v>3583</v>
      </c>
      <c r="D638" s="8" t="str">
        <f t="shared" si="1"/>
        <v>Abrir anúncio ↗</v>
      </c>
      <c r="E638" s="9" t="s">
        <v>3585</v>
      </c>
      <c r="F638" s="3" t="s">
        <v>29</v>
      </c>
      <c r="G638" s="9" t="s">
        <v>99</v>
      </c>
      <c r="H638" s="9" t="s">
        <v>143</v>
      </c>
      <c r="I638" s="3"/>
      <c r="J638" s="3"/>
      <c r="K638" s="9"/>
    </row>
    <row r="639" ht="15.75" customHeight="1">
      <c r="A639" s="10" t="s">
        <v>12</v>
      </c>
      <c r="B639" s="10" t="s">
        <v>82</v>
      </c>
      <c r="C639" s="10" t="s">
        <v>3590</v>
      </c>
      <c r="D639" s="11" t="str">
        <f t="shared" si="1"/>
        <v>Abrir anúncio ↗</v>
      </c>
      <c r="E639" s="12" t="s">
        <v>3592</v>
      </c>
      <c r="F639" s="10" t="s">
        <v>29</v>
      </c>
      <c r="G639" s="12" t="s">
        <v>99</v>
      </c>
      <c r="H639" s="12" t="s">
        <v>143</v>
      </c>
      <c r="I639" s="10"/>
      <c r="J639" s="10"/>
      <c r="K639" s="12"/>
    </row>
    <row r="640" ht="15.75" customHeight="1">
      <c r="A640" s="3" t="s">
        <v>12</v>
      </c>
      <c r="B640" s="3" t="s">
        <v>82</v>
      </c>
      <c r="C640" s="3" t="s">
        <v>3595</v>
      </c>
      <c r="D640" s="8" t="str">
        <f t="shared" si="1"/>
        <v>Abrir anúncio ↗</v>
      </c>
      <c r="E640" s="9" t="s">
        <v>3598</v>
      </c>
      <c r="F640" s="3" t="s">
        <v>29</v>
      </c>
      <c r="G640" s="9" t="s">
        <v>99</v>
      </c>
      <c r="H640" s="9" t="s">
        <v>560</v>
      </c>
      <c r="I640" s="3"/>
      <c r="J640" s="3"/>
      <c r="K640" s="9"/>
    </row>
    <row r="641" ht="15.75" customHeight="1">
      <c r="A641" s="10" t="s">
        <v>12</v>
      </c>
      <c r="B641" s="10" t="s">
        <v>82</v>
      </c>
      <c r="C641" s="10" t="s">
        <v>3602</v>
      </c>
      <c r="D641" s="11" t="str">
        <f t="shared" si="1"/>
        <v>Abrir anúncio ↗</v>
      </c>
      <c r="E641" s="12" t="s">
        <v>3603</v>
      </c>
      <c r="F641" s="10" t="s">
        <v>29</v>
      </c>
      <c r="G641" s="12" t="s">
        <v>99</v>
      </c>
      <c r="H641" s="12" t="s">
        <v>143</v>
      </c>
      <c r="I641" s="10"/>
      <c r="J641" s="10"/>
      <c r="K641" s="12"/>
    </row>
    <row r="642" ht="15.75" customHeight="1">
      <c r="A642" s="3" t="s">
        <v>12</v>
      </c>
      <c r="B642" s="3" t="s">
        <v>82</v>
      </c>
      <c r="C642" s="3" t="s">
        <v>3609</v>
      </c>
      <c r="D642" s="8" t="str">
        <f t="shared" si="1"/>
        <v>Abrir anúncio ↗</v>
      </c>
      <c r="E642" s="9" t="s">
        <v>3612</v>
      </c>
      <c r="F642" s="3" t="s">
        <v>29</v>
      </c>
      <c r="G642" s="9" t="s">
        <v>2390</v>
      </c>
      <c r="H642" s="9" t="s">
        <v>2392</v>
      </c>
      <c r="I642" s="3"/>
      <c r="J642" s="3"/>
      <c r="K642" s="9"/>
    </row>
    <row r="643" ht="15.75" customHeight="1">
      <c r="A643" s="10" t="s">
        <v>12</v>
      </c>
      <c r="B643" s="10" t="s">
        <v>82</v>
      </c>
      <c r="C643" s="10" t="s">
        <v>3616</v>
      </c>
      <c r="D643" s="11" t="str">
        <f t="shared" si="1"/>
        <v>Abrir anúncio ↗</v>
      </c>
      <c r="E643" s="12" t="s">
        <v>3618</v>
      </c>
      <c r="F643" s="10" t="s">
        <v>29</v>
      </c>
      <c r="G643" s="12" t="s">
        <v>2390</v>
      </c>
      <c r="H643" s="12" t="s">
        <v>2392</v>
      </c>
      <c r="I643" s="10"/>
      <c r="J643" s="10"/>
      <c r="K643" s="12"/>
    </row>
    <row r="644" ht="15.75" customHeight="1">
      <c r="A644" s="3" t="s">
        <v>12</v>
      </c>
      <c r="B644" s="3" t="s">
        <v>82</v>
      </c>
      <c r="C644" s="3" t="s">
        <v>3621</v>
      </c>
      <c r="D644" s="8" t="str">
        <f t="shared" si="1"/>
        <v>Abrir anúncio ↗</v>
      </c>
      <c r="E644" s="9" t="s">
        <v>3623</v>
      </c>
      <c r="F644" s="3" t="s">
        <v>29</v>
      </c>
      <c r="G644" s="9" t="s">
        <v>99</v>
      </c>
      <c r="H644" s="9" t="s">
        <v>143</v>
      </c>
      <c r="I644" s="3"/>
      <c r="J644" s="3"/>
      <c r="K644" s="9"/>
    </row>
    <row r="645" ht="15.75" customHeight="1">
      <c r="A645" s="10" t="s">
        <v>12</v>
      </c>
      <c r="B645" s="10" t="s">
        <v>82</v>
      </c>
      <c r="C645" s="10" t="s">
        <v>3628</v>
      </c>
      <c r="D645" s="11" t="str">
        <f t="shared" si="1"/>
        <v>Abrir anúncio ↗</v>
      </c>
      <c r="E645" s="12" t="s">
        <v>3629</v>
      </c>
      <c r="F645" s="10" t="s">
        <v>29</v>
      </c>
      <c r="G645" s="12" t="s">
        <v>99</v>
      </c>
      <c r="H645" s="12" t="s">
        <v>143</v>
      </c>
      <c r="I645" s="10"/>
      <c r="J645" s="10"/>
      <c r="K645" s="12"/>
    </row>
    <row r="646" ht="15.75" customHeight="1">
      <c r="A646" s="3" t="s">
        <v>12</v>
      </c>
      <c r="B646" s="3" t="s">
        <v>82</v>
      </c>
      <c r="C646" s="3" t="s">
        <v>3633</v>
      </c>
      <c r="D646" s="8" t="str">
        <f t="shared" si="1"/>
        <v>Abrir anúncio ↗</v>
      </c>
      <c r="E646" s="9" t="s">
        <v>3636</v>
      </c>
      <c r="F646" s="3" t="s">
        <v>29</v>
      </c>
      <c r="G646" s="9" t="s">
        <v>99</v>
      </c>
      <c r="H646" s="9" t="s">
        <v>143</v>
      </c>
      <c r="I646" s="3"/>
      <c r="J646" s="3"/>
      <c r="K646" s="9"/>
    </row>
    <row r="647" ht="15.75" customHeight="1">
      <c r="A647" s="10" t="s">
        <v>12</v>
      </c>
      <c r="B647" s="10" t="s">
        <v>82</v>
      </c>
      <c r="C647" s="10" t="s">
        <v>3640</v>
      </c>
      <c r="D647" s="11" t="str">
        <f t="shared" si="1"/>
        <v>Abrir anúncio ↗</v>
      </c>
      <c r="E647" s="12" t="s">
        <v>3643</v>
      </c>
      <c r="F647" s="10" t="s">
        <v>29</v>
      </c>
      <c r="G647" s="12" t="s">
        <v>99</v>
      </c>
      <c r="H647" s="12" t="s">
        <v>143</v>
      </c>
      <c r="I647" s="10"/>
      <c r="J647" s="10"/>
      <c r="K647" s="12"/>
    </row>
    <row r="648" ht="15.75" customHeight="1">
      <c r="A648" s="3" t="s">
        <v>12</v>
      </c>
      <c r="B648" s="3" t="s">
        <v>82</v>
      </c>
      <c r="C648" s="3" t="s">
        <v>3646</v>
      </c>
      <c r="D648" s="8" t="str">
        <f t="shared" si="1"/>
        <v>Abrir anúncio ↗</v>
      </c>
      <c r="E648" s="9" t="s">
        <v>3648</v>
      </c>
      <c r="F648" s="3" t="s">
        <v>29</v>
      </c>
      <c r="G648" s="9" t="s">
        <v>99</v>
      </c>
      <c r="H648" s="9" t="s">
        <v>143</v>
      </c>
      <c r="I648" s="3"/>
      <c r="J648" s="3"/>
      <c r="K648" s="9"/>
    </row>
    <row r="649" ht="15.75" customHeight="1">
      <c r="A649" s="10" t="s">
        <v>12</v>
      </c>
      <c r="B649" s="10" t="s">
        <v>82</v>
      </c>
      <c r="C649" s="10" t="s">
        <v>3653</v>
      </c>
      <c r="D649" s="11" t="str">
        <f t="shared" si="1"/>
        <v>Abrir anúncio ↗</v>
      </c>
      <c r="E649" s="12" t="s">
        <v>3654</v>
      </c>
      <c r="F649" s="10" t="s">
        <v>29</v>
      </c>
      <c r="G649" s="12" t="s">
        <v>99</v>
      </c>
      <c r="H649" s="12" t="s">
        <v>143</v>
      </c>
      <c r="I649" s="10"/>
      <c r="J649" s="10"/>
      <c r="K649" s="12"/>
    </row>
    <row r="650" ht="15.75" customHeight="1">
      <c r="A650" s="3" t="s">
        <v>12</v>
      </c>
      <c r="B650" s="3" t="s">
        <v>82</v>
      </c>
      <c r="C650" s="3" t="s">
        <v>3659</v>
      </c>
      <c r="D650" s="8" t="str">
        <f t="shared" si="1"/>
        <v>Abrir anúncio ↗</v>
      </c>
      <c r="E650" s="9" t="s">
        <v>3663</v>
      </c>
      <c r="F650" s="3" t="s">
        <v>29</v>
      </c>
      <c r="G650" s="9" t="s">
        <v>99</v>
      </c>
      <c r="H650" s="9" t="s">
        <v>143</v>
      </c>
      <c r="I650" s="3"/>
      <c r="J650" s="3"/>
      <c r="K650" s="9"/>
    </row>
    <row r="651" ht="15.75" customHeight="1">
      <c r="A651" s="10" t="s">
        <v>12</v>
      </c>
      <c r="B651" s="10" t="s">
        <v>82</v>
      </c>
      <c r="C651" s="10" t="s">
        <v>3665</v>
      </c>
      <c r="D651" s="11" t="str">
        <f t="shared" si="1"/>
        <v>Abrir anúncio ↗</v>
      </c>
      <c r="E651" s="12" t="s">
        <v>3666</v>
      </c>
      <c r="F651" s="10" t="s">
        <v>29</v>
      </c>
      <c r="G651" s="12" t="s">
        <v>99</v>
      </c>
      <c r="H651" s="12" t="s">
        <v>143</v>
      </c>
      <c r="I651" s="10"/>
      <c r="J651" s="10"/>
      <c r="K651" s="12"/>
    </row>
    <row r="652" ht="15.75" customHeight="1">
      <c r="A652" s="3" t="s">
        <v>12</v>
      </c>
      <c r="B652" s="3" t="s">
        <v>82</v>
      </c>
      <c r="C652" s="3" t="s">
        <v>3672</v>
      </c>
      <c r="D652" s="8" t="str">
        <f t="shared" si="1"/>
        <v>Abrir anúncio ↗</v>
      </c>
      <c r="E652" s="9" t="s">
        <v>3673</v>
      </c>
      <c r="F652" s="3" t="s">
        <v>29</v>
      </c>
      <c r="G652" s="9" t="s">
        <v>99</v>
      </c>
      <c r="H652" s="9" t="s">
        <v>143</v>
      </c>
      <c r="I652" s="3"/>
      <c r="J652" s="3"/>
      <c r="K652" s="9"/>
    </row>
    <row r="653" ht="15.75" customHeight="1">
      <c r="A653" s="10" t="s">
        <v>12</v>
      </c>
      <c r="B653" s="10" t="s">
        <v>82</v>
      </c>
      <c r="C653" s="10" t="s">
        <v>3677</v>
      </c>
      <c r="D653" s="11" t="str">
        <f t="shared" si="1"/>
        <v>Abrir anúncio ↗</v>
      </c>
      <c r="E653" s="12" t="s">
        <v>3679</v>
      </c>
      <c r="F653" s="10" t="s">
        <v>29</v>
      </c>
      <c r="G653" s="12" t="s">
        <v>99</v>
      </c>
      <c r="H653" s="12" t="s">
        <v>143</v>
      </c>
      <c r="I653" s="10"/>
      <c r="J653" s="10"/>
      <c r="K653" s="12"/>
    </row>
    <row r="654" ht="15.75" customHeight="1">
      <c r="A654" s="3" t="s">
        <v>12</v>
      </c>
      <c r="B654" s="3" t="s">
        <v>82</v>
      </c>
      <c r="C654" s="3" t="s">
        <v>3682</v>
      </c>
      <c r="D654" s="8" t="str">
        <f t="shared" si="1"/>
        <v>Abrir anúncio ↗</v>
      </c>
      <c r="E654" s="9" t="s">
        <v>3683</v>
      </c>
      <c r="F654" s="3" t="s">
        <v>29</v>
      </c>
      <c r="G654" s="9" t="s">
        <v>3685</v>
      </c>
      <c r="H654" s="9" t="s">
        <v>3687</v>
      </c>
      <c r="I654" s="3"/>
      <c r="J654" s="3"/>
      <c r="K654" s="9"/>
    </row>
    <row r="655" ht="15.75" customHeight="1">
      <c r="A655" s="10" t="s">
        <v>12</v>
      </c>
      <c r="B655" s="10" t="s">
        <v>82</v>
      </c>
      <c r="C655" s="10" t="s">
        <v>3691</v>
      </c>
      <c r="D655" s="11" t="str">
        <f t="shared" si="1"/>
        <v>Abrir anúncio ↗</v>
      </c>
      <c r="E655" s="12" t="s">
        <v>3693</v>
      </c>
      <c r="F655" s="10" t="s">
        <v>29</v>
      </c>
      <c r="G655" s="12" t="s">
        <v>2390</v>
      </c>
      <c r="H655" s="12" t="s">
        <v>2392</v>
      </c>
      <c r="I655" s="10"/>
      <c r="J655" s="10"/>
      <c r="K655" s="12"/>
    </row>
    <row r="656" ht="15.75" customHeight="1">
      <c r="A656" s="3" t="s">
        <v>12</v>
      </c>
      <c r="B656" s="3" t="s">
        <v>82</v>
      </c>
      <c r="C656" s="3" t="s">
        <v>3695</v>
      </c>
      <c r="D656" s="8" t="str">
        <f t="shared" si="1"/>
        <v>Abrir anúncio ↗</v>
      </c>
      <c r="E656" s="9" t="s">
        <v>3697</v>
      </c>
      <c r="F656" s="3" t="s">
        <v>29</v>
      </c>
      <c r="G656" s="9" t="s">
        <v>2390</v>
      </c>
      <c r="H656" s="9" t="s">
        <v>2392</v>
      </c>
      <c r="I656" s="3"/>
      <c r="J656" s="3"/>
      <c r="K656" s="9"/>
    </row>
    <row r="657" ht="15.75" customHeight="1">
      <c r="A657" s="10" t="s">
        <v>12</v>
      </c>
      <c r="B657" s="10" t="s">
        <v>82</v>
      </c>
      <c r="C657" s="10" t="s">
        <v>3702</v>
      </c>
      <c r="D657" s="11" t="str">
        <f t="shared" si="1"/>
        <v>Abrir anúncio ↗</v>
      </c>
      <c r="E657" s="12" t="s">
        <v>3704</v>
      </c>
      <c r="F657" s="10" t="s">
        <v>29</v>
      </c>
      <c r="G657" s="12" t="s">
        <v>2390</v>
      </c>
      <c r="H657" s="12" t="s">
        <v>2392</v>
      </c>
      <c r="I657" s="10"/>
      <c r="J657" s="10"/>
      <c r="K657" s="12"/>
    </row>
    <row r="658" ht="15.75" customHeight="1">
      <c r="A658" s="3" t="s">
        <v>12</v>
      </c>
      <c r="B658" s="3" t="s">
        <v>82</v>
      </c>
      <c r="C658" s="3" t="s">
        <v>3705</v>
      </c>
      <c r="D658" s="8" t="str">
        <f t="shared" si="1"/>
        <v>Abrir anúncio ↗</v>
      </c>
      <c r="E658" s="9" t="s">
        <v>3707</v>
      </c>
      <c r="F658" s="3" t="s">
        <v>29</v>
      </c>
      <c r="G658" s="9" t="s">
        <v>3709</v>
      </c>
      <c r="H658" s="9" t="s">
        <v>3712</v>
      </c>
      <c r="I658" s="3"/>
      <c r="J658" s="3"/>
      <c r="K658" s="9"/>
    </row>
    <row r="659" ht="15.75" customHeight="1">
      <c r="A659" s="10" t="s">
        <v>12</v>
      </c>
      <c r="B659" s="10" t="s">
        <v>82</v>
      </c>
      <c r="C659" s="10" t="s">
        <v>3715</v>
      </c>
      <c r="D659" s="11" t="str">
        <f t="shared" si="1"/>
        <v>Abrir anúncio ↗</v>
      </c>
      <c r="E659" s="12" t="s">
        <v>3716</v>
      </c>
      <c r="F659" s="10" t="s">
        <v>29</v>
      </c>
      <c r="G659" s="12" t="s">
        <v>2390</v>
      </c>
      <c r="H659" s="12" t="s">
        <v>2392</v>
      </c>
      <c r="I659" s="10"/>
      <c r="J659" s="10"/>
      <c r="K659" s="12"/>
    </row>
    <row r="660" ht="15.75" customHeight="1">
      <c r="A660" s="3" t="s">
        <v>12</v>
      </c>
      <c r="B660" s="3" t="s">
        <v>82</v>
      </c>
      <c r="C660" s="3" t="s">
        <v>3721</v>
      </c>
      <c r="D660" s="8" t="str">
        <f t="shared" si="1"/>
        <v>Abrir anúncio ↗</v>
      </c>
      <c r="E660" s="9" t="s">
        <v>3722</v>
      </c>
      <c r="F660" s="3" t="s">
        <v>29</v>
      </c>
      <c r="G660" s="9" t="s">
        <v>3709</v>
      </c>
      <c r="H660" s="9" t="s">
        <v>3725</v>
      </c>
      <c r="I660" s="3"/>
      <c r="J660" s="3"/>
      <c r="K660" s="9"/>
    </row>
    <row r="661" ht="15.75" customHeight="1">
      <c r="A661" s="10" t="s">
        <v>12</v>
      </c>
      <c r="B661" s="10" t="s">
        <v>82</v>
      </c>
      <c r="C661" s="10" t="s">
        <v>3727</v>
      </c>
      <c r="D661" s="11" t="str">
        <f t="shared" si="1"/>
        <v>Abrir anúncio ↗</v>
      </c>
      <c r="E661" s="12" t="s">
        <v>3729</v>
      </c>
      <c r="F661" s="10" t="s">
        <v>29</v>
      </c>
      <c r="G661" s="12" t="s">
        <v>2390</v>
      </c>
      <c r="H661" s="12" t="s">
        <v>2392</v>
      </c>
      <c r="I661" s="10"/>
      <c r="J661" s="10"/>
      <c r="K661" s="12"/>
    </row>
    <row r="662" ht="15.75" customHeight="1">
      <c r="A662" s="3" t="s">
        <v>12</v>
      </c>
      <c r="B662" s="3" t="s">
        <v>82</v>
      </c>
      <c r="C662" s="3" t="s">
        <v>3734</v>
      </c>
      <c r="D662" s="8" t="str">
        <f t="shared" si="1"/>
        <v>Abrir anúncio ↗</v>
      </c>
      <c r="E662" s="9" t="s">
        <v>3736</v>
      </c>
      <c r="F662" s="3" t="s">
        <v>29</v>
      </c>
      <c r="G662" s="9" t="s">
        <v>3685</v>
      </c>
      <c r="H662" s="9" t="s">
        <v>3739</v>
      </c>
      <c r="I662" s="3"/>
      <c r="J662" s="3"/>
      <c r="K662" s="9"/>
    </row>
    <row r="663" ht="15.75" customHeight="1">
      <c r="A663" s="10" t="s">
        <v>12</v>
      </c>
      <c r="B663" s="10" t="s">
        <v>82</v>
      </c>
      <c r="C663" s="10" t="s">
        <v>3741</v>
      </c>
      <c r="D663" s="11" t="str">
        <f t="shared" si="1"/>
        <v>Abrir anúncio ↗</v>
      </c>
      <c r="E663" s="12" t="s">
        <v>3743</v>
      </c>
      <c r="F663" s="10" t="s">
        <v>29</v>
      </c>
      <c r="G663" s="12" t="s">
        <v>2390</v>
      </c>
      <c r="H663" s="12" t="s">
        <v>2392</v>
      </c>
      <c r="I663" s="10"/>
      <c r="J663" s="10"/>
      <c r="K663" s="12"/>
    </row>
    <row r="664" ht="15.75" customHeight="1">
      <c r="A664" s="3" t="s">
        <v>12</v>
      </c>
      <c r="B664" s="3" t="s">
        <v>82</v>
      </c>
      <c r="C664" s="3" t="s">
        <v>3748</v>
      </c>
      <c r="D664" s="8" t="str">
        <f t="shared" si="1"/>
        <v>Abrir anúncio ↗</v>
      </c>
      <c r="E664" s="9" t="s">
        <v>3749</v>
      </c>
      <c r="F664" s="3" t="s">
        <v>29</v>
      </c>
      <c r="G664" s="9" t="s">
        <v>2390</v>
      </c>
      <c r="H664" s="9" t="s">
        <v>2392</v>
      </c>
      <c r="I664" s="3"/>
      <c r="J664" s="3"/>
      <c r="K664" s="9"/>
    </row>
    <row r="665" ht="15.75" customHeight="1">
      <c r="A665" s="10" t="s">
        <v>12</v>
      </c>
      <c r="B665" s="10" t="s">
        <v>82</v>
      </c>
      <c r="C665" s="10" t="s">
        <v>3752</v>
      </c>
      <c r="D665" s="11" t="str">
        <f t="shared" si="1"/>
        <v>Abrir anúncio ↗</v>
      </c>
      <c r="E665" s="12" t="s">
        <v>3756</v>
      </c>
      <c r="F665" s="10" t="s">
        <v>29</v>
      </c>
      <c r="G665" s="12" t="s">
        <v>3685</v>
      </c>
      <c r="H665" s="12" t="s">
        <v>3757</v>
      </c>
      <c r="I665" s="10"/>
      <c r="J665" s="10"/>
      <c r="K665" s="12"/>
    </row>
    <row r="666" ht="15.75" customHeight="1">
      <c r="A666" s="3" t="s">
        <v>12</v>
      </c>
      <c r="B666" s="3" t="s">
        <v>82</v>
      </c>
      <c r="C666" s="3" t="s">
        <v>3759</v>
      </c>
      <c r="D666" s="8" t="str">
        <f t="shared" si="1"/>
        <v>Abrir anúncio ↗</v>
      </c>
      <c r="E666" s="9" t="s">
        <v>3760</v>
      </c>
      <c r="F666" s="3" t="s">
        <v>29</v>
      </c>
      <c r="G666" s="9" t="s">
        <v>87</v>
      </c>
      <c r="H666" s="9" t="s">
        <v>126</v>
      </c>
      <c r="I666" s="3"/>
      <c r="J666" s="3"/>
      <c r="K666" s="9"/>
    </row>
    <row r="667" ht="15.75" customHeight="1">
      <c r="A667" s="10" t="s">
        <v>12</v>
      </c>
      <c r="B667" s="10" t="s">
        <v>82</v>
      </c>
      <c r="C667" s="10" t="s">
        <v>3767</v>
      </c>
      <c r="D667" s="11" t="str">
        <f t="shared" si="1"/>
        <v>Abrir anúncio ↗</v>
      </c>
      <c r="E667" s="12" t="s">
        <v>3768</v>
      </c>
      <c r="F667" s="10" t="s">
        <v>29</v>
      </c>
      <c r="G667" s="12" t="s">
        <v>3422</v>
      </c>
      <c r="H667" s="12" t="s">
        <v>3769</v>
      </c>
      <c r="I667" s="10"/>
      <c r="J667" s="10"/>
      <c r="K667" s="12"/>
    </row>
    <row r="668" ht="15.75" customHeight="1">
      <c r="A668" s="3" t="s">
        <v>12</v>
      </c>
      <c r="B668" s="3" t="s">
        <v>82</v>
      </c>
      <c r="C668" s="3" t="s">
        <v>3770</v>
      </c>
      <c r="D668" s="8" t="str">
        <f t="shared" si="1"/>
        <v>Abrir anúncio ↗</v>
      </c>
      <c r="E668" s="9" t="s">
        <v>3774</v>
      </c>
      <c r="F668" s="3" t="s">
        <v>29</v>
      </c>
      <c r="G668" s="9" t="s">
        <v>3422</v>
      </c>
      <c r="H668" s="9" t="s">
        <v>3777</v>
      </c>
      <c r="I668" s="3"/>
      <c r="J668" s="3"/>
      <c r="K668" s="9"/>
    </row>
    <row r="669" ht="15.75" customHeight="1">
      <c r="A669" s="10" t="s">
        <v>12</v>
      </c>
      <c r="B669" s="10" t="s">
        <v>82</v>
      </c>
      <c r="C669" s="10" t="s">
        <v>3779</v>
      </c>
      <c r="D669" s="11" t="str">
        <f t="shared" si="1"/>
        <v>Abrir anúncio ↗</v>
      </c>
      <c r="E669" s="12" t="s">
        <v>3780</v>
      </c>
      <c r="F669" s="10" t="s">
        <v>29</v>
      </c>
      <c r="G669" s="12" t="s">
        <v>3422</v>
      </c>
      <c r="H669" s="12" t="s">
        <v>3769</v>
      </c>
      <c r="I669" s="10"/>
      <c r="J669" s="10"/>
      <c r="K669" s="12"/>
    </row>
    <row r="670" ht="15.75" customHeight="1">
      <c r="A670" s="3" t="s">
        <v>12</v>
      </c>
      <c r="B670" s="3" t="s">
        <v>82</v>
      </c>
      <c r="C670" s="3" t="s">
        <v>3783</v>
      </c>
      <c r="D670" s="8" t="str">
        <f t="shared" si="1"/>
        <v>Abrir anúncio ↗</v>
      </c>
      <c r="E670" s="9" t="s">
        <v>3786</v>
      </c>
      <c r="F670" s="3" t="s">
        <v>29</v>
      </c>
      <c r="G670" s="9" t="s">
        <v>3685</v>
      </c>
      <c r="H670" s="9" t="s">
        <v>3789</v>
      </c>
      <c r="I670" s="3"/>
      <c r="J670" s="3"/>
      <c r="K670" s="9"/>
    </row>
    <row r="671" ht="15.75" customHeight="1">
      <c r="A671" s="10" t="s">
        <v>12</v>
      </c>
      <c r="B671" s="10" t="s">
        <v>82</v>
      </c>
      <c r="C671" s="10" t="s">
        <v>3792</v>
      </c>
      <c r="D671" s="11" t="str">
        <f t="shared" si="1"/>
        <v>Abrir anúncio ↗</v>
      </c>
      <c r="E671" s="12" t="s">
        <v>3793</v>
      </c>
      <c r="F671" s="10" t="s">
        <v>29</v>
      </c>
      <c r="G671" s="12" t="s">
        <v>3422</v>
      </c>
      <c r="H671" s="12" t="s">
        <v>3795</v>
      </c>
      <c r="I671" s="10"/>
      <c r="J671" s="10"/>
      <c r="K671" s="12"/>
    </row>
    <row r="672" ht="15.75" customHeight="1">
      <c r="A672" s="3" t="s">
        <v>12</v>
      </c>
      <c r="B672" s="3" t="s">
        <v>82</v>
      </c>
      <c r="C672" s="3" t="s">
        <v>3799</v>
      </c>
      <c r="D672" s="8" t="str">
        <f t="shared" si="1"/>
        <v>Abrir anúncio ↗</v>
      </c>
      <c r="E672" s="9" t="s">
        <v>3801</v>
      </c>
      <c r="F672" s="3" t="s">
        <v>29</v>
      </c>
      <c r="G672" s="9" t="s">
        <v>3422</v>
      </c>
      <c r="H672" s="9" t="s">
        <v>3803</v>
      </c>
      <c r="I672" s="3"/>
      <c r="J672" s="3"/>
      <c r="K672" s="9"/>
    </row>
    <row r="673" ht="15.75" customHeight="1">
      <c r="A673" s="10" t="s">
        <v>12</v>
      </c>
      <c r="B673" s="10" t="s">
        <v>82</v>
      </c>
      <c r="C673" s="10" t="s">
        <v>3805</v>
      </c>
      <c r="D673" s="11" t="str">
        <f t="shared" si="1"/>
        <v>Abrir anúncio ↗</v>
      </c>
      <c r="E673" s="12" t="s">
        <v>3807</v>
      </c>
      <c r="F673" s="10" t="s">
        <v>29</v>
      </c>
      <c r="G673" s="12" t="s">
        <v>3685</v>
      </c>
      <c r="H673" s="12" t="s">
        <v>3809</v>
      </c>
      <c r="I673" s="10"/>
      <c r="J673" s="10"/>
      <c r="K673" s="12"/>
    </row>
    <row r="674" ht="15.75" customHeight="1">
      <c r="A674" s="3" t="s">
        <v>12</v>
      </c>
      <c r="B674" s="3" t="s">
        <v>82</v>
      </c>
      <c r="C674" s="3" t="s">
        <v>3812</v>
      </c>
      <c r="D674" s="8" t="str">
        <f t="shared" si="1"/>
        <v>Abrir anúncio ↗</v>
      </c>
      <c r="E674" s="9" t="s">
        <v>3814</v>
      </c>
      <c r="F674" s="3" t="s">
        <v>29</v>
      </c>
      <c r="G674" s="9" t="s">
        <v>3685</v>
      </c>
      <c r="H674" s="9" t="s">
        <v>3809</v>
      </c>
      <c r="I674" s="3"/>
      <c r="J674" s="3"/>
      <c r="K674" s="9"/>
    </row>
    <row r="675" ht="15.75" customHeight="1">
      <c r="A675" s="10" t="s">
        <v>12</v>
      </c>
      <c r="B675" s="10" t="s">
        <v>82</v>
      </c>
      <c r="C675" s="10" t="s">
        <v>3819</v>
      </c>
      <c r="D675" s="11" t="str">
        <f t="shared" si="1"/>
        <v>Abrir anúncio ↗</v>
      </c>
      <c r="E675" s="12" t="s">
        <v>3820</v>
      </c>
      <c r="F675" s="10" t="s">
        <v>29</v>
      </c>
      <c r="G675" s="12" t="s">
        <v>3422</v>
      </c>
      <c r="H675" s="12" t="s">
        <v>3821</v>
      </c>
      <c r="I675" s="10"/>
      <c r="J675" s="10"/>
      <c r="K675" s="12"/>
    </row>
    <row r="676" ht="15.75" customHeight="1">
      <c r="A676" s="3" t="s">
        <v>12</v>
      </c>
      <c r="B676" s="3" t="s">
        <v>82</v>
      </c>
      <c r="C676" s="3" t="s">
        <v>3824</v>
      </c>
      <c r="D676" s="8" t="str">
        <f t="shared" si="1"/>
        <v>Abrir anúncio ↗</v>
      </c>
      <c r="E676" s="9" t="s">
        <v>3827</v>
      </c>
      <c r="F676" s="3" t="s">
        <v>29</v>
      </c>
      <c r="G676" s="9" t="s">
        <v>3422</v>
      </c>
      <c r="H676" s="9" t="s">
        <v>3777</v>
      </c>
      <c r="I676" s="3"/>
      <c r="J676" s="3"/>
      <c r="K676" s="9"/>
    </row>
    <row r="677" ht="15.75" customHeight="1">
      <c r="A677" s="10" t="s">
        <v>12</v>
      </c>
      <c r="B677" s="10" t="s">
        <v>82</v>
      </c>
      <c r="C677" s="10" t="s">
        <v>3830</v>
      </c>
      <c r="D677" s="11" t="str">
        <f t="shared" si="1"/>
        <v>Abrir anúncio ↗</v>
      </c>
      <c r="E677" s="12" t="s">
        <v>3831</v>
      </c>
      <c r="F677" s="10" t="s">
        <v>29</v>
      </c>
      <c r="G677" s="12" t="s">
        <v>3685</v>
      </c>
      <c r="H677" s="12" t="s">
        <v>3834</v>
      </c>
      <c r="I677" s="10"/>
      <c r="J677" s="10"/>
      <c r="K677" s="12"/>
    </row>
    <row r="678" ht="15.75" customHeight="1">
      <c r="A678" s="3" t="s">
        <v>12</v>
      </c>
      <c r="B678" s="3" t="s">
        <v>82</v>
      </c>
      <c r="C678" s="3" t="s">
        <v>3839</v>
      </c>
      <c r="D678" s="8" t="str">
        <f t="shared" si="1"/>
        <v>Abrir anúncio ↗</v>
      </c>
      <c r="E678" s="9" t="s">
        <v>3841</v>
      </c>
      <c r="F678" s="3" t="s">
        <v>29</v>
      </c>
      <c r="G678" s="9" t="s">
        <v>3709</v>
      </c>
      <c r="H678" s="9" t="s">
        <v>3725</v>
      </c>
      <c r="I678" s="3"/>
      <c r="J678" s="3"/>
      <c r="K678" s="9"/>
    </row>
    <row r="679" ht="15.75" customHeight="1">
      <c r="A679" s="10" t="s">
        <v>12</v>
      </c>
      <c r="B679" s="10" t="s">
        <v>82</v>
      </c>
      <c r="C679" s="10" t="s">
        <v>3845</v>
      </c>
      <c r="D679" s="11" t="str">
        <f t="shared" si="1"/>
        <v>Abrir anúncio ↗</v>
      </c>
      <c r="E679" s="12" t="s">
        <v>3846</v>
      </c>
      <c r="F679" s="10" t="s">
        <v>29</v>
      </c>
      <c r="G679" s="12" t="s">
        <v>3685</v>
      </c>
      <c r="H679" s="12" t="s">
        <v>3849</v>
      </c>
      <c r="I679" s="10"/>
      <c r="J679" s="10"/>
      <c r="K679" s="12"/>
    </row>
    <row r="680" ht="15.75" customHeight="1">
      <c r="A680" s="3" t="s">
        <v>12</v>
      </c>
      <c r="B680" s="3" t="s">
        <v>82</v>
      </c>
      <c r="C680" s="3" t="s">
        <v>3850</v>
      </c>
      <c r="D680" s="8" t="str">
        <f t="shared" si="1"/>
        <v>Abrir anúncio ↗</v>
      </c>
      <c r="E680" s="9" t="s">
        <v>3852</v>
      </c>
      <c r="F680" s="3" t="s">
        <v>29</v>
      </c>
      <c r="G680" s="9" t="s">
        <v>3685</v>
      </c>
      <c r="H680" s="9" t="s">
        <v>3853</v>
      </c>
      <c r="I680" s="3"/>
      <c r="J680" s="3"/>
      <c r="K680" s="9"/>
    </row>
    <row r="681" ht="15.75" customHeight="1">
      <c r="A681" s="10" t="s">
        <v>12</v>
      </c>
      <c r="B681" s="10" t="s">
        <v>82</v>
      </c>
      <c r="C681" s="10" t="s">
        <v>3856</v>
      </c>
      <c r="D681" s="11" t="str">
        <f t="shared" si="1"/>
        <v>Abrir anúncio ↗</v>
      </c>
      <c r="E681" s="12" t="s">
        <v>3858</v>
      </c>
      <c r="F681" s="10" t="s">
        <v>29</v>
      </c>
      <c r="G681" s="12" t="s">
        <v>3685</v>
      </c>
      <c r="H681" s="12" t="s">
        <v>3809</v>
      </c>
      <c r="I681" s="10"/>
      <c r="J681" s="10"/>
      <c r="K681" s="12"/>
    </row>
    <row r="682" ht="15.75" customHeight="1">
      <c r="A682" s="3" t="s">
        <v>12</v>
      </c>
      <c r="B682" s="3" t="s">
        <v>82</v>
      </c>
      <c r="C682" s="3" t="s">
        <v>3862</v>
      </c>
      <c r="D682" s="8" t="str">
        <f t="shared" si="1"/>
        <v>Abrir anúncio ↗</v>
      </c>
      <c r="E682" s="9" t="s">
        <v>3864</v>
      </c>
      <c r="F682" s="3" t="s">
        <v>29</v>
      </c>
      <c r="G682" s="9" t="s">
        <v>3685</v>
      </c>
      <c r="H682" s="9" t="s">
        <v>3789</v>
      </c>
      <c r="I682" s="3"/>
      <c r="J682" s="3"/>
      <c r="K682" s="9"/>
    </row>
    <row r="683" ht="15.75" customHeight="1">
      <c r="A683" s="10" t="s">
        <v>12</v>
      </c>
      <c r="B683" s="10" t="s">
        <v>82</v>
      </c>
      <c r="C683" s="10" t="s">
        <v>3868</v>
      </c>
      <c r="D683" s="11" t="str">
        <f t="shared" si="1"/>
        <v>Abrir anúncio ↗</v>
      </c>
      <c r="E683" s="12" t="s">
        <v>3870</v>
      </c>
      <c r="F683" s="10" t="s">
        <v>29</v>
      </c>
      <c r="G683" s="12" t="s">
        <v>3685</v>
      </c>
      <c r="H683" s="12" t="s">
        <v>3871</v>
      </c>
      <c r="I683" s="10"/>
      <c r="J683" s="10"/>
      <c r="K683" s="12"/>
    </row>
    <row r="684" ht="15.75" customHeight="1">
      <c r="A684" s="3" t="s">
        <v>12</v>
      </c>
      <c r="B684" s="3" t="s">
        <v>82</v>
      </c>
      <c r="C684" s="3" t="s">
        <v>3873</v>
      </c>
      <c r="D684" s="8" t="str">
        <f t="shared" si="1"/>
        <v>Abrir anúncio ↗</v>
      </c>
      <c r="E684" s="9" t="s">
        <v>3874</v>
      </c>
      <c r="F684" s="3" t="s">
        <v>29</v>
      </c>
      <c r="G684" s="9" t="s">
        <v>3685</v>
      </c>
      <c r="H684" s="9" t="s">
        <v>3877</v>
      </c>
      <c r="I684" s="3"/>
      <c r="J684" s="3"/>
      <c r="K684" s="9"/>
    </row>
    <row r="685" ht="15.75" customHeight="1">
      <c r="A685" s="10" t="s">
        <v>12</v>
      </c>
      <c r="B685" s="10" t="s">
        <v>82</v>
      </c>
      <c r="C685" s="10" t="s">
        <v>3881</v>
      </c>
      <c r="D685" s="11" t="str">
        <f t="shared" si="1"/>
        <v>Abrir anúncio ↗</v>
      </c>
      <c r="E685" s="12" t="s">
        <v>3882</v>
      </c>
      <c r="F685" s="10" t="s">
        <v>29</v>
      </c>
      <c r="G685" s="12" t="s">
        <v>3788</v>
      </c>
      <c r="H685" s="12" t="s">
        <v>3884</v>
      </c>
      <c r="I685" s="10"/>
      <c r="J685" s="10"/>
      <c r="K685" s="12"/>
    </row>
    <row r="686" ht="15.75" customHeight="1">
      <c r="A686" s="3" t="s">
        <v>12</v>
      </c>
      <c r="B686" s="3" t="s">
        <v>82</v>
      </c>
      <c r="C686" s="3" t="s">
        <v>3886</v>
      </c>
      <c r="D686" s="8" t="str">
        <f t="shared" si="1"/>
        <v>Abrir anúncio ↗</v>
      </c>
      <c r="E686" s="9" t="s">
        <v>3889</v>
      </c>
      <c r="F686" s="3" t="s">
        <v>29</v>
      </c>
      <c r="G686" s="9" t="s">
        <v>3422</v>
      </c>
      <c r="H686" s="9" t="s">
        <v>3891</v>
      </c>
      <c r="I686" s="3"/>
      <c r="J686" s="3"/>
      <c r="K686" s="9"/>
    </row>
    <row r="687" ht="15.75" customHeight="1">
      <c r="A687" s="10" t="s">
        <v>12</v>
      </c>
      <c r="B687" s="10" t="s">
        <v>82</v>
      </c>
      <c r="C687" s="10" t="s">
        <v>3895</v>
      </c>
      <c r="D687" s="11" t="str">
        <f t="shared" si="1"/>
        <v>Abrir anúncio ↗</v>
      </c>
      <c r="E687" s="12" t="s">
        <v>3897</v>
      </c>
      <c r="F687" s="10" t="s">
        <v>29</v>
      </c>
      <c r="G687" s="12" t="s">
        <v>3685</v>
      </c>
      <c r="H687" s="12" t="s">
        <v>3898</v>
      </c>
      <c r="I687" s="10"/>
      <c r="J687" s="10"/>
      <c r="K687" s="12"/>
    </row>
    <row r="688" ht="15.75" customHeight="1">
      <c r="A688" s="3" t="s">
        <v>12</v>
      </c>
      <c r="B688" s="3" t="s">
        <v>82</v>
      </c>
      <c r="C688" s="3" t="s">
        <v>3901</v>
      </c>
      <c r="D688" s="8" t="str">
        <f t="shared" si="1"/>
        <v>Abrir anúncio ↗</v>
      </c>
      <c r="E688" s="9" t="s">
        <v>3902</v>
      </c>
      <c r="F688" s="3" t="s">
        <v>29</v>
      </c>
      <c r="G688" s="9" t="s">
        <v>3709</v>
      </c>
      <c r="H688" s="9" t="s">
        <v>3904</v>
      </c>
      <c r="I688" s="3"/>
      <c r="J688" s="3"/>
      <c r="K688" s="9"/>
    </row>
    <row r="689" ht="15.75" customHeight="1">
      <c r="A689" s="10" t="s">
        <v>12</v>
      </c>
      <c r="B689" s="10" t="s">
        <v>82</v>
      </c>
      <c r="C689" s="10" t="s">
        <v>3907</v>
      </c>
      <c r="D689" s="11" t="str">
        <f t="shared" si="1"/>
        <v>Abrir anúncio ↗</v>
      </c>
      <c r="E689" s="12" t="s">
        <v>3910</v>
      </c>
      <c r="F689" s="10" t="s">
        <v>29</v>
      </c>
      <c r="G689" s="12" t="s">
        <v>3685</v>
      </c>
      <c r="H689" s="12" t="s">
        <v>3809</v>
      </c>
      <c r="I689" s="10"/>
      <c r="J689" s="10"/>
      <c r="K689" s="12"/>
    </row>
    <row r="690" ht="15.75" customHeight="1">
      <c r="A690" s="3" t="s">
        <v>12</v>
      </c>
      <c r="B690" s="3" t="s">
        <v>82</v>
      </c>
      <c r="C690" s="3" t="s">
        <v>3913</v>
      </c>
      <c r="D690" s="8" t="str">
        <f t="shared" si="1"/>
        <v>Abrir anúncio ↗</v>
      </c>
      <c r="E690" s="9" t="s">
        <v>3916</v>
      </c>
      <c r="F690" s="3" t="s">
        <v>29</v>
      </c>
      <c r="G690" s="9" t="s">
        <v>3685</v>
      </c>
      <c r="H690" s="9" t="s">
        <v>3917</v>
      </c>
      <c r="I690" s="3"/>
      <c r="J690" s="3"/>
      <c r="K690" s="9"/>
    </row>
    <row r="691" ht="15.75" customHeight="1">
      <c r="A691" s="10" t="s">
        <v>12</v>
      </c>
      <c r="B691" s="10" t="s">
        <v>82</v>
      </c>
      <c r="C691" s="10" t="s">
        <v>3920</v>
      </c>
      <c r="D691" s="11" t="str">
        <f t="shared" si="1"/>
        <v>Abrir anúncio ↗</v>
      </c>
      <c r="E691" s="12" t="s">
        <v>3922</v>
      </c>
      <c r="F691" s="10" t="s">
        <v>29</v>
      </c>
      <c r="G691" s="12" t="s">
        <v>2390</v>
      </c>
      <c r="H691" s="12" t="s">
        <v>2392</v>
      </c>
      <c r="I691" s="10"/>
      <c r="J691" s="10"/>
      <c r="K691" s="12"/>
    </row>
    <row r="692" ht="15.75" customHeight="1">
      <c r="A692" s="3" t="s">
        <v>12</v>
      </c>
      <c r="B692" s="3" t="s">
        <v>82</v>
      </c>
      <c r="C692" s="3" t="s">
        <v>3926</v>
      </c>
      <c r="D692" s="8" t="str">
        <f t="shared" si="1"/>
        <v>Abrir anúncio ↗</v>
      </c>
      <c r="E692" s="9" t="s">
        <v>3927</v>
      </c>
      <c r="F692" s="3" t="s">
        <v>29</v>
      </c>
      <c r="G692" s="9" t="s">
        <v>2390</v>
      </c>
      <c r="H692" s="9" t="s">
        <v>2392</v>
      </c>
      <c r="I692" s="3"/>
      <c r="J692" s="3"/>
      <c r="K692" s="9"/>
    </row>
    <row r="693" ht="15.75" customHeight="1">
      <c r="A693" s="10" t="s">
        <v>12</v>
      </c>
      <c r="B693" s="10" t="s">
        <v>82</v>
      </c>
      <c r="C693" s="10" t="s">
        <v>3932</v>
      </c>
      <c r="D693" s="11" t="str">
        <f t="shared" si="1"/>
        <v>Abrir anúncio ↗</v>
      </c>
      <c r="E693" s="12" t="s">
        <v>3934</v>
      </c>
      <c r="F693" s="10" t="s">
        <v>29</v>
      </c>
      <c r="G693" s="12" t="s">
        <v>2390</v>
      </c>
      <c r="H693" s="12" t="s">
        <v>2392</v>
      </c>
      <c r="I693" s="10"/>
      <c r="J693" s="10"/>
      <c r="K693" s="12"/>
    </row>
    <row r="694" ht="15.75" customHeight="1">
      <c r="A694" s="3" t="s">
        <v>12</v>
      </c>
      <c r="B694" s="3" t="s">
        <v>82</v>
      </c>
      <c r="C694" s="3" t="s">
        <v>3937</v>
      </c>
      <c r="D694" s="8" t="str">
        <f t="shared" si="1"/>
        <v>Abrir anúncio ↗</v>
      </c>
      <c r="E694" s="9" t="s">
        <v>3938</v>
      </c>
      <c r="F694" s="3" t="s">
        <v>29</v>
      </c>
      <c r="G694" s="9" t="s">
        <v>2390</v>
      </c>
      <c r="H694" s="9" t="s">
        <v>2392</v>
      </c>
      <c r="I694" s="3"/>
      <c r="J694" s="3"/>
      <c r="K694" s="9"/>
    </row>
    <row r="695" ht="15.75" customHeight="1">
      <c r="A695" s="10" t="s">
        <v>12</v>
      </c>
      <c r="B695" s="10" t="s">
        <v>82</v>
      </c>
      <c r="C695" s="10" t="s">
        <v>3942</v>
      </c>
      <c r="D695" s="11" t="str">
        <f t="shared" si="1"/>
        <v>Abrir anúncio ↗</v>
      </c>
      <c r="E695" s="12" t="s">
        <v>3945</v>
      </c>
      <c r="F695" s="10" t="s">
        <v>29</v>
      </c>
      <c r="G695" s="12" t="s">
        <v>2390</v>
      </c>
      <c r="H695" s="12" t="s">
        <v>2392</v>
      </c>
      <c r="I695" s="10"/>
      <c r="J695" s="10"/>
      <c r="K695" s="12"/>
    </row>
    <row r="696" ht="15.75" customHeight="1">
      <c r="A696" s="3" t="s">
        <v>12</v>
      </c>
      <c r="B696" s="3" t="s">
        <v>82</v>
      </c>
      <c r="C696" s="3" t="s">
        <v>3948</v>
      </c>
      <c r="D696" s="8" t="str">
        <f t="shared" si="1"/>
        <v>Abrir anúncio ↗</v>
      </c>
      <c r="E696" s="9" t="s">
        <v>3949</v>
      </c>
      <c r="F696" s="3" t="s">
        <v>29</v>
      </c>
      <c r="G696" s="9" t="s">
        <v>2390</v>
      </c>
      <c r="H696" s="9" t="s">
        <v>2392</v>
      </c>
      <c r="I696" s="3"/>
      <c r="J696" s="3"/>
      <c r="K696" s="9"/>
    </row>
    <row r="697" ht="15.75" customHeight="1">
      <c r="A697" s="10" t="s">
        <v>12</v>
      </c>
      <c r="B697" s="10" t="s">
        <v>82</v>
      </c>
      <c r="C697" s="10" t="s">
        <v>3951</v>
      </c>
      <c r="D697" s="11" t="str">
        <f t="shared" si="1"/>
        <v>Abrir anúncio ↗</v>
      </c>
      <c r="E697" s="12" t="s">
        <v>3953</v>
      </c>
      <c r="F697" s="10" t="s">
        <v>29</v>
      </c>
      <c r="G697" s="12" t="s">
        <v>3955</v>
      </c>
      <c r="H697" s="12" t="s">
        <v>3957</v>
      </c>
      <c r="I697" s="10"/>
      <c r="J697" s="10"/>
      <c r="K697" s="12"/>
    </row>
    <row r="698" ht="15.75" customHeight="1">
      <c r="A698" s="3" t="s">
        <v>12</v>
      </c>
      <c r="B698" s="3" t="s">
        <v>82</v>
      </c>
      <c r="C698" s="3" t="s">
        <v>3959</v>
      </c>
      <c r="D698" s="8" t="str">
        <f t="shared" si="1"/>
        <v>Abrir anúncio ↗</v>
      </c>
      <c r="E698" s="9" t="s">
        <v>3961</v>
      </c>
      <c r="F698" s="3" t="s">
        <v>29</v>
      </c>
      <c r="G698" s="9" t="s">
        <v>3963</v>
      </c>
      <c r="H698" s="9" t="s">
        <v>3964</v>
      </c>
      <c r="I698" s="3"/>
      <c r="J698" s="3"/>
      <c r="K698" s="9"/>
    </row>
    <row r="699" ht="15.75" customHeight="1">
      <c r="A699" s="10" t="s">
        <v>12</v>
      </c>
      <c r="B699" s="10" t="s">
        <v>82</v>
      </c>
      <c r="C699" s="10" t="s">
        <v>3969</v>
      </c>
      <c r="D699" s="11" t="str">
        <f t="shared" si="1"/>
        <v>Abrir anúncio ↗</v>
      </c>
      <c r="E699" s="12" t="s">
        <v>3970</v>
      </c>
      <c r="F699" s="10" t="s">
        <v>29</v>
      </c>
      <c r="G699" s="12" t="s">
        <v>2390</v>
      </c>
      <c r="H699" s="12" t="s">
        <v>2392</v>
      </c>
      <c r="I699" s="10"/>
      <c r="J699" s="10"/>
      <c r="K699" s="12"/>
    </row>
    <row r="700" ht="15.75" customHeight="1">
      <c r="A700" s="3" t="s">
        <v>12</v>
      </c>
      <c r="B700" s="3" t="s">
        <v>82</v>
      </c>
      <c r="C700" s="3" t="s">
        <v>3974</v>
      </c>
      <c r="D700" s="8" t="str">
        <f t="shared" si="1"/>
        <v>Abrir anúncio ↗</v>
      </c>
      <c r="E700" s="9" t="s">
        <v>3976</v>
      </c>
      <c r="F700" s="3" t="s">
        <v>29</v>
      </c>
      <c r="G700" s="9" t="s">
        <v>3685</v>
      </c>
      <c r="H700" s="9" t="s">
        <v>3979</v>
      </c>
      <c r="I700" s="3"/>
      <c r="J700" s="3"/>
      <c r="K700" s="9"/>
    </row>
    <row r="701" ht="15.75" customHeight="1">
      <c r="A701" s="10" t="s">
        <v>12</v>
      </c>
      <c r="B701" s="10" t="s">
        <v>82</v>
      </c>
      <c r="C701" s="10" t="s">
        <v>3982</v>
      </c>
      <c r="D701" s="11" t="str">
        <f t="shared" si="1"/>
        <v>Abrir anúncio ↗</v>
      </c>
      <c r="E701" s="12" t="s">
        <v>3983</v>
      </c>
      <c r="F701" s="10" t="s">
        <v>29</v>
      </c>
      <c r="G701" s="12" t="s">
        <v>3685</v>
      </c>
      <c r="H701" s="12" t="s">
        <v>3986</v>
      </c>
      <c r="I701" s="10"/>
      <c r="J701" s="10"/>
      <c r="K701" s="12"/>
    </row>
    <row r="702" ht="15.75" customHeight="1">
      <c r="A702" s="3" t="s">
        <v>12</v>
      </c>
      <c r="B702" s="3" t="s">
        <v>82</v>
      </c>
      <c r="C702" s="3" t="s">
        <v>3990</v>
      </c>
      <c r="D702" s="8" t="str">
        <f t="shared" si="1"/>
        <v>Abrir anúncio ↗</v>
      </c>
      <c r="E702" s="9" t="s">
        <v>3991</v>
      </c>
      <c r="F702" s="3" t="s">
        <v>29</v>
      </c>
      <c r="G702" s="9" t="s">
        <v>3685</v>
      </c>
      <c r="H702" s="9" t="s">
        <v>3883</v>
      </c>
      <c r="I702" s="3"/>
      <c r="J702" s="3"/>
      <c r="K702" s="9"/>
    </row>
    <row r="703" ht="15.75" customHeight="1">
      <c r="A703" s="10" t="s">
        <v>12</v>
      </c>
      <c r="B703" s="10" t="s">
        <v>82</v>
      </c>
      <c r="C703" s="10" t="s">
        <v>3995</v>
      </c>
      <c r="D703" s="11" t="str">
        <f t="shared" si="1"/>
        <v>Abrir anúncio ↗</v>
      </c>
      <c r="E703" s="12" t="s">
        <v>3997</v>
      </c>
      <c r="F703" s="10" t="s">
        <v>29</v>
      </c>
      <c r="G703" s="12" t="s">
        <v>3709</v>
      </c>
      <c r="H703" s="12" t="s">
        <v>3999</v>
      </c>
      <c r="I703" s="10"/>
      <c r="J703" s="10"/>
      <c r="K703" s="12"/>
    </row>
    <row r="704" ht="15.75" customHeight="1">
      <c r="A704" s="3" t="s">
        <v>12</v>
      </c>
      <c r="B704" s="3" t="s">
        <v>82</v>
      </c>
      <c r="C704" s="3" t="s">
        <v>4002</v>
      </c>
      <c r="D704" s="8" t="str">
        <f t="shared" si="1"/>
        <v>Abrir anúncio ↗</v>
      </c>
      <c r="E704" s="9" t="s">
        <v>4003</v>
      </c>
      <c r="F704" s="3" t="s">
        <v>86</v>
      </c>
      <c r="G704" s="9" t="s">
        <v>3709</v>
      </c>
      <c r="H704" s="9" t="s">
        <v>4004</v>
      </c>
      <c r="I704" s="3"/>
      <c r="J704" s="3"/>
      <c r="K704" s="9"/>
    </row>
    <row r="705" ht="15.75" customHeight="1">
      <c r="A705" s="10" t="s">
        <v>12</v>
      </c>
      <c r="B705" s="10" t="s">
        <v>82</v>
      </c>
      <c r="C705" s="10" t="s">
        <v>4009</v>
      </c>
      <c r="D705" s="11" t="str">
        <f t="shared" si="1"/>
        <v>Abrir anúncio ↗</v>
      </c>
      <c r="E705" s="12" t="s">
        <v>4011</v>
      </c>
      <c r="F705" s="10" t="s">
        <v>29</v>
      </c>
      <c r="G705" s="12" t="s">
        <v>2390</v>
      </c>
      <c r="H705" s="12" t="s">
        <v>2392</v>
      </c>
      <c r="I705" s="10"/>
      <c r="J705" s="10"/>
      <c r="K705" s="12"/>
    </row>
    <row r="706" ht="15.75" customHeight="1">
      <c r="A706" s="3" t="s">
        <v>12</v>
      </c>
      <c r="B706" s="3" t="s">
        <v>82</v>
      </c>
      <c r="C706" s="3" t="s">
        <v>4013</v>
      </c>
      <c r="D706" s="8" t="str">
        <f t="shared" si="1"/>
        <v>Abrir anúncio ↗</v>
      </c>
      <c r="E706" s="9" t="s">
        <v>4014</v>
      </c>
      <c r="F706" s="3" t="s">
        <v>29</v>
      </c>
      <c r="G706" s="9" t="s">
        <v>3788</v>
      </c>
      <c r="H706" s="9" t="s">
        <v>3884</v>
      </c>
      <c r="I706" s="3"/>
      <c r="J706" s="3"/>
      <c r="K706" s="9"/>
    </row>
    <row r="707" ht="15.75" customHeight="1">
      <c r="A707" s="10" t="s">
        <v>12</v>
      </c>
      <c r="B707" s="10" t="s">
        <v>82</v>
      </c>
      <c r="C707" s="10" t="s">
        <v>4021</v>
      </c>
      <c r="D707" s="11" t="str">
        <f t="shared" si="1"/>
        <v>Abrir anúncio ↗</v>
      </c>
      <c r="E707" s="12" t="s">
        <v>4022</v>
      </c>
      <c r="F707" s="10" t="s">
        <v>29</v>
      </c>
      <c r="G707" s="12" t="s">
        <v>3685</v>
      </c>
      <c r="H707" s="12" t="s">
        <v>4023</v>
      </c>
      <c r="I707" s="10"/>
      <c r="J707" s="10"/>
      <c r="K707" s="12"/>
    </row>
    <row r="708" ht="15.75" customHeight="1">
      <c r="A708" s="3" t="s">
        <v>12</v>
      </c>
      <c r="B708" s="3" t="s">
        <v>82</v>
      </c>
      <c r="C708" s="3" t="s">
        <v>4026</v>
      </c>
      <c r="D708" s="8" t="str">
        <f t="shared" si="1"/>
        <v>Abrir anúncio ↗</v>
      </c>
      <c r="E708" s="9" t="s">
        <v>4027</v>
      </c>
      <c r="F708" s="3" t="s">
        <v>29</v>
      </c>
      <c r="G708" s="9" t="s">
        <v>3685</v>
      </c>
      <c r="H708" s="9" t="s">
        <v>3986</v>
      </c>
      <c r="I708" s="3"/>
      <c r="J708" s="3"/>
      <c r="K708" s="9"/>
    </row>
    <row r="709" ht="15.75" customHeight="1">
      <c r="A709" s="10" t="s">
        <v>12</v>
      </c>
      <c r="B709" s="10" t="s">
        <v>82</v>
      </c>
      <c r="C709" s="10" t="s">
        <v>4033</v>
      </c>
      <c r="D709" s="11" t="str">
        <f t="shared" si="1"/>
        <v>Abrir anúncio ↗</v>
      </c>
      <c r="E709" s="12" t="s">
        <v>4034</v>
      </c>
      <c r="F709" s="10" t="s">
        <v>29</v>
      </c>
      <c r="G709" s="12" t="s">
        <v>2390</v>
      </c>
      <c r="H709" s="12" t="s">
        <v>2392</v>
      </c>
      <c r="I709" s="10"/>
      <c r="J709" s="10"/>
      <c r="K709" s="12"/>
    </row>
    <row r="710" ht="15.75" customHeight="1">
      <c r="A710" s="3" t="s">
        <v>12</v>
      </c>
      <c r="B710" s="3" t="s">
        <v>82</v>
      </c>
      <c r="C710" s="3" t="s">
        <v>4039</v>
      </c>
      <c r="D710" s="8" t="str">
        <f t="shared" si="1"/>
        <v>Abrir anúncio ↗</v>
      </c>
      <c r="E710" s="9" t="s">
        <v>4040</v>
      </c>
      <c r="F710" s="3" t="s">
        <v>29</v>
      </c>
      <c r="G710" s="9" t="s">
        <v>2390</v>
      </c>
      <c r="H710" s="9" t="s">
        <v>2392</v>
      </c>
      <c r="I710" s="3"/>
      <c r="J710" s="3"/>
      <c r="K710" s="9"/>
    </row>
    <row r="711" ht="15.75" customHeight="1">
      <c r="A711" s="10" t="s">
        <v>12</v>
      </c>
      <c r="B711" s="10" t="s">
        <v>82</v>
      </c>
      <c r="C711" s="10" t="s">
        <v>4042</v>
      </c>
      <c r="D711" s="11" t="str">
        <f t="shared" si="1"/>
        <v>Abrir anúncio ↗</v>
      </c>
      <c r="E711" s="12" t="s">
        <v>4044</v>
      </c>
      <c r="F711" s="10" t="s">
        <v>29</v>
      </c>
      <c r="G711" s="12" t="s">
        <v>99</v>
      </c>
      <c r="H711" s="12" t="s">
        <v>143</v>
      </c>
      <c r="I711" s="10"/>
      <c r="J711" s="10"/>
      <c r="K711" s="12"/>
    </row>
    <row r="712" ht="15.75" customHeight="1">
      <c r="A712" s="3" t="s">
        <v>12</v>
      </c>
      <c r="B712" s="3" t="s">
        <v>82</v>
      </c>
      <c r="C712" s="3" t="s">
        <v>4048</v>
      </c>
      <c r="D712" s="8" t="str">
        <f t="shared" si="1"/>
        <v>Abrir anúncio ↗</v>
      </c>
      <c r="E712" s="9" t="s">
        <v>4049</v>
      </c>
      <c r="F712" s="3" t="s">
        <v>29</v>
      </c>
      <c r="G712" s="9" t="s">
        <v>99</v>
      </c>
      <c r="H712" s="9" t="s">
        <v>143</v>
      </c>
      <c r="I712" s="3"/>
      <c r="J712" s="3"/>
      <c r="K712" s="9"/>
    </row>
    <row r="713" ht="15.75" customHeight="1">
      <c r="A713" s="10" t="s">
        <v>12</v>
      </c>
      <c r="B713" s="10" t="s">
        <v>82</v>
      </c>
      <c r="C713" s="10" t="s">
        <v>4053</v>
      </c>
      <c r="D713" s="11" t="str">
        <f t="shared" si="1"/>
        <v>Abrir anúncio ↗</v>
      </c>
      <c r="E713" s="12" t="s">
        <v>4057</v>
      </c>
      <c r="F713" s="10" t="s">
        <v>29</v>
      </c>
      <c r="G713" s="12" t="s">
        <v>3709</v>
      </c>
      <c r="H713" s="12" t="s">
        <v>4058</v>
      </c>
      <c r="I713" s="10"/>
      <c r="J713" s="10"/>
      <c r="K713" s="12"/>
    </row>
    <row r="714" ht="15.75" customHeight="1">
      <c r="A714" s="3" t="s">
        <v>12</v>
      </c>
      <c r="B714" s="3" t="s">
        <v>82</v>
      </c>
      <c r="C714" s="3" t="s">
        <v>4060</v>
      </c>
      <c r="D714" s="8" t="str">
        <f t="shared" si="1"/>
        <v>Abrir anúncio ↗</v>
      </c>
      <c r="E714" s="9" t="s">
        <v>4061</v>
      </c>
      <c r="F714" s="3" t="s">
        <v>29</v>
      </c>
      <c r="G714" s="9" t="s">
        <v>2390</v>
      </c>
      <c r="H714" s="9" t="s">
        <v>2392</v>
      </c>
      <c r="I714" s="3"/>
      <c r="J714" s="3"/>
      <c r="K714" s="9"/>
    </row>
    <row r="715" ht="15.75" customHeight="1">
      <c r="A715" s="10" t="s">
        <v>12</v>
      </c>
      <c r="B715" s="10" t="s">
        <v>82</v>
      </c>
      <c r="C715" s="10" t="s">
        <v>4066</v>
      </c>
      <c r="D715" s="11" t="str">
        <f t="shared" si="1"/>
        <v>Abrir anúncio ↗</v>
      </c>
      <c r="E715" s="12" t="s">
        <v>4069</v>
      </c>
      <c r="F715" s="10" t="s">
        <v>29</v>
      </c>
      <c r="G715" s="12" t="s">
        <v>2390</v>
      </c>
      <c r="H715" s="12" t="s">
        <v>2392</v>
      </c>
      <c r="I715" s="10"/>
      <c r="J715" s="10"/>
      <c r="K715" s="12"/>
    </row>
    <row r="716" ht="15.75" customHeight="1">
      <c r="A716" s="3" t="s">
        <v>12</v>
      </c>
      <c r="B716" s="3" t="s">
        <v>82</v>
      </c>
      <c r="C716" s="3" t="s">
        <v>4071</v>
      </c>
      <c r="D716" s="8" t="str">
        <f t="shared" si="1"/>
        <v>Abrir anúncio ↗</v>
      </c>
      <c r="E716" s="9" t="s">
        <v>4072</v>
      </c>
      <c r="F716" s="3" t="s">
        <v>29</v>
      </c>
      <c r="G716" s="9" t="s">
        <v>3709</v>
      </c>
      <c r="H716" s="9" t="s">
        <v>4075</v>
      </c>
      <c r="I716" s="3"/>
      <c r="J716" s="3"/>
      <c r="K716" s="9"/>
    </row>
    <row r="717" ht="15.75" customHeight="1">
      <c r="A717" s="10" t="s">
        <v>12</v>
      </c>
      <c r="B717" s="10" t="s">
        <v>82</v>
      </c>
      <c r="C717" s="10" t="s">
        <v>4079</v>
      </c>
      <c r="D717" s="11" t="str">
        <f t="shared" si="1"/>
        <v>Abrir anúncio ↗</v>
      </c>
      <c r="E717" s="12" t="s">
        <v>4080</v>
      </c>
      <c r="F717" s="10" t="s">
        <v>29</v>
      </c>
      <c r="G717" s="12" t="s">
        <v>2390</v>
      </c>
      <c r="H717" s="12" t="s">
        <v>2392</v>
      </c>
      <c r="I717" s="10"/>
      <c r="J717" s="10"/>
      <c r="K717" s="12"/>
    </row>
    <row r="718" ht="15.75" customHeight="1">
      <c r="A718" s="3" t="s">
        <v>12</v>
      </c>
      <c r="B718" s="3" t="s">
        <v>82</v>
      </c>
      <c r="C718" s="3" t="s">
        <v>4081</v>
      </c>
      <c r="D718" s="8" t="str">
        <f t="shared" si="1"/>
        <v>Abrir anúncio ↗</v>
      </c>
      <c r="E718" s="9" t="s">
        <v>4082</v>
      </c>
      <c r="F718" s="3" t="s">
        <v>29</v>
      </c>
      <c r="G718" s="9" t="s">
        <v>3709</v>
      </c>
      <c r="H718" s="9" t="s">
        <v>4084</v>
      </c>
      <c r="I718" s="3"/>
      <c r="J718" s="3"/>
      <c r="K718" s="9"/>
    </row>
    <row r="719" ht="15.75" customHeight="1">
      <c r="A719" s="10" t="s">
        <v>12</v>
      </c>
      <c r="B719" s="10" t="s">
        <v>82</v>
      </c>
      <c r="C719" s="10" t="s">
        <v>4088</v>
      </c>
      <c r="D719" s="11" t="str">
        <f t="shared" si="1"/>
        <v>Abrir anúncio ↗</v>
      </c>
      <c r="E719" s="12" t="s">
        <v>4090</v>
      </c>
      <c r="F719" s="10" t="s">
        <v>29</v>
      </c>
      <c r="G719" s="12" t="s">
        <v>3709</v>
      </c>
      <c r="H719" s="12" t="s">
        <v>4092</v>
      </c>
      <c r="I719" s="10"/>
      <c r="J719" s="10"/>
      <c r="K719" s="12"/>
    </row>
    <row r="720" ht="15.75" customHeight="1">
      <c r="A720" s="3" t="s">
        <v>12</v>
      </c>
      <c r="B720" s="3" t="s">
        <v>82</v>
      </c>
      <c r="C720" s="3" t="s">
        <v>4094</v>
      </c>
      <c r="D720" s="8" t="str">
        <f t="shared" si="1"/>
        <v>Abrir anúncio ↗</v>
      </c>
      <c r="E720" s="9" t="s">
        <v>4096</v>
      </c>
      <c r="F720" s="3" t="s">
        <v>29</v>
      </c>
      <c r="G720" s="9" t="s">
        <v>3709</v>
      </c>
      <c r="H720" s="9" t="s">
        <v>4097</v>
      </c>
      <c r="I720" s="3"/>
      <c r="J720" s="3"/>
      <c r="K720" s="9"/>
    </row>
    <row r="721" ht="15.75" customHeight="1">
      <c r="A721" s="10" t="s">
        <v>12</v>
      </c>
      <c r="B721" s="10" t="s">
        <v>82</v>
      </c>
      <c r="C721" s="10" t="s">
        <v>4100</v>
      </c>
      <c r="D721" s="11" t="str">
        <f t="shared" si="1"/>
        <v>Abrir anúncio ↗</v>
      </c>
      <c r="E721" s="12" t="s">
        <v>4103</v>
      </c>
      <c r="F721" s="10" t="s">
        <v>29</v>
      </c>
      <c r="G721" s="12" t="s">
        <v>3709</v>
      </c>
      <c r="H721" s="12" t="s">
        <v>4105</v>
      </c>
      <c r="I721" s="10"/>
      <c r="J721" s="10"/>
      <c r="K721" s="12"/>
    </row>
    <row r="722" ht="15.75" customHeight="1">
      <c r="A722" s="3" t="s">
        <v>12</v>
      </c>
      <c r="B722" s="3" t="s">
        <v>82</v>
      </c>
      <c r="C722" s="3" t="s">
        <v>4108</v>
      </c>
      <c r="D722" s="8" t="str">
        <f t="shared" si="1"/>
        <v>Abrir anúncio ↗</v>
      </c>
      <c r="E722" s="9" t="s">
        <v>4109</v>
      </c>
      <c r="F722" s="3" t="s">
        <v>29</v>
      </c>
      <c r="G722" s="9" t="s">
        <v>2390</v>
      </c>
      <c r="H722" s="9" t="s">
        <v>2392</v>
      </c>
      <c r="I722" s="3"/>
      <c r="J722" s="3"/>
      <c r="K722" s="9"/>
    </row>
    <row r="723" ht="15.75" customHeight="1">
      <c r="A723" s="10" t="s">
        <v>12</v>
      </c>
      <c r="B723" s="10" t="s">
        <v>82</v>
      </c>
      <c r="C723" s="10" t="s">
        <v>4113</v>
      </c>
      <c r="D723" s="11" t="str">
        <f t="shared" si="1"/>
        <v>Abrir anúncio ↗</v>
      </c>
      <c r="E723" s="12" t="s">
        <v>4115</v>
      </c>
      <c r="F723" s="10" t="s">
        <v>29</v>
      </c>
      <c r="G723" s="12" t="s">
        <v>3709</v>
      </c>
      <c r="H723" s="12" t="s">
        <v>4058</v>
      </c>
      <c r="I723" s="10"/>
      <c r="J723" s="10"/>
      <c r="K723" s="12"/>
    </row>
    <row r="724" ht="15.75" customHeight="1">
      <c r="A724" s="3" t="s">
        <v>12</v>
      </c>
      <c r="B724" s="3" t="s">
        <v>82</v>
      </c>
      <c r="C724" s="3" t="s">
        <v>4119</v>
      </c>
      <c r="D724" s="8" t="str">
        <f t="shared" si="1"/>
        <v>Abrir anúncio ↗</v>
      </c>
      <c r="E724" s="9" t="s">
        <v>4121</v>
      </c>
      <c r="F724" s="3" t="s">
        <v>29</v>
      </c>
      <c r="G724" s="9" t="s">
        <v>3709</v>
      </c>
      <c r="H724" s="9" t="s">
        <v>3999</v>
      </c>
      <c r="I724" s="3"/>
      <c r="J724" s="3"/>
      <c r="K724" s="9"/>
    </row>
    <row r="725" ht="15.75" customHeight="1">
      <c r="A725" s="10" t="s">
        <v>12</v>
      </c>
      <c r="B725" s="10" t="s">
        <v>82</v>
      </c>
      <c r="C725" s="10" t="s">
        <v>4124</v>
      </c>
      <c r="D725" s="11" t="str">
        <f t="shared" si="1"/>
        <v>Abrir anúncio ↗</v>
      </c>
      <c r="E725" s="12" t="s">
        <v>4126</v>
      </c>
      <c r="F725" s="10" t="s">
        <v>29</v>
      </c>
      <c r="G725" s="12" t="s">
        <v>3709</v>
      </c>
      <c r="H725" s="12" t="s">
        <v>4129</v>
      </c>
      <c r="I725" s="10"/>
      <c r="J725" s="10"/>
      <c r="K725" s="12"/>
    </row>
    <row r="726" ht="15.75" customHeight="1">
      <c r="A726" s="3" t="s">
        <v>12</v>
      </c>
      <c r="B726" s="3" t="s">
        <v>82</v>
      </c>
      <c r="C726" s="3" t="s">
        <v>4132</v>
      </c>
      <c r="D726" s="8" t="str">
        <f t="shared" si="1"/>
        <v>Abrir anúncio ↗</v>
      </c>
      <c r="E726" s="9" t="s">
        <v>4133</v>
      </c>
      <c r="F726" s="3" t="s">
        <v>29</v>
      </c>
      <c r="G726" s="9" t="s">
        <v>2390</v>
      </c>
      <c r="H726" s="9" t="s">
        <v>2392</v>
      </c>
      <c r="I726" s="3"/>
      <c r="J726" s="3"/>
      <c r="K726" s="9"/>
    </row>
    <row r="727" ht="15.75" customHeight="1">
      <c r="A727" s="10" t="s">
        <v>12</v>
      </c>
      <c r="B727" s="10" t="s">
        <v>82</v>
      </c>
      <c r="C727" s="10" t="s">
        <v>4135</v>
      </c>
      <c r="D727" s="11" t="str">
        <f t="shared" si="1"/>
        <v>Abrir anúncio ↗</v>
      </c>
      <c r="E727" s="12" t="s">
        <v>4138</v>
      </c>
      <c r="F727" s="10" t="s">
        <v>29</v>
      </c>
      <c r="G727" s="12" t="s">
        <v>3709</v>
      </c>
      <c r="H727" s="12" t="s">
        <v>4141</v>
      </c>
      <c r="I727" s="10"/>
      <c r="J727" s="10"/>
      <c r="K727" s="12"/>
    </row>
    <row r="728" ht="15.75" customHeight="1">
      <c r="A728" s="3" t="s">
        <v>12</v>
      </c>
      <c r="B728" s="3" t="s">
        <v>82</v>
      </c>
      <c r="C728" s="3" t="s">
        <v>4143</v>
      </c>
      <c r="D728" s="8" t="str">
        <f t="shared" si="1"/>
        <v>Abrir anúncio ↗</v>
      </c>
      <c r="E728" s="9" t="s">
        <v>4144</v>
      </c>
      <c r="F728" s="3" t="s">
        <v>29</v>
      </c>
      <c r="G728" s="9" t="s">
        <v>3709</v>
      </c>
      <c r="H728" s="9" t="s">
        <v>4146</v>
      </c>
      <c r="I728" s="3"/>
      <c r="J728" s="3"/>
      <c r="K728" s="9"/>
    </row>
    <row r="729" ht="15.75" customHeight="1">
      <c r="A729" s="10" t="s">
        <v>12</v>
      </c>
      <c r="B729" s="10" t="s">
        <v>82</v>
      </c>
      <c r="C729" s="10" t="s">
        <v>4149</v>
      </c>
      <c r="D729" s="11" t="str">
        <f t="shared" si="1"/>
        <v>Abrir anúncio ↗</v>
      </c>
      <c r="E729" s="12" t="s">
        <v>4150</v>
      </c>
      <c r="F729" s="10" t="s">
        <v>29</v>
      </c>
      <c r="G729" s="12" t="s">
        <v>2390</v>
      </c>
      <c r="H729" s="12" t="s">
        <v>2392</v>
      </c>
      <c r="I729" s="10"/>
      <c r="J729" s="10"/>
      <c r="K729" s="12"/>
    </row>
    <row r="730" ht="15.75" customHeight="1">
      <c r="A730" s="3" t="s">
        <v>12</v>
      </c>
      <c r="B730" s="3" t="s">
        <v>82</v>
      </c>
      <c r="C730" s="3" t="s">
        <v>4154</v>
      </c>
      <c r="D730" s="8" t="str">
        <f t="shared" si="1"/>
        <v>Abrir anúncio ↗</v>
      </c>
      <c r="E730" s="9" t="s">
        <v>4156</v>
      </c>
      <c r="F730" s="3" t="s">
        <v>29</v>
      </c>
      <c r="G730" s="9" t="s">
        <v>2390</v>
      </c>
      <c r="H730" s="9" t="s">
        <v>2392</v>
      </c>
      <c r="I730" s="3"/>
      <c r="J730" s="3"/>
      <c r="K730" s="9"/>
    </row>
    <row r="731" ht="15.75" customHeight="1">
      <c r="A731" s="10" t="s">
        <v>12</v>
      </c>
      <c r="B731" s="10" t="s">
        <v>82</v>
      </c>
      <c r="C731" s="10" t="s">
        <v>4158</v>
      </c>
      <c r="D731" s="11" t="str">
        <f t="shared" si="1"/>
        <v>Abrir anúncio ↗</v>
      </c>
      <c r="E731" s="12" t="s">
        <v>4159</v>
      </c>
      <c r="F731" s="10" t="s">
        <v>29</v>
      </c>
      <c r="G731" s="12" t="s">
        <v>3709</v>
      </c>
      <c r="H731" s="12" t="s">
        <v>4097</v>
      </c>
      <c r="I731" s="10"/>
      <c r="J731" s="10"/>
      <c r="K731" s="12"/>
    </row>
    <row r="732" ht="15.75" customHeight="1">
      <c r="A732" s="3" t="s">
        <v>12</v>
      </c>
      <c r="B732" s="3" t="s">
        <v>82</v>
      </c>
      <c r="C732" s="3" t="s">
        <v>4165</v>
      </c>
      <c r="D732" s="8" t="str">
        <f t="shared" si="1"/>
        <v>Abrir anúncio ↗</v>
      </c>
      <c r="E732" s="9" t="s">
        <v>4166</v>
      </c>
      <c r="F732" s="3" t="s">
        <v>29</v>
      </c>
      <c r="G732" s="9" t="s">
        <v>3709</v>
      </c>
      <c r="H732" s="9" t="s">
        <v>4092</v>
      </c>
      <c r="I732" s="3"/>
      <c r="J732" s="3"/>
      <c r="K732" s="9"/>
    </row>
    <row r="733" ht="15.75" customHeight="1">
      <c r="A733" s="10" t="s">
        <v>12</v>
      </c>
      <c r="B733" s="10" t="s">
        <v>82</v>
      </c>
      <c r="C733" s="10" t="s">
        <v>4170</v>
      </c>
      <c r="D733" s="11" t="str">
        <f t="shared" si="1"/>
        <v>Abrir anúncio ↗</v>
      </c>
      <c r="E733" s="12" t="s">
        <v>4173</v>
      </c>
      <c r="F733" s="10" t="s">
        <v>29</v>
      </c>
      <c r="G733" s="12" t="s">
        <v>3685</v>
      </c>
      <c r="H733" s="12" t="s">
        <v>4175</v>
      </c>
      <c r="I733" s="10"/>
      <c r="J733" s="10"/>
      <c r="K733" s="12"/>
    </row>
    <row r="734" ht="15.75" customHeight="1">
      <c r="A734" s="3" t="s">
        <v>12</v>
      </c>
      <c r="B734" s="3" t="s">
        <v>82</v>
      </c>
      <c r="C734" s="3" t="s">
        <v>4178</v>
      </c>
      <c r="D734" s="8" t="str">
        <f t="shared" si="1"/>
        <v>Abrir anúncio ↗</v>
      </c>
      <c r="E734" s="9" t="s">
        <v>4181</v>
      </c>
      <c r="F734" s="3" t="s">
        <v>29</v>
      </c>
      <c r="G734" s="9" t="s">
        <v>3685</v>
      </c>
      <c r="H734" s="9" t="s">
        <v>4182</v>
      </c>
      <c r="I734" s="3"/>
      <c r="J734" s="3"/>
      <c r="K734" s="9"/>
    </row>
    <row r="735" ht="15.75" customHeight="1">
      <c r="A735" s="10" t="s">
        <v>12</v>
      </c>
      <c r="B735" s="10" t="s">
        <v>82</v>
      </c>
      <c r="C735" s="10" t="s">
        <v>4186</v>
      </c>
      <c r="D735" s="11" t="str">
        <f t="shared" si="1"/>
        <v>Abrir anúncio ↗</v>
      </c>
      <c r="E735" s="12" t="s">
        <v>4187</v>
      </c>
      <c r="F735" s="10" t="s">
        <v>29</v>
      </c>
      <c r="G735" s="12" t="s">
        <v>3685</v>
      </c>
      <c r="H735" s="12" t="s">
        <v>4189</v>
      </c>
      <c r="I735" s="10"/>
      <c r="J735" s="10"/>
      <c r="K735" s="12"/>
    </row>
    <row r="736" ht="15.75" customHeight="1">
      <c r="A736" s="3" t="s">
        <v>12</v>
      </c>
      <c r="B736" s="3" t="s">
        <v>82</v>
      </c>
      <c r="C736" s="3" t="s">
        <v>4191</v>
      </c>
      <c r="D736" s="8" t="str">
        <f t="shared" si="1"/>
        <v>Abrir anúncio ↗</v>
      </c>
      <c r="E736" s="9" t="s">
        <v>4194</v>
      </c>
      <c r="F736" s="3" t="s">
        <v>29</v>
      </c>
      <c r="G736" s="9" t="s">
        <v>2390</v>
      </c>
      <c r="H736" s="9" t="s">
        <v>2392</v>
      </c>
      <c r="I736" s="3"/>
      <c r="J736" s="3"/>
      <c r="K736" s="9"/>
    </row>
    <row r="737" ht="15.75" customHeight="1">
      <c r="A737" s="10" t="s">
        <v>12</v>
      </c>
      <c r="B737" s="10" t="s">
        <v>82</v>
      </c>
      <c r="C737" s="10" t="s">
        <v>4198</v>
      </c>
      <c r="D737" s="11" t="str">
        <f t="shared" si="1"/>
        <v>Abrir anúncio ↗</v>
      </c>
      <c r="E737" s="12" t="s">
        <v>4200</v>
      </c>
      <c r="F737" s="10" t="s">
        <v>29</v>
      </c>
      <c r="G737" s="12" t="s">
        <v>2390</v>
      </c>
      <c r="H737" s="12" t="s">
        <v>2392</v>
      </c>
      <c r="I737" s="10"/>
      <c r="J737" s="10"/>
      <c r="K737" s="12"/>
    </row>
    <row r="738" ht="15.75" customHeight="1">
      <c r="A738" s="3" t="s">
        <v>12</v>
      </c>
      <c r="B738" s="3" t="s">
        <v>82</v>
      </c>
      <c r="C738" s="3" t="s">
        <v>4203</v>
      </c>
      <c r="D738" s="8" t="str">
        <f t="shared" si="1"/>
        <v>Abrir anúncio ↗</v>
      </c>
      <c r="E738" s="9" t="s">
        <v>4204</v>
      </c>
      <c r="F738" s="3" t="s">
        <v>29</v>
      </c>
      <c r="G738" s="9" t="s">
        <v>3685</v>
      </c>
      <c r="H738" s="9" t="s">
        <v>4207</v>
      </c>
      <c r="I738" s="3"/>
      <c r="J738" s="3"/>
      <c r="K738" s="9"/>
    </row>
    <row r="739" ht="15.75" customHeight="1">
      <c r="A739" s="10" t="s">
        <v>12</v>
      </c>
      <c r="B739" s="10" t="s">
        <v>82</v>
      </c>
      <c r="C739" s="10" t="s">
        <v>4212</v>
      </c>
      <c r="D739" s="11" t="str">
        <f t="shared" si="1"/>
        <v>Abrir anúncio ↗</v>
      </c>
      <c r="E739" s="12" t="s">
        <v>4213</v>
      </c>
      <c r="F739" s="10" t="s">
        <v>29</v>
      </c>
      <c r="G739" s="12" t="s">
        <v>3685</v>
      </c>
      <c r="H739" s="12" t="s">
        <v>3757</v>
      </c>
      <c r="I739" s="10"/>
      <c r="J739" s="10"/>
      <c r="K739" s="12"/>
    </row>
    <row r="740" ht="15.75" customHeight="1">
      <c r="A740" s="3" t="s">
        <v>12</v>
      </c>
      <c r="B740" s="3" t="s">
        <v>82</v>
      </c>
      <c r="C740" s="3" t="s">
        <v>4216</v>
      </c>
      <c r="D740" s="8" t="str">
        <f t="shared" si="1"/>
        <v>Abrir anúncio ↗</v>
      </c>
      <c r="E740" s="9" t="s">
        <v>4218</v>
      </c>
      <c r="F740" s="3" t="s">
        <v>29</v>
      </c>
      <c r="G740" s="9" t="s">
        <v>3685</v>
      </c>
      <c r="H740" s="9" t="s">
        <v>3834</v>
      </c>
      <c r="I740" s="3"/>
      <c r="J740" s="3"/>
      <c r="K740" s="9"/>
    </row>
    <row r="741" ht="15.75" customHeight="1">
      <c r="A741" s="10" t="s">
        <v>12</v>
      </c>
      <c r="B741" s="10" t="s">
        <v>82</v>
      </c>
      <c r="C741" s="10" t="s">
        <v>4223</v>
      </c>
      <c r="D741" s="11" t="str">
        <f t="shared" si="1"/>
        <v>Abrir anúncio ↗</v>
      </c>
      <c r="E741" s="12" t="s">
        <v>4224</v>
      </c>
      <c r="F741" s="10" t="s">
        <v>29</v>
      </c>
      <c r="G741" s="12" t="s">
        <v>2390</v>
      </c>
      <c r="H741" s="12" t="s">
        <v>2392</v>
      </c>
      <c r="I741" s="10"/>
      <c r="J741" s="10"/>
      <c r="K741" s="12"/>
    </row>
    <row r="742" ht="15.75" customHeight="1">
      <c r="A742" s="3" t="s">
        <v>12</v>
      </c>
      <c r="B742" s="3" t="s">
        <v>82</v>
      </c>
      <c r="C742" s="3" t="s">
        <v>4229</v>
      </c>
      <c r="D742" s="8" t="str">
        <f t="shared" si="1"/>
        <v>Abrir anúncio ↗</v>
      </c>
      <c r="E742" s="9" t="s">
        <v>4231</v>
      </c>
      <c r="F742" s="3" t="s">
        <v>29</v>
      </c>
      <c r="G742" s="9" t="s">
        <v>3709</v>
      </c>
      <c r="H742" s="9" t="s">
        <v>4233</v>
      </c>
      <c r="I742" s="3"/>
      <c r="J742" s="3"/>
      <c r="K742" s="9"/>
    </row>
    <row r="743" ht="15.75" customHeight="1">
      <c r="A743" s="10" t="s">
        <v>12</v>
      </c>
      <c r="B743" s="10" t="s">
        <v>82</v>
      </c>
      <c r="C743" s="10" t="s">
        <v>4236</v>
      </c>
      <c r="D743" s="11" t="str">
        <f t="shared" si="1"/>
        <v>Abrir anúncio ↗</v>
      </c>
      <c r="E743" s="12" t="s">
        <v>4238</v>
      </c>
      <c r="F743" s="10" t="s">
        <v>29</v>
      </c>
      <c r="G743" s="12" t="s">
        <v>2390</v>
      </c>
      <c r="H743" s="12" t="s">
        <v>2392</v>
      </c>
      <c r="I743" s="10"/>
      <c r="J743" s="10"/>
      <c r="K743" s="12"/>
    </row>
    <row r="744" ht="15.75" customHeight="1">
      <c r="A744" s="3" t="s">
        <v>12</v>
      </c>
      <c r="B744" s="3" t="s">
        <v>82</v>
      </c>
      <c r="C744" s="3" t="s">
        <v>4242</v>
      </c>
      <c r="D744" s="8" t="str">
        <f t="shared" si="1"/>
        <v>Abrir anúncio ↗</v>
      </c>
      <c r="E744" s="9" t="s">
        <v>4243</v>
      </c>
      <c r="F744" s="3" t="s">
        <v>29</v>
      </c>
      <c r="G744" s="9" t="s">
        <v>3709</v>
      </c>
      <c r="H744" s="9" t="s">
        <v>4245</v>
      </c>
      <c r="I744" s="3"/>
      <c r="J744" s="3"/>
      <c r="K744" s="9"/>
    </row>
    <row r="745" ht="15.75" customHeight="1">
      <c r="A745" s="10" t="s">
        <v>12</v>
      </c>
      <c r="B745" s="10" t="s">
        <v>82</v>
      </c>
      <c r="C745" s="10" t="s">
        <v>4250</v>
      </c>
      <c r="D745" s="11" t="str">
        <f t="shared" si="1"/>
        <v>Abrir anúncio ↗</v>
      </c>
      <c r="E745" s="12" t="s">
        <v>4252</v>
      </c>
      <c r="F745" s="10" t="s">
        <v>29</v>
      </c>
      <c r="G745" s="12" t="s">
        <v>2390</v>
      </c>
      <c r="H745" s="12" t="s">
        <v>2392</v>
      </c>
      <c r="I745" s="10"/>
      <c r="J745" s="10"/>
      <c r="K745" s="12"/>
    </row>
    <row r="746" ht="15.75" customHeight="1">
      <c r="A746" s="3" t="s">
        <v>12</v>
      </c>
      <c r="B746" s="3" t="s">
        <v>82</v>
      </c>
      <c r="C746" s="3" t="s">
        <v>4254</v>
      </c>
      <c r="D746" s="8" t="str">
        <f t="shared" si="1"/>
        <v>Abrir anúncio ↗</v>
      </c>
      <c r="E746" s="9" t="s">
        <v>4256</v>
      </c>
      <c r="F746" s="3" t="s">
        <v>29</v>
      </c>
      <c r="G746" s="9" t="s">
        <v>3709</v>
      </c>
      <c r="H746" s="9" t="s">
        <v>4141</v>
      </c>
      <c r="I746" s="3"/>
      <c r="J746" s="3"/>
      <c r="K746" s="9"/>
    </row>
    <row r="747" ht="15.75" customHeight="1">
      <c r="A747" s="10" t="s">
        <v>12</v>
      </c>
      <c r="B747" s="10" t="s">
        <v>82</v>
      </c>
      <c r="C747" s="10" t="s">
        <v>4264</v>
      </c>
      <c r="D747" s="11" t="str">
        <f t="shared" si="1"/>
        <v>Abrir anúncio ↗</v>
      </c>
      <c r="E747" s="12" t="s">
        <v>4265</v>
      </c>
      <c r="F747" s="10" t="s">
        <v>29</v>
      </c>
      <c r="G747" s="12" t="s">
        <v>3685</v>
      </c>
      <c r="H747" s="12" t="s">
        <v>3757</v>
      </c>
      <c r="I747" s="10"/>
      <c r="J747" s="10"/>
      <c r="K747" s="12"/>
    </row>
    <row r="748" ht="15.75" customHeight="1">
      <c r="A748" s="3" t="s">
        <v>12</v>
      </c>
      <c r="B748" s="3" t="s">
        <v>82</v>
      </c>
      <c r="C748" s="3" t="s">
        <v>4268</v>
      </c>
      <c r="D748" s="8" t="str">
        <f t="shared" si="1"/>
        <v>Abrir anúncio ↗</v>
      </c>
      <c r="E748" s="9" t="s">
        <v>4271</v>
      </c>
      <c r="F748" s="3" t="s">
        <v>29</v>
      </c>
      <c r="G748" s="9" t="s">
        <v>2390</v>
      </c>
      <c r="H748" s="9" t="s">
        <v>2392</v>
      </c>
      <c r="I748" s="3"/>
      <c r="J748" s="3"/>
      <c r="K748" s="9"/>
    </row>
    <row r="749" ht="15.75" customHeight="1">
      <c r="A749" s="10" t="s">
        <v>12</v>
      </c>
      <c r="B749" s="10" t="s">
        <v>82</v>
      </c>
      <c r="C749" s="10" t="s">
        <v>4274</v>
      </c>
      <c r="D749" s="11" t="str">
        <f t="shared" si="1"/>
        <v>Abrir anúncio ↗</v>
      </c>
      <c r="E749" s="12" t="s">
        <v>4275</v>
      </c>
      <c r="F749" s="10" t="s">
        <v>29</v>
      </c>
      <c r="G749" s="12" t="s">
        <v>3709</v>
      </c>
      <c r="H749" s="12" t="s">
        <v>3904</v>
      </c>
      <c r="I749" s="10"/>
      <c r="J749" s="10"/>
      <c r="K749" s="12"/>
    </row>
    <row r="750" ht="15.75" customHeight="1">
      <c r="A750" s="3" t="s">
        <v>12</v>
      </c>
      <c r="B750" s="3" t="s">
        <v>82</v>
      </c>
      <c r="C750" s="3" t="s">
        <v>4281</v>
      </c>
      <c r="D750" s="8" t="str">
        <f t="shared" si="1"/>
        <v>Abrir anúncio ↗</v>
      </c>
      <c r="E750" s="9" t="s">
        <v>4282</v>
      </c>
      <c r="F750" s="3" t="s">
        <v>29</v>
      </c>
      <c r="G750" s="9" t="s">
        <v>3709</v>
      </c>
      <c r="H750" s="9" t="s">
        <v>4284</v>
      </c>
      <c r="I750" s="3"/>
      <c r="J750" s="3"/>
      <c r="K750" s="9"/>
    </row>
    <row r="751" ht="15.75" customHeight="1">
      <c r="A751" s="10" t="s">
        <v>12</v>
      </c>
      <c r="B751" s="10" t="s">
        <v>82</v>
      </c>
      <c r="C751" s="10" t="s">
        <v>4286</v>
      </c>
      <c r="D751" s="11" t="str">
        <f t="shared" si="1"/>
        <v>Abrir anúncio ↗</v>
      </c>
      <c r="E751" s="12" t="s">
        <v>4289</v>
      </c>
      <c r="F751" s="10" t="s">
        <v>29</v>
      </c>
      <c r="G751" s="12" t="s">
        <v>2390</v>
      </c>
      <c r="H751" s="12" t="s">
        <v>2392</v>
      </c>
      <c r="I751" s="10"/>
      <c r="J751" s="10"/>
      <c r="K751" s="12"/>
    </row>
    <row r="752" ht="15.75" customHeight="1">
      <c r="A752" s="3" t="s">
        <v>12</v>
      </c>
      <c r="B752" s="3" t="s">
        <v>82</v>
      </c>
      <c r="C752" s="3" t="s">
        <v>4292</v>
      </c>
      <c r="D752" s="8" t="str">
        <f t="shared" si="1"/>
        <v>Abrir anúncio ↗</v>
      </c>
      <c r="E752" s="9" t="s">
        <v>4293</v>
      </c>
      <c r="F752" s="3" t="s">
        <v>29</v>
      </c>
      <c r="G752" s="9" t="s">
        <v>3709</v>
      </c>
      <c r="H752" s="9" t="s">
        <v>3725</v>
      </c>
      <c r="I752" s="3"/>
      <c r="J752" s="3"/>
      <c r="K752" s="9"/>
    </row>
    <row r="753" ht="15.75" customHeight="1">
      <c r="A753" s="10" t="s">
        <v>12</v>
      </c>
      <c r="B753" s="10" t="s">
        <v>82</v>
      </c>
      <c r="C753" s="10" t="s">
        <v>4298</v>
      </c>
      <c r="D753" s="11" t="str">
        <f t="shared" si="1"/>
        <v>Abrir anúncio ↗</v>
      </c>
      <c r="E753" s="12" t="s">
        <v>4299</v>
      </c>
      <c r="F753" s="10" t="s">
        <v>29</v>
      </c>
      <c r="G753" s="12" t="s">
        <v>3709</v>
      </c>
      <c r="H753" s="12" t="s">
        <v>4004</v>
      </c>
      <c r="I753" s="10"/>
      <c r="J753" s="10"/>
      <c r="K753" s="12"/>
    </row>
    <row r="754" ht="15.75" customHeight="1">
      <c r="A754" s="3" t="s">
        <v>12</v>
      </c>
      <c r="B754" s="3" t="s">
        <v>82</v>
      </c>
      <c r="C754" s="3" t="s">
        <v>4300</v>
      </c>
      <c r="D754" s="8" t="str">
        <f t="shared" si="1"/>
        <v>Abrir anúncio ↗</v>
      </c>
      <c r="E754" s="9" t="s">
        <v>4301</v>
      </c>
      <c r="F754" s="3" t="s">
        <v>29</v>
      </c>
      <c r="G754" s="9" t="s">
        <v>2390</v>
      </c>
      <c r="H754" s="9" t="s">
        <v>2392</v>
      </c>
      <c r="I754" s="3"/>
      <c r="J754" s="3"/>
      <c r="K754" s="9"/>
    </row>
    <row r="755" ht="15.75" customHeight="1">
      <c r="A755" s="10" t="s">
        <v>12</v>
      </c>
      <c r="B755" s="10" t="s">
        <v>82</v>
      </c>
      <c r="C755" s="10" t="s">
        <v>4306</v>
      </c>
      <c r="D755" s="11" t="str">
        <f t="shared" si="1"/>
        <v>Abrir anúncio ↗</v>
      </c>
      <c r="E755" s="12" t="s">
        <v>4308</v>
      </c>
      <c r="F755" s="10" t="s">
        <v>29</v>
      </c>
      <c r="G755" s="12" t="s">
        <v>3709</v>
      </c>
      <c r="H755" s="12" t="s">
        <v>4075</v>
      </c>
      <c r="I755" s="10"/>
      <c r="J755" s="10"/>
      <c r="K755" s="12"/>
    </row>
    <row r="756" ht="15.75" customHeight="1">
      <c r="A756" s="3" t="s">
        <v>12</v>
      </c>
      <c r="B756" s="3" t="s">
        <v>82</v>
      </c>
      <c r="C756" s="3" t="s">
        <v>4309</v>
      </c>
      <c r="D756" s="8" t="str">
        <f t="shared" si="1"/>
        <v>Abrir anúncio ↗</v>
      </c>
      <c r="E756" s="9" t="s">
        <v>4311</v>
      </c>
      <c r="F756" s="3" t="s">
        <v>29</v>
      </c>
      <c r="G756" s="9" t="s">
        <v>3709</v>
      </c>
      <c r="H756" s="9" t="s">
        <v>4004</v>
      </c>
      <c r="I756" s="3"/>
      <c r="J756" s="3"/>
      <c r="K756" s="9"/>
    </row>
    <row r="757" ht="15.75" customHeight="1">
      <c r="A757" s="10" t="s">
        <v>12</v>
      </c>
      <c r="B757" s="10" t="s">
        <v>82</v>
      </c>
      <c r="C757" s="10" t="s">
        <v>4316</v>
      </c>
      <c r="D757" s="11" t="str">
        <f t="shared" si="1"/>
        <v>Abrir anúncio ↗</v>
      </c>
      <c r="E757" s="12" t="s">
        <v>4317</v>
      </c>
      <c r="F757" s="10" t="s">
        <v>29</v>
      </c>
      <c r="G757" s="12" t="s">
        <v>3709</v>
      </c>
      <c r="H757" s="12" t="s">
        <v>4092</v>
      </c>
      <c r="I757" s="10"/>
      <c r="J757" s="10"/>
      <c r="K757" s="12"/>
    </row>
    <row r="758" ht="15.75" customHeight="1">
      <c r="A758" s="3" t="s">
        <v>12</v>
      </c>
      <c r="B758" s="3" t="s">
        <v>82</v>
      </c>
      <c r="C758" s="3" t="s">
        <v>4319</v>
      </c>
      <c r="D758" s="8" t="str">
        <f t="shared" si="1"/>
        <v>Abrir anúncio ↗</v>
      </c>
      <c r="E758" s="9" t="s">
        <v>4321</v>
      </c>
      <c r="F758" s="3" t="s">
        <v>29</v>
      </c>
      <c r="G758" s="9" t="s">
        <v>3685</v>
      </c>
      <c r="H758" s="9" t="s">
        <v>3883</v>
      </c>
      <c r="I758" s="3"/>
      <c r="J758" s="3"/>
      <c r="K758" s="9"/>
    </row>
    <row r="759" ht="15.75" customHeight="1">
      <c r="A759" s="10" t="s">
        <v>12</v>
      </c>
      <c r="B759" s="10" t="s">
        <v>82</v>
      </c>
      <c r="C759" s="10" t="s">
        <v>4324</v>
      </c>
      <c r="D759" s="11" t="str">
        <f t="shared" si="1"/>
        <v>Abrir anúncio ↗</v>
      </c>
      <c r="E759" s="12" t="s">
        <v>4325</v>
      </c>
      <c r="F759" s="10" t="s">
        <v>86</v>
      </c>
      <c r="G759" s="12" t="s">
        <v>3788</v>
      </c>
      <c r="H759" s="12" t="s">
        <v>4327</v>
      </c>
      <c r="I759" s="10"/>
      <c r="J759" s="10"/>
      <c r="K759" s="12"/>
    </row>
    <row r="760" ht="15.75" customHeight="1">
      <c r="A760" s="3" t="s">
        <v>12</v>
      </c>
      <c r="B760" s="3" t="s">
        <v>82</v>
      </c>
      <c r="C760" s="3" t="s">
        <v>4329</v>
      </c>
      <c r="D760" s="8" t="str">
        <f t="shared" si="1"/>
        <v>Abrir anúncio ↗</v>
      </c>
      <c r="E760" s="9" t="s">
        <v>4330</v>
      </c>
      <c r="F760" s="3" t="s">
        <v>29</v>
      </c>
      <c r="G760" s="9" t="s">
        <v>3709</v>
      </c>
      <c r="H760" s="9" t="s">
        <v>4332</v>
      </c>
      <c r="I760" s="3"/>
      <c r="J760" s="3"/>
      <c r="K760" s="9"/>
    </row>
    <row r="761" ht="15.75" customHeight="1">
      <c r="A761" s="10" t="s">
        <v>12</v>
      </c>
      <c r="B761" s="10" t="s">
        <v>82</v>
      </c>
      <c r="C761" s="10" t="s">
        <v>4334</v>
      </c>
      <c r="D761" s="11" t="str">
        <f t="shared" si="1"/>
        <v>Abrir anúncio ↗</v>
      </c>
      <c r="E761" s="12" t="s">
        <v>4336</v>
      </c>
      <c r="F761" s="10" t="s">
        <v>29</v>
      </c>
      <c r="G761" s="12" t="s">
        <v>3685</v>
      </c>
      <c r="H761" s="12" t="s">
        <v>3877</v>
      </c>
      <c r="I761" s="10"/>
      <c r="J761" s="10"/>
      <c r="K761" s="12"/>
    </row>
    <row r="762" ht="15.75" customHeight="1">
      <c r="A762" s="3" t="s">
        <v>12</v>
      </c>
      <c r="B762" s="3" t="s">
        <v>82</v>
      </c>
      <c r="C762" s="3" t="s">
        <v>4338</v>
      </c>
      <c r="D762" s="8" t="str">
        <f t="shared" si="1"/>
        <v>Abrir anúncio ↗</v>
      </c>
      <c r="E762" s="9" t="s">
        <v>4340</v>
      </c>
      <c r="F762" s="3" t="s">
        <v>29</v>
      </c>
      <c r="G762" s="9" t="s">
        <v>99</v>
      </c>
      <c r="H762" s="9" t="s">
        <v>143</v>
      </c>
      <c r="I762" s="3"/>
      <c r="J762" s="3"/>
      <c r="K762" s="9"/>
    </row>
    <row r="763" ht="15.75" customHeight="1">
      <c r="A763" s="10" t="s">
        <v>12</v>
      </c>
      <c r="B763" s="10" t="s">
        <v>82</v>
      </c>
      <c r="C763" s="10" t="s">
        <v>4343</v>
      </c>
      <c r="D763" s="11" t="str">
        <f t="shared" si="1"/>
        <v>Abrir anúncio ↗</v>
      </c>
      <c r="E763" s="12" t="s">
        <v>4344</v>
      </c>
      <c r="F763" s="10" t="s">
        <v>29</v>
      </c>
      <c r="G763" s="12" t="s">
        <v>99</v>
      </c>
      <c r="H763" s="12" t="s">
        <v>560</v>
      </c>
      <c r="I763" s="10"/>
      <c r="J763" s="10"/>
      <c r="K763" s="12"/>
    </row>
    <row r="764" ht="15.75" customHeight="1">
      <c r="A764" s="3" t="s">
        <v>12</v>
      </c>
      <c r="B764" s="3" t="s">
        <v>82</v>
      </c>
      <c r="C764" s="3" t="s">
        <v>4345</v>
      </c>
      <c r="D764" s="8" t="str">
        <f t="shared" si="1"/>
        <v>Abrir anúncio ↗</v>
      </c>
      <c r="E764" s="9" t="s">
        <v>4346</v>
      </c>
      <c r="F764" s="3" t="s">
        <v>29</v>
      </c>
      <c r="G764" s="9" t="s">
        <v>99</v>
      </c>
      <c r="H764" s="9" t="s">
        <v>560</v>
      </c>
      <c r="I764" s="3"/>
      <c r="J764" s="3"/>
      <c r="K764" s="9"/>
    </row>
    <row r="765" ht="15.75" customHeight="1">
      <c r="A765" s="10" t="s">
        <v>12</v>
      </c>
      <c r="B765" s="10" t="s">
        <v>82</v>
      </c>
      <c r="C765" s="10" t="s">
        <v>4351</v>
      </c>
      <c r="D765" s="11" t="str">
        <f t="shared" si="1"/>
        <v>Abrir anúncio ↗</v>
      </c>
      <c r="E765" s="12" t="s">
        <v>4352</v>
      </c>
      <c r="F765" s="10" t="s">
        <v>29</v>
      </c>
      <c r="G765" s="12" t="s">
        <v>99</v>
      </c>
      <c r="H765" s="12" t="s">
        <v>143</v>
      </c>
      <c r="I765" s="10"/>
      <c r="J765" s="10"/>
      <c r="K765" s="12"/>
    </row>
    <row r="766" ht="15.75" customHeight="1">
      <c r="A766" s="3" t="s">
        <v>12</v>
      </c>
      <c r="B766" s="3" t="s">
        <v>82</v>
      </c>
      <c r="C766" s="3" t="s">
        <v>4353</v>
      </c>
      <c r="D766" s="8" t="str">
        <f t="shared" si="1"/>
        <v>Abrir anúncio ↗</v>
      </c>
      <c r="E766" s="9" t="s">
        <v>4356</v>
      </c>
      <c r="F766" s="3" t="s">
        <v>29</v>
      </c>
      <c r="G766" s="9" t="s">
        <v>3422</v>
      </c>
      <c r="H766" s="9" t="s">
        <v>4358</v>
      </c>
      <c r="I766" s="3"/>
      <c r="J766" s="3"/>
      <c r="K766" s="9"/>
    </row>
    <row r="767" ht="15.75" customHeight="1">
      <c r="A767" s="10" t="s">
        <v>12</v>
      </c>
      <c r="B767" s="10" t="s">
        <v>82</v>
      </c>
      <c r="C767" s="10" t="s">
        <v>4361</v>
      </c>
      <c r="D767" s="11" t="str">
        <f t="shared" si="1"/>
        <v>Abrir anúncio ↗</v>
      </c>
      <c r="E767" s="12" t="s">
        <v>4362</v>
      </c>
      <c r="F767" s="10" t="s">
        <v>29</v>
      </c>
      <c r="G767" s="12" t="s">
        <v>3422</v>
      </c>
      <c r="H767" s="12" t="s">
        <v>4358</v>
      </c>
      <c r="I767" s="10"/>
      <c r="J767" s="10"/>
      <c r="K767" s="12"/>
    </row>
    <row r="768" ht="15.75" customHeight="1">
      <c r="A768" s="3" t="s">
        <v>12</v>
      </c>
      <c r="B768" s="3" t="s">
        <v>82</v>
      </c>
      <c r="C768" s="3" t="s">
        <v>4364</v>
      </c>
      <c r="D768" s="8" t="str">
        <f t="shared" si="1"/>
        <v>Abrir anúncio ↗</v>
      </c>
      <c r="E768" s="9" t="s">
        <v>4366</v>
      </c>
      <c r="F768" s="3" t="s">
        <v>29</v>
      </c>
      <c r="G768" s="9" t="s">
        <v>99</v>
      </c>
      <c r="H768" s="9" t="s">
        <v>560</v>
      </c>
      <c r="I768" s="3"/>
      <c r="J768" s="3"/>
      <c r="K768" s="9"/>
    </row>
    <row r="769" ht="15.75" customHeight="1">
      <c r="A769" s="10" t="s">
        <v>12</v>
      </c>
      <c r="B769" s="10" t="s">
        <v>82</v>
      </c>
      <c r="C769" s="10" t="s">
        <v>4369</v>
      </c>
      <c r="D769" s="11" t="str">
        <f t="shared" si="1"/>
        <v>Abrir anúncio ↗</v>
      </c>
      <c r="E769" s="12" t="s">
        <v>4370</v>
      </c>
      <c r="F769" s="10" t="s">
        <v>29</v>
      </c>
      <c r="G769" s="12" t="s">
        <v>3422</v>
      </c>
      <c r="H769" s="12" t="s">
        <v>4372</v>
      </c>
      <c r="I769" s="10"/>
      <c r="J769" s="10"/>
      <c r="K769" s="12"/>
    </row>
    <row r="770" ht="15.75" customHeight="1">
      <c r="A770" s="3" t="s">
        <v>12</v>
      </c>
      <c r="B770" s="3" t="s">
        <v>82</v>
      </c>
      <c r="C770" s="3" t="s">
        <v>4374</v>
      </c>
      <c r="D770" s="8" t="str">
        <f t="shared" si="1"/>
        <v>Abrir anúncio ↗</v>
      </c>
      <c r="E770" s="9" t="s">
        <v>4375</v>
      </c>
      <c r="F770" s="3" t="s">
        <v>29</v>
      </c>
      <c r="G770" s="9" t="s">
        <v>3422</v>
      </c>
      <c r="H770" s="9" t="s">
        <v>4377</v>
      </c>
      <c r="I770" s="3"/>
      <c r="J770" s="3"/>
      <c r="K770" s="9"/>
    </row>
    <row r="771" ht="15.75" customHeight="1">
      <c r="A771" s="10" t="s">
        <v>12</v>
      </c>
      <c r="B771" s="10" t="s">
        <v>82</v>
      </c>
      <c r="C771" s="10" t="s">
        <v>4380</v>
      </c>
      <c r="D771" s="11" t="str">
        <f t="shared" si="1"/>
        <v>Abrir anúncio ↗</v>
      </c>
      <c r="E771" s="12" t="s">
        <v>4381</v>
      </c>
      <c r="F771" s="10" t="s">
        <v>29</v>
      </c>
      <c r="G771" s="12" t="s">
        <v>3685</v>
      </c>
      <c r="H771" s="12" t="s">
        <v>4383</v>
      </c>
      <c r="I771" s="10"/>
      <c r="J771" s="10"/>
      <c r="K771" s="12"/>
    </row>
    <row r="772" ht="15.75" customHeight="1">
      <c r="A772" s="3" t="s">
        <v>12</v>
      </c>
      <c r="B772" s="3" t="s">
        <v>82</v>
      </c>
      <c r="C772" s="3" t="s">
        <v>4384</v>
      </c>
      <c r="D772" s="8" t="str">
        <f t="shared" si="1"/>
        <v>Abrir anúncio ↗</v>
      </c>
      <c r="E772" s="9" t="s">
        <v>4385</v>
      </c>
      <c r="F772" s="3" t="s">
        <v>29</v>
      </c>
      <c r="G772" s="9" t="s">
        <v>3422</v>
      </c>
      <c r="H772" s="9" t="s">
        <v>4387</v>
      </c>
      <c r="I772" s="3"/>
      <c r="J772" s="3"/>
      <c r="K772" s="9"/>
    </row>
    <row r="773" ht="15.75" customHeight="1">
      <c r="A773" s="10" t="s">
        <v>12</v>
      </c>
      <c r="B773" s="10" t="s">
        <v>82</v>
      </c>
      <c r="C773" s="10" t="s">
        <v>4391</v>
      </c>
      <c r="D773" s="11" t="str">
        <f t="shared" si="1"/>
        <v>Abrir anúncio ↗</v>
      </c>
      <c r="E773" s="12" t="s">
        <v>4392</v>
      </c>
      <c r="F773" s="10" t="s">
        <v>29</v>
      </c>
      <c r="G773" s="12" t="s">
        <v>3685</v>
      </c>
      <c r="H773" s="12" t="s">
        <v>4253</v>
      </c>
      <c r="I773" s="10"/>
      <c r="J773" s="10"/>
      <c r="K773" s="12"/>
    </row>
    <row r="774" ht="15.75" customHeight="1">
      <c r="A774" s="3" t="s">
        <v>12</v>
      </c>
      <c r="B774" s="3" t="s">
        <v>82</v>
      </c>
      <c r="C774" s="3" t="s">
        <v>4393</v>
      </c>
      <c r="D774" s="8" t="str">
        <f t="shared" si="1"/>
        <v>Abrir anúncio ↗</v>
      </c>
      <c r="E774" s="9" t="s">
        <v>4396</v>
      </c>
      <c r="F774" s="3" t="s">
        <v>29</v>
      </c>
      <c r="G774" s="9" t="s">
        <v>3685</v>
      </c>
      <c r="H774" s="9" t="s">
        <v>3739</v>
      </c>
      <c r="I774" s="3"/>
      <c r="J774" s="3"/>
      <c r="K774" s="9"/>
    </row>
    <row r="775" ht="15.75" customHeight="1">
      <c r="A775" s="10" t="s">
        <v>12</v>
      </c>
      <c r="B775" s="10" t="s">
        <v>82</v>
      </c>
      <c r="C775" s="10" t="s">
        <v>4400</v>
      </c>
      <c r="D775" s="11" t="str">
        <f t="shared" si="1"/>
        <v>Abrir anúncio ↗</v>
      </c>
      <c r="E775" s="12" t="s">
        <v>4401</v>
      </c>
      <c r="F775" s="10" t="s">
        <v>29</v>
      </c>
      <c r="G775" s="12" t="s">
        <v>3685</v>
      </c>
      <c r="H775" s="12" t="s">
        <v>4402</v>
      </c>
      <c r="I775" s="10"/>
      <c r="J775" s="10"/>
      <c r="K775" s="12"/>
    </row>
    <row r="776" ht="15.75" customHeight="1">
      <c r="A776" s="3" t="s">
        <v>12</v>
      </c>
      <c r="B776" s="3" t="s">
        <v>82</v>
      </c>
      <c r="C776" s="3" t="s">
        <v>4406</v>
      </c>
      <c r="D776" s="8" t="str">
        <f t="shared" si="1"/>
        <v>Abrir anúncio ↗</v>
      </c>
      <c r="E776" s="9" t="s">
        <v>4408</v>
      </c>
      <c r="F776" s="3" t="s">
        <v>29</v>
      </c>
      <c r="G776" s="9" t="s">
        <v>3963</v>
      </c>
      <c r="H776" s="9" t="s">
        <v>4411</v>
      </c>
      <c r="I776" s="3"/>
      <c r="J776" s="3"/>
      <c r="K776" s="9"/>
    </row>
    <row r="777" ht="15.75" customHeight="1">
      <c r="A777" s="10" t="s">
        <v>12</v>
      </c>
      <c r="B777" s="10" t="s">
        <v>82</v>
      </c>
      <c r="C777" s="10" t="s">
        <v>4415</v>
      </c>
      <c r="D777" s="11" t="str">
        <f t="shared" si="1"/>
        <v>Abrir anúncio ↗</v>
      </c>
      <c r="E777" s="12" t="s">
        <v>4416</v>
      </c>
      <c r="F777" s="10" t="s">
        <v>29</v>
      </c>
      <c r="G777" s="12" t="s">
        <v>3709</v>
      </c>
      <c r="H777" s="12" t="s">
        <v>3712</v>
      </c>
      <c r="I777" s="10"/>
      <c r="J777" s="10"/>
      <c r="K777" s="12"/>
    </row>
    <row r="778" ht="15.75" customHeight="1">
      <c r="A778" s="3" t="s">
        <v>12</v>
      </c>
      <c r="B778" s="3" t="s">
        <v>82</v>
      </c>
      <c r="C778" s="3" t="s">
        <v>4421</v>
      </c>
      <c r="D778" s="8" t="str">
        <f t="shared" si="1"/>
        <v>Abrir anúncio ↗</v>
      </c>
      <c r="E778" s="9" t="s">
        <v>4422</v>
      </c>
      <c r="F778" s="3" t="s">
        <v>29</v>
      </c>
      <c r="G778" s="9" t="s">
        <v>3685</v>
      </c>
      <c r="H778" s="9" t="s">
        <v>3877</v>
      </c>
      <c r="I778" s="3"/>
      <c r="J778" s="3"/>
      <c r="K778" s="9"/>
    </row>
    <row r="779" ht="15.75" customHeight="1">
      <c r="A779" s="10" t="s">
        <v>12</v>
      </c>
      <c r="B779" s="10" t="s">
        <v>82</v>
      </c>
      <c r="C779" s="10" t="s">
        <v>4427</v>
      </c>
      <c r="D779" s="11" t="str">
        <f t="shared" si="1"/>
        <v>Abrir anúncio ↗</v>
      </c>
      <c r="E779" s="12" t="s">
        <v>4428</v>
      </c>
      <c r="F779" s="10" t="s">
        <v>29</v>
      </c>
      <c r="G779" s="12" t="s">
        <v>3963</v>
      </c>
      <c r="H779" s="12" t="s">
        <v>4430</v>
      </c>
      <c r="I779" s="10"/>
      <c r="J779" s="10"/>
      <c r="K779" s="12"/>
    </row>
    <row r="780" ht="15.75" customHeight="1">
      <c r="A780" s="3" t="s">
        <v>12</v>
      </c>
      <c r="B780" s="3" t="s">
        <v>82</v>
      </c>
      <c r="C780" s="3" t="s">
        <v>4433</v>
      </c>
      <c r="D780" s="8" t="str">
        <f t="shared" si="1"/>
        <v>Abrir anúncio ↗</v>
      </c>
      <c r="E780" s="9" t="s">
        <v>4436</v>
      </c>
      <c r="F780" s="3" t="s">
        <v>29</v>
      </c>
      <c r="G780" s="9" t="s">
        <v>3963</v>
      </c>
      <c r="H780" s="9" t="s">
        <v>4438</v>
      </c>
      <c r="I780" s="3"/>
      <c r="J780" s="3"/>
      <c r="K780" s="9"/>
    </row>
    <row r="781" ht="15.75" customHeight="1">
      <c r="A781" s="10" t="s">
        <v>12</v>
      </c>
      <c r="B781" s="10" t="s">
        <v>82</v>
      </c>
      <c r="C781" s="10" t="s">
        <v>4440</v>
      </c>
      <c r="D781" s="11" t="str">
        <f t="shared" si="1"/>
        <v>Abrir anúncio ↗</v>
      </c>
      <c r="E781" s="12" t="s">
        <v>4441</v>
      </c>
      <c r="F781" s="10" t="s">
        <v>29</v>
      </c>
      <c r="G781" s="12" t="s">
        <v>3709</v>
      </c>
      <c r="H781" s="12" t="s">
        <v>4443</v>
      </c>
      <c r="I781" s="10"/>
      <c r="J781" s="10"/>
      <c r="K781" s="12"/>
    </row>
    <row r="782" ht="15.75" customHeight="1">
      <c r="A782" s="3" t="s">
        <v>12</v>
      </c>
      <c r="B782" s="3" t="s">
        <v>82</v>
      </c>
      <c r="C782" s="3" t="s">
        <v>4447</v>
      </c>
      <c r="D782" s="8" t="str">
        <f t="shared" si="1"/>
        <v>Abrir anúncio ↗</v>
      </c>
      <c r="E782" s="9" t="s">
        <v>3498</v>
      </c>
      <c r="F782" s="3" t="s">
        <v>29</v>
      </c>
      <c r="G782" s="9" t="s">
        <v>4450</v>
      </c>
      <c r="H782" s="9" t="s">
        <v>4451</v>
      </c>
      <c r="I782" s="3"/>
      <c r="J782" s="3"/>
      <c r="K782" s="9"/>
    </row>
    <row r="783" ht="15.75" customHeight="1">
      <c r="A783" s="10" t="s">
        <v>12</v>
      </c>
      <c r="B783" s="10" t="s">
        <v>82</v>
      </c>
      <c r="C783" s="10" t="s">
        <v>4453</v>
      </c>
      <c r="D783" s="11" t="str">
        <f t="shared" si="1"/>
        <v>Abrir anúncio ↗</v>
      </c>
      <c r="E783" s="12" t="s">
        <v>4455</v>
      </c>
      <c r="F783" s="10" t="s">
        <v>29</v>
      </c>
      <c r="G783" s="12" t="s">
        <v>3963</v>
      </c>
      <c r="H783" s="12" t="s">
        <v>4456</v>
      </c>
      <c r="I783" s="10"/>
      <c r="J783" s="10"/>
      <c r="K783" s="12"/>
    </row>
    <row r="784" ht="15.75" customHeight="1">
      <c r="A784" s="3" t="s">
        <v>12</v>
      </c>
      <c r="B784" s="3" t="s">
        <v>82</v>
      </c>
      <c r="C784" s="3" t="s">
        <v>4459</v>
      </c>
      <c r="D784" s="8" t="str">
        <f t="shared" si="1"/>
        <v>Abrir anúncio ↗</v>
      </c>
      <c r="E784" s="9" t="s">
        <v>4461</v>
      </c>
      <c r="F784" s="3" t="s">
        <v>29</v>
      </c>
      <c r="G784" s="9" t="s">
        <v>3685</v>
      </c>
      <c r="H784" s="9" t="s">
        <v>3809</v>
      </c>
      <c r="I784" s="3"/>
      <c r="J784" s="3"/>
      <c r="K784" s="9"/>
    </row>
    <row r="785" ht="15.75" customHeight="1">
      <c r="A785" s="10" t="s">
        <v>12</v>
      </c>
      <c r="B785" s="10" t="s">
        <v>82</v>
      </c>
      <c r="C785" s="10" t="s">
        <v>4465</v>
      </c>
      <c r="D785" s="11" t="str">
        <f t="shared" si="1"/>
        <v>Abrir anúncio ↗</v>
      </c>
      <c r="E785" s="12" t="s">
        <v>4466</v>
      </c>
      <c r="F785" s="10" t="s">
        <v>29</v>
      </c>
      <c r="G785" s="12" t="s">
        <v>2390</v>
      </c>
      <c r="H785" s="12" t="s">
        <v>2392</v>
      </c>
      <c r="I785" s="10"/>
      <c r="J785" s="10"/>
      <c r="K785" s="12"/>
    </row>
    <row r="786" ht="15.75" customHeight="1">
      <c r="A786" s="3" t="s">
        <v>12</v>
      </c>
      <c r="B786" s="3" t="s">
        <v>82</v>
      </c>
      <c r="C786" s="3" t="s">
        <v>4470</v>
      </c>
      <c r="D786" s="8" t="str">
        <f t="shared" si="1"/>
        <v>Abrir anúncio ↗</v>
      </c>
      <c r="E786" s="9" t="s">
        <v>4473</v>
      </c>
      <c r="F786" s="3" t="s">
        <v>29</v>
      </c>
      <c r="G786" s="9" t="s">
        <v>3709</v>
      </c>
      <c r="H786" s="9" t="s">
        <v>4146</v>
      </c>
      <c r="I786" s="3"/>
      <c r="J786" s="3"/>
      <c r="K786" s="9"/>
    </row>
    <row r="787" ht="15.75" customHeight="1">
      <c r="A787" s="10" t="s">
        <v>12</v>
      </c>
      <c r="B787" s="10" t="s">
        <v>82</v>
      </c>
      <c r="C787" s="10" t="s">
        <v>4475</v>
      </c>
      <c r="D787" s="11" t="str">
        <f t="shared" si="1"/>
        <v>Abrir anúncio ↗</v>
      </c>
      <c r="E787" s="12" t="s">
        <v>4476</v>
      </c>
      <c r="F787" s="10" t="s">
        <v>29</v>
      </c>
      <c r="G787" s="12" t="s">
        <v>3709</v>
      </c>
      <c r="H787" s="12" t="s">
        <v>4332</v>
      </c>
      <c r="I787" s="10"/>
      <c r="J787" s="10"/>
      <c r="K787" s="12"/>
    </row>
    <row r="788" ht="15.75" customHeight="1">
      <c r="A788" s="3" t="s">
        <v>12</v>
      </c>
      <c r="B788" s="3" t="s">
        <v>82</v>
      </c>
      <c r="C788" s="3" t="s">
        <v>4481</v>
      </c>
      <c r="D788" s="8" t="str">
        <f t="shared" si="1"/>
        <v>Abrir anúncio ↗</v>
      </c>
      <c r="E788" s="9" t="s">
        <v>4483</v>
      </c>
      <c r="F788" s="3" t="s">
        <v>29</v>
      </c>
      <c r="G788" s="9" t="s">
        <v>2390</v>
      </c>
      <c r="H788" s="9" t="s">
        <v>2392</v>
      </c>
      <c r="I788" s="3"/>
      <c r="J788" s="3"/>
      <c r="K788" s="9"/>
    </row>
    <row r="789" ht="15.75" customHeight="1">
      <c r="A789" s="10" t="s">
        <v>12</v>
      </c>
      <c r="B789" s="10" t="s">
        <v>82</v>
      </c>
      <c r="C789" s="10" t="s">
        <v>4484</v>
      </c>
      <c r="D789" s="11" t="str">
        <f t="shared" si="1"/>
        <v>Abrir anúncio ↗</v>
      </c>
      <c r="E789" s="12" t="s">
        <v>4485</v>
      </c>
      <c r="F789" s="10" t="s">
        <v>29</v>
      </c>
      <c r="G789" s="12" t="s">
        <v>2390</v>
      </c>
      <c r="H789" s="12" t="s">
        <v>2392</v>
      </c>
      <c r="I789" s="10"/>
      <c r="J789" s="10"/>
      <c r="K789" s="12"/>
    </row>
    <row r="790" ht="15.75" customHeight="1">
      <c r="A790" s="3" t="s">
        <v>12</v>
      </c>
      <c r="B790" s="3" t="s">
        <v>82</v>
      </c>
      <c r="C790" s="3" t="s">
        <v>4487</v>
      </c>
      <c r="D790" s="8" t="str">
        <f t="shared" si="1"/>
        <v>Abrir anúncio ↗</v>
      </c>
      <c r="E790" s="9" t="s">
        <v>4490</v>
      </c>
      <c r="F790" s="3" t="s">
        <v>29</v>
      </c>
      <c r="G790" s="9" t="s">
        <v>2390</v>
      </c>
      <c r="H790" s="9" t="s">
        <v>2392</v>
      </c>
      <c r="I790" s="3"/>
      <c r="J790" s="3"/>
      <c r="K790" s="9"/>
    </row>
    <row r="791" ht="15.75" customHeight="1">
      <c r="A791" s="10" t="s">
        <v>12</v>
      </c>
      <c r="B791" s="10" t="s">
        <v>82</v>
      </c>
      <c r="C791" s="10" t="s">
        <v>4495</v>
      </c>
      <c r="D791" s="11" t="str">
        <f t="shared" si="1"/>
        <v>Abrir anúncio ↗</v>
      </c>
      <c r="E791" s="12" t="s">
        <v>4497</v>
      </c>
      <c r="F791" s="10" t="s">
        <v>29</v>
      </c>
      <c r="G791" s="12" t="s">
        <v>4498</v>
      </c>
      <c r="H791" s="12" t="s">
        <v>4499</v>
      </c>
      <c r="I791" s="10"/>
      <c r="J791" s="10"/>
      <c r="K791" s="12"/>
    </row>
    <row r="792" ht="15.75" customHeight="1">
      <c r="A792" s="3" t="s">
        <v>12</v>
      </c>
      <c r="B792" s="3" t="s">
        <v>82</v>
      </c>
      <c r="C792" s="3" t="s">
        <v>4502</v>
      </c>
      <c r="D792" s="8" t="str">
        <f t="shared" si="1"/>
        <v>Abrir anúncio ↗</v>
      </c>
      <c r="E792" s="9" t="s">
        <v>4503</v>
      </c>
      <c r="F792" s="3" t="s">
        <v>29</v>
      </c>
      <c r="G792" s="9" t="s">
        <v>3709</v>
      </c>
      <c r="H792" s="9" t="s">
        <v>4146</v>
      </c>
      <c r="I792" s="3"/>
      <c r="J792" s="3"/>
      <c r="K792" s="9"/>
    </row>
    <row r="793" ht="15.75" customHeight="1">
      <c r="A793" s="10" t="s">
        <v>12</v>
      </c>
      <c r="B793" s="10" t="s">
        <v>82</v>
      </c>
      <c r="C793" s="10" t="s">
        <v>4508</v>
      </c>
      <c r="D793" s="11" t="str">
        <f t="shared" si="1"/>
        <v>Abrir anúncio ↗</v>
      </c>
      <c r="E793" s="12" t="s">
        <v>4509</v>
      </c>
      <c r="F793" s="10" t="s">
        <v>29</v>
      </c>
      <c r="G793" s="12" t="s">
        <v>3685</v>
      </c>
      <c r="H793" s="12" t="s">
        <v>4510</v>
      </c>
      <c r="I793" s="10"/>
      <c r="J793" s="10"/>
      <c r="K793" s="12"/>
    </row>
    <row r="794" ht="15.75" customHeight="1">
      <c r="A794" s="3" t="s">
        <v>12</v>
      </c>
      <c r="B794" s="3" t="s">
        <v>82</v>
      </c>
      <c r="C794" s="3" t="s">
        <v>4513</v>
      </c>
      <c r="D794" s="8" t="str">
        <f t="shared" si="1"/>
        <v>Abrir anúncio ↗</v>
      </c>
      <c r="E794" s="9" t="s">
        <v>4514</v>
      </c>
      <c r="F794" s="3" t="s">
        <v>86</v>
      </c>
      <c r="G794" s="9" t="s">
        <v>2390</v>
      </c>
      <c r="H794" s="9" t="s">
        <v>2392</v>
      </c>
      <c r="I794" s="3"/>
      <c r="J794" s="3"/>
      <c r="K794" s="9"/>
    </row>
    <row r="795" ht="15.75" customHeight="1">
      <c r="A795" s="10" t="s">
        <v>12</v>
      </c>
      <c r="B795" s="10" t="s">
        <v>82</v>
      </c>
      <c r="C795" s="10" t="s">
        <v>4518</v>
      </c>
      <c r="D795" s="11" t="str">
        <f t="shared" si="1"/>
        <v>Abrir anúncio ↗</v>
      </c>
      <c r="E795" s="12" t="s">
        <v>4520</v>
      </c>
      <c r="F795" s="10" t="s">
        <v>86</v>
      </c>
      <c r="G795" s="12" t="s">
        <v>3788</v>
      </c>
      <c r="H795" s="12" t="s">
        <v>3884</v>
      </c>
      <c r="I795" s="10"/>
      <c r="J795" s="10"/>
      <c r="K795" s="12"/>
    </row>
    <row r="796" ht="15.75" customHeight="1">
      <c r="A796" s="3" t="s">
        <v>12</v>
      </c>
      <c r="B796" s="3" t="s">
        <v>82</v>
      </c>
      <c r="C796" s="3" t="s">
        <v>4522</v>
      </c>
      <c r="D796" s="8" t="str">
        <f t="shared" si="1"/>
        <v>Abrir anúncio ↗</v>
      </c>
      <c r="E796" s="9" t="s">
        <v>4524</v>
      </c>
      <c r="F796" s="3" t="s">
        <v>29</v>
      </c>
      <c r="G796" s="9" t="s">
        <v>3709</v>
      </c>
      <c r="H796" s="9" t="s">
        <v>4332</v>
      </c>
      <c r="I796" s="3"/>
      <c r="J796" s="3"/>
      <c r="K796" s="9"/>
    </row>
    <row r="797" ht="15.75" customHeight="1">
      <c r="A797" s="10" t="s">
        <v>12</v>
      </c>
      <c r="B797" s="10" t="s">
        <v>82</v>
      </c>
      <c r="C797" s="10" t="s">
        <v>4528</v>
      </c>
      <c r="D797" s="11" t="str">
        <f t="shared" si="1"/>
        <v>Abrir anúncio ↗</v>
      </c>
      <c r="E797" s="12" t="s">
        <v>4529</v>
      </c>
      <c r="F797" s="10" t="s">
        <v>29</v>
      </c>
      <c r="G797" s="12" t="s">
        <v>3709</v>
      </c>
      <c r="H797" s="12" t="s">
        <v>4084</v>
      </c>
      <c r="I797" s="10"/>
      <c r="J797" s="10"/>
      <c r="K797" s="12"/>
    </row>
    <row r="798" ht="15.75" customHeight="1">
      <c r="A798" s="3" t="s">
        <v>12</v>
      </c>
      <c r="B798" s="3" t="s">
        <v>82</v>
      </c>
      <c r="C798" s="3" t="s">
        <v>4535</v>
      </c>
      <c r="D798" s="8" t="str">
        <f t="shared" si="1"/>
        <v>Abrir anúncio ↗</v>
      </c>
      <c r="E798" s="9" t="s">
        <v>4536</v>
      </c>
      <c r="F798" s="3" t="s">
        <v>29</v>
      </c>
      <c r="G798" s="9" t="s">
        <v>4538</v>
      </c>
      <c r="H798" s="9" t="s">
        <v>4539</v>
      </c>
      <c r="I798" s="3"/>
      <c r="J798" s="3"/>
      <c r="K798" s="9"/>
    </row>
    <row r="799" ht="15.75" customHeight="1">
      <c r="A799" s="10" t="s">
        <v>12</v>
      </c>
      <c r="B799" s="10" t="s">
        <v>82</v>
      </c>
      <c r="C799" s="10" t="s">
        <v>4540</v>
      </c>
      <c r="D799" s="11" t="str">
        <f t="shared" si="1"/>
        <v>Abrir anúncio ↗</v>
      </c>
      <c r="E799" s="12" t="s">
        <v>4542</v>
      </c>
      <c r="F799" s="10" t="s">
        <v>29</v>
      </c>
      <c r="G799" s="12" t="s">
        <v>3709</v>
      </c>
      <c r="H799" s="12" t="s">
        <v>4443</v>
      </c>
      <c r="I799" s="10"/>
      <c r="J799" s="10"/>
      <c r="K799" s="12"/>
    </row>
    <row r="800" ht="15.75" customHeight="1">
      <c r="A800" s="3" t="s">
        <v>12</v>
      </c>
      <c r="B800" s="3" t="s">
        <v>82</v>
      </c>
      <c r="C800" s="3" t="s">
        <v>4547</v>
      </c>
      <c r="D800" s="8" t="str">
        <f t="shared" si="1"/>
        <v>Abrir anúncio ↗</v>
      </c>
      <c r="E800" s="9" t="s">
        <v>4550</v>
      </c>
      <c r="F800" s="3" t="s">
        <v>86</v>
      </c>
      <c r="G800" s="9" t="s">
        <v>2390</v>
      </c>
      <c r="H800" s="9" t="s">
        <v>2392</v>
      </c>
      <c r="I800" s="3"/>
      <c r="J800" s="3"/>
      <c r="K800" s="9"/>
    </row>
    <row r="801" ht="15.75" customHeight="1">
      <c r="A801" s="10" t="s">
        <v>12</v>
      </c>
      <c r="B801" s="10" t="s">
        <v>82</v>
      </c>
      <c r="C801" s="10" t="s">
        <v>4552</v>
      </c>
      <c r="D801" s="11" t="str">
        <f t="shared" si="1"/>
        <v>Abrir anúncio ↗</v>
      </c>
      <c r="E801" s="12" t="s">
        <v>4554</v>
      </c>
      <c r="F801" s="10" t="s">
        <v>29</v>
      </c>
      <c r="G801" s="12" t="s">
        <v>3685</v>
      </c>
      <c r="H801" s="12" t="s">
        <v>4557</v>
      </c>
      <c r="I801" s="10"/>
      <c r="J801" s="10"/>
      <c r="K801" s="12"/>
    </row>
    <row r="802" ht="15.75" customHeight="1">
      <c r="A802" s="3" t="s">
        <v>12</v>
      </c>
      <c r="B802" s="3" t="s">
        <v>82</v>
      </c>
      <c r="C802" s="3" t="s">
        <v>4560</v>
      </c>
      <c r="D802" s="8" t="str">
        <f t="shared" si="1"/>
        <v>Abrir anúncio ↗</v>
      </c>
      <c r="E802" s="9" t="s">
        <v>4562</v>
      </c>
      <c r="F802" s="3" t="s">
        <v>29</v>
      </c>
      <c r="G802" s="9" t="s">
        <v>3685</v>
      </c>
      <c r="H802" s="9" t="s">
        <v>4167</v>
      </c>
      <c r="I802" s="3"/>
      <c r="J802" s="3"/>
      <c r="K802" s="9"/>
    </row>
    <row r="803" ht="15.75" customHeight="1">
      <c r="A803" s="10" t="s">
        <v>12</v>
      </c>
      <c r="B803" s="10" t="s">
        <v>82</v>
      </c>
      <c r="C803" s="10" t="s">
        <v>4565</v>
      </c>
      <c r="D803" s="11" t="str">
        <f t="shared" si="1"/>
        <v>Abrir anúncio ↗</v>
      </c>
      <c r="E803" s="12" t="s">
        <v>4566</v>
      </c>
      <c r="F803" s="10" t="s">
        <v>29</v>
      </c>
      <c r="G803" s="12" t="s">
        <v>2390</v>
      </c>
      <c r="H803" s="12" t="s">
        <v>2392</v>
      </c>
      <c r="I803" s="10"/>
      <c r="J803" s="10"/>
      <c r="K803" s="12"/>
    </row>
    <row r="804" ht="15.75" customHeight="1">
      <c r="A804" s="3" t="s">
        <v>12</v>
      </c>
      <c r="B804" s="3" t="s">
        <v>82</v>
      </c>
      <c r="C804" s="3" t="s">
        <v>4569</v>
      </c>
      <c r="D804" s="8" t="str">
        <f t="shared" si="1"/>
        <v>Abrir anúncio ↗</v>
      </c>
      <c r="E804" s="9" t="s">
        <v>4571</v>
      </c>
      <c r="F804" s="3" t="s">
        <v>29</v>
      </c>
      <c r="G804" s="9" t="s">
        <v>2390</v>
      </c>
      <c r="H804" s="9" t="s">
        <v>2392</v>
      </c>
      <c r="I804" s="3"/>
      <c r="J804" s="3"/>
      <c r="K804" s="9"/>
    </row>
    <row r="805" ht="15.75" customHeight="1">
      <c r="A805" s="10" t="s">
        <v>12</v>
      </c>
      <c r="B805" s="10" t="s">
        <v>82</v>
      </c>
      <c r="C805" s="10" t="s">
        <v>4576</v>
      </c>
      <c r="D805" s="11" t="str">
        <f t="shared" si="1"/>
        <v>Abrir anúncio ↗</v>
      </c>
      <c r="E805" s="12" t="s">
        <v>4577</v>
      </c>
      <c r="F805" s="10" t="s">
        <v>29</v>
      </c>
      <c r="G805" s="12" t="s">
        <v>2390</v>
      </c>
      <c r="H805" s="12" t="s">
        <v>2392</v>
      </c>
      <c r="I805" s="10"/>
      <c r="J805" s="10"/>
      <c r="K805" s="12"/>
    </row>
    <row r="806" ht="15.75" customHeight="1">
      <c r="A806" s="3" t="s">
        <v>12</v>
      </c>
      <c r="B806" s="3" t="s">
        <v>82</v>
      </c>
      <c r="C806" s="3" t="s">
        <v>4581</v>
      </c>
      <c r="D806" s="8" t="str">
        <f t="shared" si="1"/>
        <v>Abrir anúncio ↗</v>
      </c>
      <c r="E806" s="9" t="s">
        <v>4583</v>
      </c>
      <c r="F806" s="3" t="s">
        <v>29</v>
      </c>
      <c r="G806" s="9" t="s">
        <v>3709</v>
      </c>
      <c r="H806" s="9" t="s">
        <v>4584</v>
      </c>
      <c r="I806" s="3"/>
      <c r="J806" s="3"/>
      <c r="K806" s="9"/>
    </row>
    <row r="807" ht="15.75" customHeight="1">
      <c r="A807" s="10" t="s">
        <v>12</v>
      </c>
      <c r="B807" s="10" t="s">
        <v>82</v>
      </c>
      <c r="C807" s="10" t="s">
        <v>4586</v>
      </c>
      <c r="D807" s="11" t="str">
        <f t="shared" si="1"/>
        <v>Abrir anúncio ↗</v>
      </c>
      <c r="E807" s="12" t="s">
        <v>4587</v>
      </c>
      <c r="F807" s="10" t="s">
        <v>29</v>
      </c>
      <c r="G807" s="12" t="s">
        <v>3709</v>
      </c>
      <c r="H807" s="12" t="s">
        <v>4590</v>
      </c>
      <c r="I807" s="10"/>
      <c r="J807" s="10"/>
      <c r="K807" s="12"/>
    </row>
    <row r="808" ht="15.75" customHeight="1">
      <c r="A808" s="3" t="s">
        <v>12</v>
      </c>
      <c r="B808" s="3" t="s">
        <v>82</v>
      </c>
      <c r="C808" s="3" t="s">
        <v>4594</v>
      </c>
      <c r="D808" s="8" t="str">
        <f t="shared" si="1"/>
        <v>Abrir anúncio ↗</v>
      </c>
      <c r="E808" s="9" t="s">
        <v>4595</v>
      </c>
      <c r="F808" s="3" t="s">
        <v>29</v>
      </c>
      <c r="G808" s="9" t="s">
        <v>3709</v>
      </c>
      <c r="H808" s="9" t="s">
        <v>3904</v>
      </c>
      <c r="I808" s="3"/>
      <c r="J808" s="3"/>
      <c r="K808" s="9"/>
    </row>
    <row r="809" ht="15.75" customHeight="1">
      <c r="A809" s="10" t="s">
        <v>12</v>
      </c>
      <c r="B809" s="10" t="s">
        <v>82</v>
      </c>
      <c r="C809" s="10" t="s">
        <v>4598</v>
      </c>
      <c r="D809" s="11" t="str">
        <f t="shared" si="1"/>
        <v>Abrir anúncio ↗</v>
      </c>
      <c r="E809" s="12" t="s">
        <v>4601</v>
      </c>
      <c r="F809" s="10" t="s">
        <v>29</v>
      </c>
      <c r="G809" s="12" t="s">
        <v>3709</v>
      </c>
      <c r="H809" s="12" t="s">
        <v>3999</v>
      </c>
      <c r="I809" s="10"/>
      <c r="J809" s="10"/>
      <c r="K809" s="12"/>
    </row>
    <row r="810" ht="15.75" customHeight="1">
      <c r="A810" s="3" t="s">
        <v>12</v>
      </c>
      <c r="B810" s="3" t="s">
        <v>82</v>
      </c>
      <c r="C810" s="3" t="s">
        <v>4604</v>
      </c>
      <c r="D810" s="8" t="str">
        <f t="shared" si="1"/>
        <v>Abrir anúncio ↗</v>
      </c>
      <c r="E810" s="9" t="s">
        <v>4606</v>
      </c>
      <c r="F810" s="3" t="s">
        <v>29</v>
      </c>
      <c r="G810" s="9" t="s">
        <v>2390</v>
      </c>
      <c r="H810" s="9" t="s">
        <v>2392</v>
      </c>
      <c r="I810" s="3"/>
      <c r="J810" s="3"/>
      <c r="K810" s="9"/>
    </row>
    <row r="811" ht="15.75" customHeight="1">
      <c r="A811" s="10" t="s">
        <v>12</v>
      </c>
      <c r="B811" s="10" t="s">
        <v>82</v>
      </c>
      <c r="C811" s="10" t="s">
        <v>4609</v>
      </c>
      <c r="D811" s="11" t="str">
        <f t="shared" si="1"/>
        <v>Abrir anúncio ↗</v>
      </c>
      <c r="E811" s="12" t="s">
        <v>4612</v>
      </c>
      <c r="F811" s="10" t="s">
        <v>29</v>
      </c>
      <c r="G811" s="12" t="s">
        <v>3709</v>
      </c>
      <c r="H811" s="12" t="s">
        <v>4332</v>
      </c>
      <c r="I811" s="10"/>
      <c r="J811" s="10"/>
      <c r="K811" s="12"/>
    </row>
    <row r="812" ht="15.75" customHeight="1">
      <c r="A812" s="3" t="s">
        <v>12</v>
      </c>
      <c r="B812" s="3" t="s">
        <v>82</v>
      </c>
      <c r="C812" s="3" t="s">
        <v>4616</v>
      </c>
      <c r="D812" s="8" t="str">
        <f t="shared" si="1"/>
        <v>Abrir anúncio ↗</v>
      </c>
      <c r="E812" s="9" t="s">
        <v>4618</v>
      </c>
      <c r="F812" s="3" t="s">
        <v>29</v>
      </c>
      <c r="G812" s="9" t="s">
        <v>3709</v>
      </c>
      <c r="H812" s="9" t="s">
        <v>4245</v>
      </c>
      <c r="I812" s="3"/>
      <c r="J812" s="3"/>
      <c r="K812" s="9"/>
    </row>
    <row r="813" ht="15.75" customHeight="1">
      <c r="A813" s="10" t="s">
        <v>12</v>
      </c>
      <c r="B813" s="10" t="s">
        <v>82</v>
      </c>
      <c r="C813" s="10" t="s">
        <v>4621</v>
      </c>
      <c r="D813" s="11" t="str">
        <f t="shared" si="1"/>
        <v>Abrir anúncio ↗</v>
      </c>
      <c r="E813" s="12" t="s">
        <v>4622</v>
      </c>
      <c r="F813" s="10" t="s">
        <v>29</v>
      </c>
      <c r="G813" s="12" t="s">
        <v>2390</v>
      </c>
      <c r="H813" s="12" t="s">
        <v>2392</v>
      </c>
      <c r="I813" s="10"/>
      <c r="J813" s="10"/>
      <c r="K813" s="12"/>
    </row>
    <row r="814" ht="15.75" customHeight="1">
      <c r="A814" s="3" t="s">
        <v>12</v>
      </c>
      <c r="B814" s="3" t="s">
        <v>82</v>
      </c>
      <c r="C814" s="3" t="s">
        <v>4627</v>
      </c>
      <c r="D814" s="8" t="str">
        <f t="shared" si="1"/>
        <v>Abrir anúncio ↗</v>
      </c>
      <c r="E814" s="9" t="s">
        <v>4630</v>
      </c>
      <c r="F814" s="3" t="s">
        <v>29</v>
      </c>
      <c r="G814" s="9" t="s">
        <v>3709</v>
      </c>
      <c r="H814" s="9" t="s">
        <v>4245</v>
      </c>
      <c r="I814" s="3"/>
      <c r="J814" s="3"/>
      <c r="K814" s="9"/>
    </row>
    <row r="815" ht="15.75" customHeight="1">
      <c r="A815" s="10" t="s">
        <v>12</v>
      </c>
      <c r="B815" s="10" t="s">
        <v>82</v>
      </c>
      <c r="C815" s="10" t="s">
        <v>4632</v>
      </c>
      <c r="D815" s="11" t="str">
        <f t="shared" si="1"/>
        <v>Abrir anúncio ↗</v>
      </c>
      <c r="E815" s="12" t="s">
        <v>4633</v>
      </c>
      <c r="F815" s="10" t="s">
        <v>29</v>
      </c>
      <c r="G815" s="12" t="s">
        <v>3709</v>
      </c>
      <c r="H815" s="12" t="s">
        <v>4141</v>
      </c>
      <c r="I815" s="10"/>
      <c r="J815" s="10"/>
      <c r="K815" s="12"/>
    </row>
    <row r="816" ht="15.75" customHeight="1">
      <c r="A816" s="3" t="s">
        <v>12</v>
      </c>
      <c r="B816" s="3" t="s">
        <v>82</v>
      </c>
      <c r="C816" s="3" t="s">
        <v>4637</v>
      </c>
      <c r="D816" s="8" t="str">
        <f t="shared" si="1"/>
        <v>Abrir anúncio ↗</v>
      </c>
      <c r="E816" s="9" t="s">
        <v>4639</v>
      </c>
      <c r="F816" s="3" t="s">
        <v>29</v>
      </c>
      <c r="G816" s="9" t="s">
        <v>3709</v>
      </c>
      <c r="H816" s="9" t="s">
        <v>3725</v>
      </c>
      <c r="I816" s="3"/>
      <c r="J816" s="3"/>
      <c r="K816" s="9"/>
    </row>
    <row r="817" ht="15.75" customHeight="1">
      <c r="A817" s="10" t="s">
        <v>12</v>
      </c>
      <c r="B817" s="10" t="s">
        <v>82</v>
      </c>
      <c r="C817" s="10" t="s">
        <v>4644</v>
      </c>
      <c r="D817" s="11" t="str">
        <f t="shared" si="1"/>
        <v>Abrir anúncio ↗</v>
      </c>
      <c r="E817" s="12" t="s">
        <v>4645</v>
      </c>
      <c r="F817" s="10" t="s">
        <v>29</v>
      </c>
      <c r="G817" s="12" t="s">
        <v>3709</v>
      </c>
      <c r="H817" s="12" t="s">
        <v>4141</v>
      </c>
      <c r="I817" s="10"/>
      <c r="J817" s="10"/>
      <c r="K817" s="12"/>
    </row>
    <row r="818" ht="15.75" customHeight="1">
      <c r="A818" s="3" t="s">
        <v>12</v>
      </c>
      <c r="B818" s="3" t="s">
        <v>82</v>
      </c>
      <c r="C818" s="3" t="s">
        <v>4648</v>
      </c>
      <c r="D818" s="8" t="str">
        <f t="shared" si="1"/>
        <v>Abrir anúncio ↗</v>
      </c>
      <c r="E818" s="9" t="s">
        <v>4650</v>
      </c>
      <c r="F818" s="3" t="s">
        <v>29</v>
      </c>
      <c r="G818" s="9" t="s">
        <v>3709</v>
      </c>
      <c r="H818" s="9" t="s">
        <v>3904</v>
      </c>
      <c r="I818" s="3"/>
      <c r="J818" s="3"/>
      <c r="K818" s="9"/>
    </row>
    <row r="819" ht="15.75" customHeight="1">
      <c r="A819" s="10" t="s">
        <v>12</v>
      </c>
      <c r="B819" s="10" t="s">
        <v>82</v>
      </c>
      <c r="C819" s="10" t="s">
        <v>4654</v>
      </c>
      <c r="D819" s="11" t="str">
        <f t="shared" si="1"/>
        <v>Abrir anúncio ↗</v>
      </c>
      <c r="E819" s="12" t="s">
        <v>4655</v>
      </c>
      <c r="F819" s="10" t="s">
        <v>29</v>
      </c>
      <c r="G819" s="12" t="s">
        <v>3709</v>
      </c>
      <c r="H819" s="12" t="s">
        <v>4443</v>
      </c>
      <c r="I819" s="10"/>
      <c r="J819" s="10"/>
      <c r="K819" s="12"/>
    </row>
    <row r="820" ht="15.75" customHeight="1">
      <c r="A820" s="3" t="s">
        <v>12</v>
      </c>
      <c r="B820" s="3" t="s">
        <v>82</v>
      </c>
      <c r="C820" s="3" t="s">
        <v>4657</v>
      </c>
      <c r="D820" s="8" t="str">
        <f t="shared" si="1"/>
        <v>Abrir anúncio ↗</v>
      </c>
      <c r="E820" s="9" t="s">
        <v>4661</v>
      </c>
      <c r="F820" s="3" t="s">
        <v>29</v>
      </c>
      <c r="G820" s="9" t="s">
        <v>3709</v>
      </c>
      <c r="H820" s="9" t="s">
        <v>4058</v>
      </c>
      <c r="I820" s="3"/>
      <c r="J820" s="3"/>
      <c r="K820" s="9"/>
    </row>
    <row r="821" ht="15.75" customHeight="1">
      <c r="A821" s="10" t="s">
        <v>12</v>
      </c>
      <c r="B821" s="10" t="s">
        <v>82</v>
      </c>
      <c r="C821" s="10" t="s">
        <v>4666</v>
      </c>
      <c r="D821" s="11" t="str">
        <f t="shared" si="1"/>
        <v>Abrir anúncio ↗</v>
      </c>
      <c r="E821" s="12" t="s">
        <v>4667</v>
      </c>
      <c r="F821" s="10" t="s">
        <v>29</v>
      </c>
      <c r="G821" s="12" t="s">
        <v>2390</v>
      </c>
      <c r="H821" s="12" t="s">
        <v>2392</v>
      </c>
      <c r="I821" s="10"/>
      <c r="J821" s="10"/>
      <c r="K821" s="12"/>
    </row>
    <row r="822" ht="15.75" customHeight="1">
      <c r="A822" s="3" t="s">
        <v>12</v>
      </c>
      <c r="B822" s="3" t="s">
        <v>82</v>
      </c>
      <c r="C822" s="3" t="s">
        <v>4669</v>
      </c>
      <c r="D822" s="8" t="str">
        <f t="shared" si="1"/>
        <v>Abrir anúncio ↗</v>
      </c>
      <c r="E822" s="9" t="s">
        <v>4672</v>
      </c>
      <c r="F822" s="3" t="s">
        <v>29</v>
      </c>
      <c r="G822" s="9" t="s">
        <v>3709</v>
      </c>
      <c r="H822" s="9" t="s">
        <v>4284</v>
      </c>
      <c r="I822" s="3"/>
      <c r="J822" s="3"/>
      <c r="K822" s="9"/>
    </row>
    <row r="823" ht="15.75" customHeight="1">
      <c r="A823" s="10" t="s">
        <v>12</v>
      </c>
      <c r="B823" s="10" t="s">
        <v>82</v>
      </c>
      <c r="C823" s="10" t="s">
        <v>4676</v>
      </c>
      <c r="D823" s="11" t="str">
        <f t="shared" si="1"/>
        <v>Abrir anúncio ↗</v>
      </c>
      <c r="E823" s="12" t="s">
        <v>4677</v>
      </c>
      <c r="F823" s="10" t="s">
        <v>29</v>
      </c>
      <c r="G823" s="12" t="s">
        <v>2390</v>
      </c>
      <c r="H823" s="12" t="s">
        <v>2392</v>
      </c>
      <c r="I823" s="10"/>
      <c r="J823" s="10"/>
      <c r="K823" s="12"/>
    </row>
    <row r="824" ht="15.75" customHeight="1">
      <c r="A824" s="3" t="s">
        <v>12</v>
      </c>
      <c r="B824" s="3" t="s">
        <v>82</v>
      </c>
      <c r="C824" s="3" t="s">
        <v>4681</v>
      </c>
      <c r="D824" s="8" t="str">
        <f t="shared" si="1"/>
        <v>Abrir anúncio ↗</v>
      </c>
      <c r="E824" s="9" t="s">
        <v>4682</v>
      </c>
      <c r="F824" s="3" t="s">
        <v>29</v>
      </c>
      <c r="G824" s="9" t="s">
        <v>2390</v>
      </c>
      <c r="H824" s="9" t="s">
        <v>2392</v>
      </c>
      <c r="I824" s="3"/>
      <c r="J824" s="3"/>
      <c r="K824" s="9"/>
    </row>
    <row r="825" ht="15.75" customHeight="1">
      <c r="A825" s="10" t="s">
        <v>12</v>
      </c>
      <c r="B825" s="10" t="s">
        <v>82</v>
      </c>
      <c r="C825" s="10" t="s">
        <v>4687</v>
      </c>
      <c r="D825" s="11" t="str">
        <f t="shared" si="1"/>
        <v>Abrir anúncio ↗</v>
      </c>
      <c r="E825" s="12" t="s">
        <v>4688</v>
      </c>
      <c r="F825" s="10" t="s">
        <v>29</v>
      </c>
      <c r="G825" s="12" t="s">
        <v>3685</v>
      </c>
      <c r="H825" s="12" t="s">
        <v>4253</v>
      </c>
      <c r="I825" s="10"/>
      <c r="J825" s="10"/>
      <c r="K825" s="12"/>
    </row>
    <row r="826" ht="15.75" customHeight="1">
      <c r="A826" s="3" t="s">
        <v>12</v>
      </c>
      <c r="B826" s="3" t="s">
        <v>82</v>
      </c>
      <c r="C826" s="3" t="s">
        <v>4690</v>
      </c>
      <c r="D826" s="8" t="str">
        <f t="shared" si="1"/>
        <v>Abrir anúncio ↗</v>
      </c>
      <c r="E826" s="9" t="s">
        <v>4691</v>
      </c>
      <c r="F826" s="3" t="s">
        <v>29</v>
      </c>
      <c r="G826" s="9" t="s">
        <v>3685</v>
      </c>
      <c r="H826" s="9" t="s">
        <v>4694</v>
      </c>
      <c r="I826" s="3"/>
      <c r="J826" s="3"/>
      <c r="K826" s="9"/>
    </row>
    <row r="827" ht="15.75" customHeight="1">
      <c r="A827" s="10" t="s">
        <v>12</v>
      </c>
      <c r="B827" s="10" t="s">
        <v>82</v>
      </c>
      <c r="C827" s="10" t="s">
        <v>4699</v>
      </c>
      <c r="D827" s="11" t="str">
        <f t="shared" si="1"/>
        <v>Abrir anúncio ↗</v>
      </c>
      <c r="E827" s="12" t="s">
        <v>4700</v>
      </c>
      <c r="F827" s="10" t="s">
        <v>29</v>
      </c>
      <c r="G827" s="12" t="s">
        <v>2390</v>
      </c>
      <c r="H827" s="12" t="s">
        <v>2392</v>
      </c>
      <c r="I827" s="10"/>
      <c r="J827" s="10"/>
      <c r="K827" s="12"/>
    </row>
    <row r="828" ht="15.75" customHeight="1">
      <c r="A828" s="3" t="s">
        <v>12</v>
      </c>
      <c r="B828" s="3" t="s">
        <v>82</v>
      </c>
      <c r="C828" s="3" t="s">
        <v>4703</v>
      </c>
      <c r="D828" s="8" t="str">
        <f t="shared" si="1"/>
        <v>Abrir anúncio ↗</v>
      </c>
      <c r="E828" s="9" t="s">
        <v>4705</v>
      </c>
      <c r="F828" s="3" t="s">
        <v>29</v>
      </c>
      <c r="G828" s="9" t="s">
        <v>2390</v>
      </c>
      <c r="H828" s="9" t="s">
        <v>2392</v>
      </c>
      <c r="I828" s="3"/>
      <c r="J828" s="3"/>
      <c r="K828" s="9"/>
    </row>
    <row r="829" ht="15.75" customHeight="1">
      <c r="A829" s="10" t="s">
        <v>12</v>
      </c>
      <c r="B829" s="10" t="s">
        <v>82</v>
      </c>
      <c r="C829" s="10" t="s">
        <v>4709</v>
      </c>
      <c r="D829" s="11" t="str">
        <f t="shared" si="1"/>
        <v>Abrir anúncio ↗</v>
      </c>
      <c r="E829" s="12" t="s">
        <v>4711</v>
      </c>
      <c r="F829" s="10" t="s">
        <v>29</v>
      </c>
      <c r="G829" s="12" t="s">
        <v>2390</v>
      </c>
      <c r="H829" s="12" t="s">
        <v>2392</v>
      </c>
      <c r="I829" s="10"/>
      <c r="J829" s="10"/>
      <c r="K829" s="12"/>
    </row>
    <row r="830" ht="15.75" customHeight="1">
      <c r="A830" s="3" t="s">
        <v>12</v>
      </c>
      <c r="B830" s="3" t="s">
        <v>82</v>
      </c>
      <c r="C830" s="3" t="s">
        <v>4714</v>
      </c>
      <c r="D830" s="8" t="str">
        <f t="shared" si="1"/>
        <v>Abrir anúncio ↗</v>
      </c>
      <c r="E830" s="9" t="s">
        <v>4716</v>
      </c>
      <c r="F830" s="3" t="s">
        <v>29</v>
      </c>
      <c r="G830" s="9" t="s">
        <v>3685</v>
      </c>
      <c r="H830" s="9" t="s">
        <v>3986</v>
      </c>
      <c r="I830" s="3"/>
      <c r="J830" s="3"/>
      <c r="K830" s="9"/>
    </row>
    <row r="831" ht="15.75" customHeight="1">
      <c r="A831" s="10" t="s">
        <v>12</v>
      </c>
      <c r="B831" s="10" t="s">
        <v>82</v>
      </c>
      <c r="C831" s="10" t="s">
        <v>4719</v>
      </c>
      <c r="D831" s="11" t="str">
        <f t="shared" si="1"/>
        <v>Abrir anúncio ↗</v>
      </c>
      <c r="E831" s="12" t="s">
        <v>4720</v>
      </c>
      <c r="F831" s="10" t="s">
        <v>29</v>
      </c>
      <c r="G831" s="12" t="s">
        <v>3685</v>
      </c>
      <c r="H831" s="12" t="s">
        <v>4023</v>
      </c>
      <c r="I831" s="10"/>
      <c r="J831" s="10"/>
      <c r="K831" s="12"/>
    </row>
    <row r="832" ht="15.75" customHeight="1">
      <c r="A832" s="3" t="s">
        <v>12</v>
      </c>
      <c r="B832" s="3" t="s">
        <v>82</v>
      </c>
      <c r="C832" s="3" t="s">
        <v>4724</v>
      </c>
      <c r="D832" s="8" t="str">
        <f t="shared" si="1"/>
        <v>Abrir anúncio ↗</v>
      </c>
      <c r="E832" s="9" t="s">
        <v>4726</v>
      </c>
      <c r="F832" s="3" t="s">
        <v>29</v>
      </c>
      <c r="G832" s="9" t="s">
        <v>3685</v>
      </c>
      <c r="H832" s="9" t="s">
        <v>4167</v>
      </c>
      <c r="I832" s="3"/>
      <c r="J832" s="3"/>
      <c r="K832" s="9"/>
    </row>
    <row r="833" ht="15.75" customHeight="1">
      <c r="A833" s="10" t="s">
        <v>12</v>
      </c>
      <c r="B833" s="10" t="s">
        <v>82</v>
      </c>
      <c r="C833" s="10" t="s">
        <v>4728</v>
      </c>
      <c r="D833" s="11" t="str">
        <f t="shared" si="1"/>
        <v>Abrir anúncio ↗</v>
      </c>
      <c r="E833" s="12" t="s">
        <v>4730</v>
      </c>
      <c r="F833" s="10" t="s">
        <v>29</v>
      </c>
      <c r="G833" s="12" t="s">
        <v>3685</v>
      </c>
      <c r="H833" s="12" t="s">
        <v>3834</v>
      </c>
      <c r="I833" s="10"/>
      <c r="J833" s="10"/>
      <c r="K833" s="12"/>
    </row>
    <row r="834" ht="15.75" customHeight="1">
      <c r="A834" s="3" t="s">
        <v>12</v>
      </c>
      <c r="B834" s="3" t="s">
        <v>82</v>
      </c>
      <c r="C834" s="3" t="s">
        <v>4731</v>
      </c>
      <c r="D834" s="8" t="str">
        <f t="shared" si="1"/>
        <v>Abrir anúncio ↗</v>
      </c>
      <c r="E834" s="9" t="s">
        <v>4732</v>
      </c>
      <c r="F834" s="3" t="s">
        <v>29</v>
      </c>
      <c r="G834" s="9" t="s">
        <v>3685</v>
      </c>
      <c r="H834" s="9" t="s">
        <v>4383</v>
      </c>
      <c r="I834" s="3"/>
      <c r="J834" s="3"/>
      <c r="K834" s="9"/>
    </row>
    <row r="835" ht="15.75" customHeight="1">
      <c r="A835" s="10" t="s">
        <v>12</v>
      </c>
      <c r="B835" s="10" t="s">
        <v>82</v>
      </c>
      <c r="C835" s="10" t="s">
        <v>4735</v>
      </c>
      <c r="D835" s="11" t="str">
        <f t="shared" si="1"/>
        <v>Abrir anúncio ↗</v>
      </c>
      <c r="E835" s="12" t="s">
        <v>4736</v>
      </c>
      <c r="F835" s="10" t="s">
        <v>29</v>
      </c>
      <c r="G835" s="12" t="s">
        <v>3685</v>
      </c>
      <c r="H835" s="12" t="s">
        <v>4189</v>
      </c>
      <c r="I835" s="10"/>
      <c r="J835" s="10"/>
      <c r="K835" s="12"/>
    </row>
    <row r="836" ht="15.75" customHeight="1">
      <c r="A836" s="3" t="s">
        <v>12</v>
      </c>
      <c r="B836" s="3" t="s">
        <v>82</v>
      </c>
      <c r="C836" s="3" t="s">
        <v>4739</v>
      </c>
      <c r="D836" s="8" t="str">
        <f t="shared" si="1"/>
        <v>Abrir anúncio ↗</v>
      </c>
      <c r="E836" s="9" t="s">
        <v>4741</v>
      </c>
      <c r="F836" s="3" t="s">
        <v>29</v>
      </c>
      <c r="G836" s="9" t="s">
        <v>3685</v>
      </c>
      <c r="H836" s="9" t="s">
        <v>3877</v>
      </c>
      <c r="I836" s="3"/>
      <c r="J836" s="3"/>
      <c r="K836" s="9"/>
    </row>
    <row r="837" ht="15.75" customHeight="1">
      <c r="A837" s="10" t="s">
        <v>12</v>
      </c>
      <c r="B837" s="10" t="s">
        <v>82</v>
      </c>
      <c r="C837" s="10" t="s">
        <v>4743</v>
      </c>
      <c r="D837" s="11" t="str">
        <f t="shared" si="1"/>
        <v>Abrir anúncio ↗</v>
      </c>
      <c r="E837" s="12" t="s">
        <v>4744</v>
      </c>
      <c r="F837" s="10" t="s">
        <v>29</v>
      </c>
      <c r="G837" s="12" t="s">
        <v>3788</v>
      </c>
      <c r="H837" s="12" t="s">
        <v>3884</v>
      </c>
      <c r="I837" s="10"/>
      <c r="J837" s="10"/>
      <c r="K837" s="12"/>
    </row>
    <row r="838" ht="15.75" customHeight="1">
      <c r="A838" s="3" t="s">
        <v>12</v>
      </c>
      <c r="B838" s="3" t="s">
        <v>82</v>
      </c>
      <c r="C838" s="3" t="s">
        <v>4746</v>
      </c>
      <c r="D838" s="8" t="str">
        <f t="shared" si="1"/>
        <v>Abrir anúncio ↗</v>
      </c>
      <c r="E838" s="9" t="s">
        <v>4747</v>
      </c>
      <c r="F838" s="3" t="s">
        <v>29</v>
      </c>
      <c r="G838" s="9" t="s">
        <v>3709</v>
      </c>
      <c r="H838" s="9" t="s">
        <v>4075</v>
      </c>
      <c r="I838" s="3"/>
      <c r="J838" s="3"/>
      <c r="K838" s="9"/>
    </row>
    <row r="839" ht="15.75" customHeight="1">
      <c r="A839" s="10" t="s">
        <v>12</v>
      </c>
      <c r="B839" s="10" t="s">
        <v>82</v>
      </c>
      <c r="C839" s="10" t="s">
        <v>4752</v>
      </c>
      <c r="D839" s="11" t="str">
        <f t="shared" si="1"/>
        <v>Abrir anúncio ↗</v>
      </c>
      <c r="E839" s="12" t="s">
        <v>3520</v>
      </c>
      <c r="F839" s="10" t="s">
        <v>29</v>
      </c>
      <c r="G839" s="12" t="s">
        <v>3788</v>
      </c>
      <c r="H839" s="12" t="s">
        <v>3884</v>
      </c>
      <c r="I839" s="10"/>
      <c r="J839" s="10"/>
      <c r="K839" s="12"/>
    </row>
    <row r="840" ht="15.75" customHeight="1">
      <c r="A840" s="3" t="s">
        <v>12</v>
      </c>
      <c r="B840" s="3" t="s">
        <v>82</v>
      </c>
      <c r="C840" s="3" t="s">
        <v>4753</v>
      </c>
      <c r="D840" s="8" t="str">
        <f t="shared" si="1"/>
        <v>Abrir anúncio ↗</v>
      </c>
      <c r="E840" s="9" t="s">
        <v>4754</v>
      </c>
      <c r="F840" s="3" t="s">
        <v>29</v>
      </c>
      <c r="G840" s="9" t="s">
        <v>3685</v>
      </c>
      <c r="H840" s="9" t="s">
        <v>3877</v>
      </c>
      <c r="I840" s="3"/>
      <c r="J840" s="3"/>
      <c r="K840" s="9"/>
    </row>
    <row r="841" ht="15.75" customHeight="1">
      <c r="A841" s="10" t="s">
        <v>12</v>
      </c>
      <c r="B841" s="10" t="s">
        <v>82</v>
      </c>
      <c r="C841" s="10" t="s">
        <v>4759</v>
      </c>
      <c r="D841" s="11" t="str">
        <f t="shared" si="1"/>
        <v>Abrir anúncio ↗</v>
      </c>
      <c r="E841" s="12" t="s">
        <v>4760</v>
      </c>
      <c r="F841" s="10" t="s">
        <v>29</v>
      </c>
      <c r="G841" s="12" t="s">
        <v>2390</v>
      </c>
      <c r="H841" s="12" t="s">
        <v>2392</v>
      </c>
      <c r="I841" s="10"/>
      <c r="J841" s="10"/>
      <c r="K841" s="12"/>
    </row>
    <row r="842" ht="15.75" customHeight="1">
      <c r="A842" s="3" t="s">
        <v>12</v>
      </c>
      <c r="B842" s="3" t="s">
        <v>82</v>
      </c>
      <c r="C842" s="3" t="s">
        <v>4761</v>
      </c>
      <c r="D842" s="8" t="str">
        <f t="shared" si="1"/>
        <v>Abrir anúncio ↗</v>
      </c>
      <c r="E842" s="9" t="s">
        <v>4762</v>
      </c>
      <c r="F842" s="3" t="s">
        <v>29</v>
      </c>
      <c r="G842" s="9" t="s">
        <v>2390</v>
      </c>
      <c r="H842" s="9" t="s">
        <v>2392</v>
      </c>
      <c r="I842" s="3"/>
      <c r="J842" s="3"/>
      <c r="K842" s="9"/>
    </row>
    <row r="843" ht="15.75" customHeight="1">
      <c r="A843" s="10" t="s">
        <v>12</v>
      </c>
      <c r="B843" s="10" t="s">
        <v>82</v>
      </c>
      <c r="C843" s="10" t="s">
        <v>4766</v>
      </c>
      <c r="D843" s="11" t="str">
        <f t="shared" si="1"/>
        <v>Abrir anúncio ↗</v>
      </c>
      <c r="E843" s="12" t="s">
        <v>4768</v>
      </c>
      <c r="F843" s="10" t="s">
        <v>29</v>
      </c>
      <c r="G843" s="12" t="s">
        <v>3709</v>
      </c>
      <c r="H843" s="12" t="s">
        <v>4245</v>
      </c>
      <c r="I843" s="10"/>
      <c r="J843" s="10"/>
      <c r="K843" s="12"/>
    </row>
    <row r="844" ht="15.75" customHeight="1">
      <c r="A844" s="3" t="s">
        <v>12</v>
      </c>
      <c r="B844" s="3" t="s">
        <v>82</v>
      </c>
      <c r="C844" s="3" t="s">
        <v>4769</v>
      </c>
      <c r="D844" s="8" t="str">
        <f t="shared" si="1"/>
        <v>Abrir anúncio ↗</v>
      </c>
      <c r="E844" s="9" t="s">
        <v>4770</v>
      </c>
      <c r="F844" s="3" t="s">
        <v>29</v>
      </c>
      <c r="G844" s="9" t="s">
        <v>3709</v>
      </c>
      <c r="H844" s="9" t="s">
        <v>4058</v>
      </c>
      <c r="I844" s="3"/>
      <c r="J844" s="3"/>
      <c r="K844" s="9"/>
    </row>
    <row r="845" ht="15.75" customHeight="1">
      <c r="A845" s="10" t="s">
        <v>12</v>
      </c>
      <c r="B845" s="10" t="s">
        <v>82</v>
      </c>
      <c r="C845" s="10" t="s">
        <v>4774</v>
      </c>
      <c r="D845" s="11" t="str">
        <f t="shared" si="1"/>
        <v>Abrir anúncio ↗</v>
      </c>
      <c r="E845" s="12" t="s">
        <v>4775</v>
      </c>
      <c r="F845" s="10" t="s">
        <v>29</v>
      </c>
      <c r="G845" s="12" t="s">
        <v>2390</v>
      </c>
      <c r="H845" s="12" t="s">
        <v>2392</v>
      </c>
      <c r="I845" s="10"/>
      <c r="J845" s="10"/>
      <c r="K845" s="12"/>
    </row>
    <row r="846" ht="15.75" customHeight="1">
      <c r="A846" s="3" t="s">
        <v>12</v>
      </c>
      <c r="B846" s="3" t="s">
        <v>82</v>
      </c>
      <c r="C846" s="3" t="s">
        <v>4777</v>
      </c>
      <c r="D846" s="8" t="str">
        <f t="shared" si="1"/>
        <v>Abrir anúncio ↗</v>
      </c>
      <c r="E846" s="9" t="s">
        <v>4778</v>
      </c>
      <c r="F846" s="3" t="s">
        <v>29</v>
      </c>
      <c r="G846" s="9" t="s">
        <v>2390</v>
      </c>
      <c r="H846" s="9" t="s">
        <v>2392</v>
      </c>
      <c r="I846" s="3"/>
      <c r="J846" s="3"/>
      <c r="K846" s="9"/>
    </row>
    <row r="847" ht="15.75" customHeight="1">
      <c r="A847" s="10" t="s">
        <v>12</v>
      </c>
      <c r="B847" s="10" t="s">
        <v>82</v>
      </c>
      <c r="C847" s="10" t="s">
        <v>4781</v>
      </c>
      <c r="D847" s="11" t="str">
        <f t="shared" si="1"/>
        <v>Abrir anúncio ↗</v>
      </c>
      <c r="E847" s="12" t="s">
        <v>4783</v>
      </c>
      <c r="F847" s="10" t="s">
        <v>29</v>
      </c>
      <c r="G847" s="12" t="s">
        <v>3709</v>
      </c>
      <c r="H847" s="12" t="s">
        <v>4004</v>
      </c>
      <c r="I847" s="10"/>
      <c r="J847" s="10"/>
      <c r="K847" s="12"/>
    </row>
    <row r="848" ht="15.75" customHeight="1">
      <c r="A848" s="3" t="s">
        <v>12</v>
      </c>
      <c r="B848" s="3" t="s">
        <v>82</v>
      </c>
      <c r="C848" s="3" t="s">
        <v>4787</v>
      </c>
      <c r="D848" s="8" t="str">
        <f t="shared" si="1"/>
        <v>Abrir anúncio ↗</v>
      </c>
      <c r="E848" s="9" t="s">
        <v>4789</v>
      </c>
      <c r="F848" s="3" t="s">
        <v>29</v>
      </c>
      <c r="G848" s="9" t="s">
        <v>2390</v>
      </c>
      <c r="H848" s="9" t="s">
        <v>2392</v>
      </c>
      <c r="I848" s="3"/>
      <c r="J848" s="3"/>
      <c r="K848" s="9"/>
    </row>
    <row r="849" ht="15.75" customHeight="1">
      <c r="A849" s="10" t="s">
        <v>12</v>
      </c>
      <c r="B849" s="10" t="s">
        <v>82</v>
      </c>
      <c r="C849" s="10" t="s">
        <v>4791</v>
      </c>
      <c r="D849" s="11" t="str">
        <f t="shared" si="1"/>
        <v>Abrir anúncio ↗</v>
      </c>
      <c r="E849" s="12" t="s">
        <v>4794</v>
      </c>
      <c r="F849" s="10" t="s">
        <v>29</v>
      </c>
      <c r="G849" s="12" t="s">
        <v>3709</v>
      </c>
      <c r="H849" s="12" t="s">
        <v>4284</v>
      </c>
      <c r="I849" s="10"/>
      <c r="J849" s="10"/>
      <c r="K849" s="12"/>
    </row>
    <row r="850" ht="15.75" customHeight="1">
      <c r="A850" s="3" t="s">
        <v>12</v>
      </c>
      <c r="B850" s="3" t="s">
        <v>82</v>
      </c>
      <c r="C850" s="3" t="s">
        <v>4796</v>
      </c>
      <c r="D850" s="8" t="str">
        <f t="shared" si="1"/>
        <v>Abrir anúncio ↗</v>
      </c>
      <c r="E850" s="9" t="s">
        <v>4797</v>
      </c>
      <c r="F850" s="3" t="s">
        <v>29</v>
      </c>
      <c r="G850" s="9" t="s">
        <v>3709</v>
      </c>
      <c r="H850" s="9" t="s">
        <v>4284</v>
      </c>
      <c r="I850" s="3"/>
      <c r="J850" s="3"/>
      <c r="K850" s="9"/>
    </row>
    <row r="851" ht="15.75" customHeight="1">
      <c r="A851" s="10" t="s">
        <v>12</v>
      </c>
      <c r="B851" s="10" t="s">
        <v>82</v>
      </c>
      <c r="C851" s="10" t="s">
        <v>4801</v>
      </c>
      <c r="D851" s="11" t="str">
        <f t="shared" si="1"/>
        <v>Abrir anúncio ↗</v>
      </c>
      <c r="E851" s="12" t="s">
        <v>4802</v>
      </c>
      <c r="F851" s="10" t="s">
        <v>29</v>
      </c>
      <c r="G851" s="12" t="s">
        <v>2390</v>
      </c>
      <c r="H851" s="12" t="s">
        <v>2392</v>
      </c>
      <c r="I851" s="10"/>
      <c r="J851" s="10"/>
      <c r="K851" s="12"/>
    </row>
    <row r="852" ht="15.75" customHeight="1">
      <c r="A852" s="3" t="s">
        <v>12</v>
      </c>
      <c r="B852" s="3" t="s">
        <v>82</v>
      </c>
      <c r="C852" s="3" t="s">
        <v>4804</v>
      </c>
      <c r="D852" s="8" t="str">
        <f t="shared" si="1"/>
        <v>Abrir anúncio ↗</v>
      </c>
      <c r="E852" s="9" t="s">
        <v>4806</v>
      </c>
      <c r="F852" s="3" t="s">
        <v>86</v>
      </c>
      <c r="G852" s="9" t="s">
        <v>3685</v>
      </c>
      <c r="H852" s="9" t="s">
        <v>4807</v>
      </c>
      <c r="I852" s="3"/>
      <c r="J852" s="3"/>
      <c r="K852" s="9"/>
    </row>
    <row r="853" ht="15.75" customHeight="1">
      <c r="A853" s="10" t="s">
        <v>12</v>
      </c>
      <c r="B853" s="10" t="s">
        <v>82</v>
      </c>
      <c r="C853" s="10" t="s">
        <v>4810</v>
      </c>
      <c r="D853" s="11" t="str">
        <f t="shared" si="1"/>
        <v>Abrir anúncio ↗</v>
      </c>
      <c r="E853" s="12" t="s">
        <v>4811</v>
      </c>
      <c r="F853" s="10" t="s">
        <v>29</v>
      </c>
      <c r="G853" s="12" t="s">
        <v>3709</v>
      </c>
      <c r="H853" s="12" t="s">
        <v>3904</v>
      </c>
      <c r="I853" s="10"/>
      <c r="J853" s="10"/>
      <c r="K853" s="12"/>
    </row>
    <row r="854" ht="15.75" customHeight="1">
      <c r="A854" s="3" t="s">
        <v>12</v>
      </c>
      <c r="B854" s="3" t="s">
        <v>82</v>
      </c>
      <c r="C854" s="3" t="s">
        <v>4813</v>
      </c>
      <c r="D854" s="8" t="str">
        <f t="shared" si="1"/>
        <v>Abrir anúncio ↗</v>
      </c>
      <c r="E854" s="9" t="s">
        <v>4815</v>
      </c>
      <c r="F854" s="3" t="s">
        <v>29</v>
      </c>
      <c r="G854" s="9" t="s">
        <v>3709</v>
      </c>
      <c r="H854" s="9" t="s">
        <v>4443</v>
      </c>
      <c r="I854" s="3"/>
      <c r="J854" s="3"/>
      <c r="K854" s="9"/>
    </row>
    <row r="855" ht="15.75" customHeight="1">
      <c r="A855" s="10" t="s">
        <v>12</v>
      </c>
      <c r="B855" s="10" t="s">
        <v>82</v>
      </c>
      <c r="C855" s="10" t="s">
        <v>4817</v>
      </c>
      <c r="D855" s="11" t="str">
        <f t="shared" si="1"/>
        <v>Abrir anúncio ↗</v>
      </c>
      <c r="E855" s="12" t="s">
        <v>4819</v>
      </c>
      <c r="F855" s="10" t="s">
        <v>29</v>
      </c>
      <c r="G855" s="12" t="s">
        <v>2390</v>
      </c>
      <c r="H855" s="12" t="s">
        <v>2392</v>
      </c>
      <c r="I855" s="10"/>
      <c r="J855" s="10"/>
      <c r="K855" s="12"/>
    </row>
    <row r="856" ht="15.75" customHeight="1">
      <c r="A856" s="3" t="s">
        <v>12</v>
      </c>
      <c r="B856" s="3" t="s">
        <v>82</v>
      </c>
      <c r="C856" s="3" t="s">
        <v>4821</v>
      </c>
      <c r="D856" s="8" t="str">
        <f t="shared" si="1"/>
        <v>Abrir anúncio ↗</v>
      </c>
      <c r="E856" s="9" t="s">
        <v>4824</v>
      </c>
      <c r="F856" s="3" t="s">
        <v>29</v>
      </c>
      <c r="G856" s="9" t="s">
        <v>3709</v>
      </c>
      <c r="H856" s="9" t="s">
        <v>4075</v>
      </c>
      <c r="I856" s="3"/>
      <c r="J856" s="3"/>
      <c r="K856" s="9"/>
    </row>
    <row r="857" ht="15.75" customHeight="1">
      <c r="A857" s="10" t="s">
        <v>12</v>
      </c>
      <c r="B857" s="10" t="s">
        <v>82</v>
      </c>
      <c r="C857" s="10" t="s">
        <v>4827</v>
      </c>
      <c r="D857" s="11" t="str">
        <f t="shared" si="1"/>
        <v>Abrir anúncio ↗</v>
      </c>
      <c r="E857" s="12" t="s">
        <v>4829</v>
      </c>
      <c r="F857" s="10" t="s">
        <v>29</v>
      </c>
      <c r="G857" s="12" t="s">
        <v>3709</v>
      </c>
      <c r="H857" s="12" t="s">
        <v>4443</v>
      </c>
      <c r="I857" s="10"/>
      <c r="J857" s="10"/>
      <c r="K857" s="12"/>
    </row>
    <row r="858" ht="15.75" customHeight="1">
      <c r="A858" s="3" t="s">
        <v>12</v>
      </c>
      <c r="B858" s="3" t="s">
        <v>82</v>
      </c>
      <c r="C858" s="3" t="s">
        <v>4831</v>
      </c>
      <c r="D858" s="8" t="str">
        <f t="shared" si="1"/>
        <v>Abrir anúncio ↗</v>
      </c>
      <c r="E858" s="9" t="s">
        <v>4834</v>
      </c>
      <c r="F858" s="3" t="s">
        <v>29</v>
      </c>
      <c r="G858" s="9" t="s">
        <v>3709</v>
      </c>
      <c r="H858" s="9" t="s">
        <v>4837</v>
      </c>
      <c r="I858" s="3"/>
      <c r="J858" s="3"/>
      <c r="K858" s="9"/>
    </row>
    <row r="859" ht="15.75" customHeight="1">
      <c r="A859" s="10" t="s">
        <v>12</v>
      </c>
      <c r="B859" s="10" t="s">
        <v>82</v>
      </c>
      <c r="C859" s="10" t="s">
        <v>4839</v>
      </c>
      <c r="D859" s="11" t="str">
        <f t="shared" si="1"/>
        <v>Abrir anúncio ↗</v>
      </c>
      <c r="E859" s="12" t="s">
        <v>4841</v>
      </c>
      <c r="F859" s="10" t="s">
        <v>29</v>
      </c>
      <c r="G859" s="12" t="s">
        <v>3709</v>
      </c>
      <c r="H859" s="12" t="s">
        <v>4843</v>
      </c>
      <c r="I859" s="10"/>
      <c r="J859" s="10"/>
      <c r="K859" s="12"/>
    </row>
    <row r="860" ht="15.75" customHeight="1">
      <c r="A860" s="3" t="s">
        <v>12</v>
      </c>
      <c r="B860" s="3" t="s">
        <v>82</v>
      </c>
      <c r="C860" s="3" t="s">
        <v>4847</v>
      </c>
      <c r="D860" s="8" t="str">
        <f t="shared" si="1"/>
        <v>Abrir anúncio ↗</v>
      </c>
      <c r="E860" s="9" t="s">
        <v>4850</v>
      </c>
      <c r="F860" s="3" t="s">
        <v>29</v>
      </c>
      <c r="G860" s="9" t="s">
        <v>2390</v>
      </c>
      <c r="H860" s="9" t="s">
        <v>2392</v>
      </c>
      <c r="I860" s="3"/>
      <c r="J860" s="3"/>
      <c r="K860" s="9"/>
    </row>
    <row r="861" ht="15.75" customHeight="1">
      <c r="A861" s="10" t="s">
        <v>12</v>
      </c>
      <c r="B861" s="10" t="s">
        <v>82</v>
      </c>
      <c r="C861" s="10" t="s">
        <v>4851</v>
      </c>
      <c r="D861" s="11" t="str">
        <f t="shared" si="1"/>
        <v>Abrir anúncio ↗</v>
      </c>
      <c r="E861" s="12" t="s">
        <v>4853</v>
      </c>
      <c r="F861" s="10" t="s">
        <v>29</v>
      </c>
      <c r="G861" s="12" t="s">
        <v>2390</v>
      </c>
      <c r="H861" s="12" t="s">
        <v>2392</v>
      </c>
      <c r="I861" s="10"/>
      <c r="J861" s="10"/>
      <c r="K861" s="12"/>
    </row>
    <row r="862" ht="15.75" customHeight="1">
      <c r="A862" s="3" t="s">
        <v>12</v>
      </c>
      <c r="B862" s="3" t="s">
        <v>82</v>
      </c>
      <c r="C862" s="3" t="s">
        <v>4858</v>
      </c>
      <c r="D862" s="8" t="str">
        <f t="shared" si="1"/>
        <v>Abrir anúncio ↗</v>
      </c>
      <c r="E862" s="9" t="s">
        <v>4860</v>
      </c>
      <c r="F862" s="3" t="s">
        <v>29</v>
      </c>
      <c r="G862" s="9" t="s">
        <v>3685</v>
      </c>
      <c r="H862" s="9" t="s">
        <v>4167</v>
      </c>
      <c r="I862" s="3"/>
      <c r="J862" s="3"/>
      <c r="K862" s="9"/>
    </row>
    <row r="863" ht="15.75" customHeight="1">
      <c r="A863" s="10" t="s">
        <v>12</v>
      </c>
      <c r="B863" s="10" t="s">
        <v>82</v>
      </c>
      <c r="C863" s="10" t="s">
        <v>4862</v>
      </c>
      <c r="D863" s="11" t="str">
        <f t="shared" si="1"/>
        <v>Abrir anúncio ↗</v>
      </c>
      <c r="E863" s="12" t="s">
        <v>4863</v>
      </c>
      <c r="F863" s="10" t="s">
        <v>29</v>
      </c>
      <c r="G863" s="12" t="s">
        <v>3685</v>
      </c>
      <c r="H863" s="12" t="s">
        <v>3898</v>
      </c>
      <c r="I863" s="10"/>
      <c r="J863" s="10"/>
      <c r="K863" s="12"/>
    </row>
    <row r="864" ht="15.75" customHeight="1">
      <c r="A864" s="3" t="s">
        <v>12</v>
      </c>
      <c r="B864" s="3" t="s">
        <v>82</v>
      </c>
      <c r="C864" s="3" t="s">
        <v>4868</v>
      </c>
      <c r="D864" s="8" t="str">
        <f t="shared" si="1"/>
        <v>Abrir anúncio ↗</v>
      </c>
      <c r="E864" s="9" t="s">
        <v>4870</v>
      </c>
      <c r="F864" s="3" t="s">
        <v>29</v>
      </c>
      <c r="G864" s="9" t="s">
        <v>2390</v>
      </c>
      <c r="H864" s="9" t="s">
        <v>2392</v>
      </c>
      <c r="I864" s="3"/>
      <c r="J864" s="3"/>
      <c r="K864" s="9"/>
    </row>
    <row r="865" ht="15.75" customHeight="1">
      <c r="A865" s="10" t="s">
        <v>12</v>
      </c>
      <c r="B865" s="10" t="s">
        <v>82</v>
      </c>
      <c r="C865" s="10" t="s">
        <v>4873</v>
      </c>
      <c r="D865" s="11" t="str">
        <f t="shared" si="1"/>
        <v>Abrir anúncio ↗</v>
      </c>
      <c r="E865" s="12" t="s">
        <v>4874</v>
      </c>
      <c r="F865" s="10" t="s">
        <v>29</v>
      </c>
      <c r="G865" s="12" t="s">
        <v>2390</v>
      </c>
      <c r="H865" s="12" t="s">
        <v>2392</v>
      </c>
      <c r="I865" s="10"/>
      <c r="J865" s="10"/>
      <c r="K865" s="12"/>
    </row>
    <row r="866" ht="15.75" customHeight="1">
      <c r="A866" s="3" t="s">
        <v>12</v>
      </c>
      <c r="B866" s="3" t="s">
        <v>82</v>
      </c>
      <c r="C866" s="3" t="s">
        <v>4878</v>
      </c>
      <c r="D866" s="8" t="str">
        <f t="shared" si="1"/>
        <v>Abrir anúncio ↗</v>
      </c>
      <c r="E866" s="9" t="s">
        <v>4879</v>
      </c>
      <c r="F866" s="3" t="s">
        <v>29</v>
      </c>
      <c r="G866" s="9" t="s">
        <v>2390</v>
      </c>
      <c r="H866" s="9" t="s">
        <v>2392</v>
      </c>
      <c r="I866" s="3"/>
      <c r="J866" s="3"/>
      <c r="K866" s="9"/>
    </row>
    <row r="867" ht="15.75" customHeight="1">
      <c r="A867" s="10" t="s">
        <v>12</v>
      </c>
      <c r="B867" s="10" t="s">
        <v>82</v>
      </c>
      <c r="C867" s="10" t="s">
        <v>4883</v>
      </c>
      <c r="D867" s="11" t="str">
        <f t="shared" si="1"/>
        <v>Abrir anúncio ↗</v>
      </c>
      <c r="E867" s="12" t="s">
        <v>4885</v>
      </c>
      <c r="F867" s="10" t="s">
        <v>29</v>
      </c>
      <c r="G867" s="12" t="s">
        <v>2390</v>
      </c>
      <c r="H867" s="12" t="s">
        <v>2392</v>
      </c>
      <c r="I867" s="10"/>
      <c r="J867" s="10"/>
      <c r="K867" s="12"/>
    </row>
    <row r="868" ht="15.75" customHeight="1">
      <c r="A868" s="3" t="s">
        <v>12</v>
      </c>
      <c r="B868" s="3" t="s">
        <v>82</v>
      </c>
      <c r="C868" s="3" t="s">
        <v>4891</v>
      </c>
      <c r="D868" s="8" t="str">
        <f t="shared" si="1"/>
        <v>Abrir anúncio ↗</v>
      </c>
      <c r="E868" s="9" t="s">
        <v>4892</v>
      </c>
      <c r="F868" s="3" t="s">
        <v>29</v>
      </c>
      <c r="G868" s="9" t="s">
        <v>2390</v>
      </c>
      <c r="H868" s="9" t="s">
        <v>2392</v>
      </c>
      <c r="I868" s="3"/>
      <c r="J868" s="3"/>
      <c r="K868" s="9"/>
    </row>
    <row r="869" ht="15.75" customHeight="1">
      <c r="A869" s="10" t="s">
        <v>12</v>
      </c>
      <c r="B869" s="10" t="s">
        <v>82</v>
      </c>
      <c r="C869" s="10" t="s">
        <v>4895</v>
      </c>
      <c r="D869" s="11" t="str">
        <f t="shared" si="1"/>
        <v>Abrir anúncio ↗</v>
      </c>
      <c r="E869" s="12" t="s">
        <v>4896</v>
      </c>
      <c r="F869" s="10" t="s">
        <v>29</v>
      </c>
      <c r="G869" s="12" t="s">
        <v>2390</v>
      </c>
      <c r="H869" s="12" t="s">
        <v>2392</v>
      </c>
      <c r="I869" s="10"/>
      <c r="J869" s="10"/>
      <c r="K869" s="12"/>
    </row>
    <row r="870" ht="15.75" customHeight="1">
      <c r="A870" s="3" t="s">
        <v>12</v>
      </c>
      <c r="B870" s="3" t="s">
        <v>82</v>
      </c>
      <c r="C870" s="3" t="s">
        <v>4899</v>
      </c>
      <c r="D870" s="8" t="str">
        <f t="shared" si="1"/>
        <v>Abrir anúncio ↗</v>
      </c>
      <c r="E870" s="9" t="s">
        <v>4902</v>
      </c>
      <c r="F870" s="3" t="s">
        <v>86</v>
      </c>
      <c r="G870" s="9" t="s">
        <v>2390</v>
      </c>
      <c r="H870" s="9" t="s">
        <v>2392</v>
      </c>
      <c r="I870" s="3"/>
      <c r="J870" s="3"/>
      <c r="K870" s="9"/>
    </row>
    <row r="871" ht="15.75" customHeight="1">
      <c r="A871" s="10" t="s">
        <v>12</v>
      </c>
      <c r="B871" s="10" t="s">
        <v>82</v>
      </c>
      <c r="C871" s="10" t="s">
        <v>4904</v>
      </c>
      <c r="D871" s="11" t="str">
        <f t="shared" si="1"/>
        <v>Abrir anúncio ↗</v>
      </c>
      <c r="E871" s="12" t="s">
        <v>4906</v>
      </c>
      <c r="F871" s="10" t="s">
        <v>29</v>
      </c>
      <c r="G871" s="12" t="s">
        <v>2390</v>
      </c>
      <c r="H871" s="12" t="s">
        <v>2392</v>
      </c>
      <c r="I871" s="10"/>
      <c r="J871" s="10"/>
      <c r="K871" s="12"/>
    </row>
    <row r="872" ht="15.75" customHeight="1">
      <c r="A872" s="3" t="s">
        <v>12</v>
      </c>
      <c r="B872" s="3" t="s">
        <v>82</v>
      </c>
      <c r="C872" s="3" t="s">
        <v>4910</v>
      </c>
      <c r="D872" s="8" t="str">
        <f t="shared" si="1"/>
        <v>Abrir anúncio ↗</v>
      </c>
      <c r="E872" s="9" t="s">
        <v>4126</v>
      </c>
      <c r="F872" s="3" t="s">
        <v>86</v>
      </c>
      <c r="G872" s="9" t="s">
        <v>3685</v>
      </c>
      <c r="H872" s="9" t="s">
        <v>4557</v>
      </c>
      <c r="I872" s="3"/>
      <c r="J872" s="3"/>
      <c r="K872" s="9"/>
    </row>
    <row r="873" ht="15.75" customHeight="1">
      <c r="A873" s="10" t="s">
        <v>12</v>
      </c>
      <c r="B873" s="10" t="s">
        <v>359</v>
      </c>
      <c r="C873" s="10" t="s">
        <v>4915</v>
      </c>
      <c r="D873" s="11" t="str">
        <f t="shared" si="1"/>
        <v>Abrir anúncio ↗</v>
      </c>
      <c r="E873" s="12" t="s">
        <v>4916</v>
      </c>
      <c r="F873" s="10" t="s">
        <v>29</v>
      </c>
      <c r="G873" s="12" t="s">
        <v>4918</v>
      </c>
      <c r="H873" s="12" t="s">
        <v>4919</v>
      </c>
      <c r="I873" s="10"/>
      <c r="J873" s="10"/>
      <c r="K873" s="12"/>
    </row>
    <row r="874" ht="15.75" customHeight="1">
      <c r="A874" s="3" t="s">
        <v>12</v>
      </c>
      <c r="B874" s="3" t="s">
        <v>359</v>
      </c>
      <c r="C874" s="3" t="s">
        <v>4923</v>
      </c>
      <c r="D874" s="8" t="str">
        <f t="shared" si="1"/>
        <v>Abrir anúncio ↗</v>
      </c>
      <c r="E874" s="9" t="s">
        <v>4925</v>
      </c>
      <c r="F874" s="3" t="s">
        <v>29</v>
      </c>
      <c r="G874" s="9" t="s">
        <v>4918</v>
      </c>
      <c r="H874" s="9" t="s">
        <v>4919</v>
      </c>
      <c r="I874" s="3"/>
      <c r="J874" s="3"/>
      <c r="K874" s="9"/>
    </row>
    <row r="875" ht="15.75" customHeight="1">
      <c r="A875" s="10" t="s">
        <v>12</v>
      </c>
      <c r="B875" s="10" t="s">
        <v>359</v>
      </c>
      <c r="C875" s="10" t="s">
        <v>4928</v>
      </c>
      <c r="D875" s="11" t="str">
        <f t="shared" si="1"/>
        <v>Abrir anúncio ↗</v>
      </c>
      <c r="E875" s="12" t="s">
        <v>4929</v>
      </c>
      <c r="F875" s="10" t="s">
        <v>29</v>
      </c>
      <c r="G875" s="12" t="s">
        <v>4918</v>
      </c>
      <c r="H875" s="12" t="s">
        <v>4919</v>
      </c>
      <c r="I875" s="10"/>
      <c r="J875" s="10"/>
      <c r="K875" s="12"/>
    </row>
    <row r="876" ht="15.75" customHeight="1">
      <c r="A876" s="3" t="s">
        <v>12</v>
      </c>
      <c r="B876" s="3" t="s">
        <v>359</v>
      </c>
      <c r="C876" s="3" t="s">
        <v>4933</v>
      </c>
      <c r="D876" s="8" t="str">
        <f t="shared" si="1"/>
        <v>Abrir anúncio ↗</v>
      </c>
      <c r="E876" s="9" t="s">
        <v>4935</v>
      </c>
      <c r="F876" s="3" t="s">
        <v>29</v>
      </c>
      <c r="G876" s="9" t="s">
        <v>4918</v>
      </c>
      <c r="H876" s="9" t="s">
        <v>4919</v>
      </c>
      <c r="I876" s="3"/>
      <c r="J876" s="3"/>
      <c r="K876" s="9"/>
    </row>
    <row r="877" ht="15.75" customHeight="1">
      <c r="A877" s="10" t="s">
        <v>12</v>
      </c>
      <c r="B877" s="10" t="s">
        <v>359</v>
      </c>
      <c r="C877" s="10" t="s">
        <v>4938</v>
      </c>
      <c r="D877" s="11" t="str">
        <f t="shared" si="1"/>
        <v>Abrir anúncio ↗</v>
      </c>
      <c r="E877" s="12" t="s">
        <v>233</v>
      </c>
      <c r="F877" s="10" t="s">
        <v>29</v>
      </c>
      <c r="G877" s="12" t="s">
        <v>4918</v>
      </c>
      <c r="H877" s="12" t="s">
        <v>4919</v>
      </c>
      <c r="I877" s="10"/>
      <c r="J877" s="10"/>
      <c r="K877" s="12"/>
    </row>
    <row r="878" ht="15.75" customHeight="1">
      <c r="A878" s="3" t="s">
        <v>12</v>
      </c>
      <c r="B878" s="3" t="s">
        <v>359</v>
      </c>
      <c r="C878" s="3" t="s">
        <v>4941</v>
      </c>
      <c r="D878" s="8" t="str">
        <f t="shared" si="1"/>
        <v>Abrir anúncio ↗</v>
      </c>
      <c r="E878" s="9" t="s">
        <v>4944</v>
      </c>
      <c r="F878" s="3" t="s">
        <v>29</v>
      </c>
      <c r="G878" s="9" t="s">
        <v>4918</v>
      </c>
      <c r="H878" s="9" t="s">
        <v>4919</v>
      </c>
      <c r="I878" s="3"/>
      <c r="J878" s="3"/>
      <c r="K878" s="9"/>
    </row>
    <row r="879" ht="15.75" customHeight="1">
      <c r="A879" s="10" t="s">
        <v>12</v>
      </c>
      <c r="B879" s="10" t="s">
        <v>359</v>
      </c>
      <c r="C879" s="10" t="s">
        <v>4947</v>
      </c>
      <c r="D879" s="11" t="str">
        <f t="shared" si="1"/>
        <v>Abrir anúncio ↗</v>
      </c>
      <c r="E879" s="12" t="s">
        <v>1920</v>
      </c>
      <c r="F879" s="10" t="s">
        <v>29</v>
      </c>
      <c r="G879" s="12" t="s">
        <v>4918</v>
      </c>
      <c r="H879" s="12" t="s">
        <v>4919</v>
      </c>
      <c r="I879" s="10"/>
      <c r="J879" s="10"/>
      <c r="K879" s="12"/>
    </row>
    <row r="880" ht="15.75" customHeight="1">
      <c r="A880" s="3" t="s">
        <v>12</v>
      </c>
      <c r="B880" s="3" t="s">
        <v>359</v>
      </c>
      <c r="C880" s="3" t="s">
        <v>4951</v>
      </c>
      <c r="D880" s="8" t="str">
        <f t="shared" si="1"/>
        <v>Abrir anúncio ↗</v>
      </c>
      <c r="E880" s="9" t="s">
        <v>4954</v>
      </c>
      <c r="F880" s="3" t="s">
        <v>29</v>
      </c>
      <c r="G880" s="9" t="s">
        <v>4955</v>
      </c>
      <c r="H880" s="9" t="s">
        <v>4956</v>
      </c>
      <c r="I880" s="3"/>
      <c r="J880" s="3"/>
      <c r="K880" s="9"/>
    </row>
    <row r="881" ht="15.75" customHeight="1">
      <c r="A881" s="10" t="s">
        <v>12</v>
      </c>
      <c r="B881" s="10" t="s">
        <v>359</v>
      </c>
      <c r="C881" s="10" t="s">
        <v>4958</v>
      </c>
      <c r="D881" s="11" t="str">
        <f t="shared" si="1"/>
        <v>Abrir anúncio ↗</v>
      </c>
      <c r="E881" s="12" t="s">
        <v>4959</v>
      </c>
      <c r="F881" s="10" t="s">
        <v>29</v>
      </c>
      <c r="G881" s="12" t="s">
        <v>4955</v>
      </c>
      <c r="H881" s="12" t="s">
        <v>4956</v>
      </c>
      <c r="I881" s="10"/>
      <c r="J881" s="10"/>
      <c r="K881" s="12"/>
    </row>
    <row r="882" ht="15.75" customHeight="1">
      <c r="A882" s="3" t="s">
        <v>12</v>
      </c>
      <c r="B882" s="3" t="s">
        <v>359</v>
      </c>
      <c r="C882" s="3" t="s">
        <v>4965</v>
      </c>
      <c r="D882" s="8" t="str">
        <f t="shared" si="1"/>
        <v>Abrir anúncio ↗</v>
      </c>
      <c r="E882" s="9" t="s">
        <v>4966</v>
      </c>
      <c r="F882" s="3" t="s">
        <v>29</v>
      </c>
      <c r="G882" s="9" t="s">
        <v>4918</v>
      </c>
      <c r="H882" s="9" t="s">
        <v>4919</v>
      </c>
      <c r="I882" s="3"/>
      <c r="J882" s="3"/>
      <c r="K882" s="9"/>
    </row>
    <row r="883" ht="15.75" customHeight="1">
      <c r="A883" s="10" t="s">
        <v>12</v>
      </c>
      <c r="B883" s="10" t="s">
        <v>359</v>
      </c>
      <c r="C883" s="10" t="s">
        <v>4969</v>
      </c>
      <c r="D883" s="11" t="str">
        <f t="shared" si="1"/>
        <v>Abrir anúncio ↗</v>
      </c>
      <c r="E883" s="12" t="s">
        <v>4970</v>
      </c>
      <c r="F883" s="10" t="s">
        <v>29</v>
      </c>
      <c r="G883" s="12" t="s">
        <v>4918</v>
      </c>
      <c r="H883" s="12" t="s">
        <v>4919</v>
      </c>
      <c r="I883" s="10"/>
      <c r="J883" s="10"/>
      <c r="K883" s="12"/>
    </row>
    <row r="884" ht="15.75" customHeight="1">
      <c r="A884" s="3" t="s">
        <v>12</v>
      </c>
      <c r="B884" s="3" t="s">
        <v>359</v>
      </c>
      <c r="C884" s="3" t="s">
        <v>4973</v>
      </c>
      <c r="D884" s="8" t="str">
        <f t="shared" si="1"/>
        <v>Abrir anúncio ↗</v>
      </c>
      <c r="E884" s="9" t="s">
        <v>4976</v>
      </c>
      <c r="F884" s="3" t="s">
        <v>29</v>
      </c>
      <c r="G884" s="9" t="s">
        <v>4918</v>
      </c>
      <c r="H884" s="9" t="s">
        <v>4919</v>
      </c>
      <c r="I884" s="3"/>
      <c r="J884" s="3"/>
      <c r="K884" s="9"/>
    </row>
    <row r="885" ht="15.75" customHeight="1">
      <c r="A885" s="10" t="s">
        <v>12</v>
      </c>
      <c r="B885" s="10" t="s">
        <v>359</v>
      </c>
      <c r="C885" s="10" t="s">
        <v>4980</v>
      </c>
      <c r="D885" s="11" t="str">
        <f t="shared" si="1"/>
        <v>Abrir anúncio ↗</v>
      </c>
      <c r="E885" s="12" t="s">
        <v>4981</v>
      </c>
      <c r="F885" s="10" t="s">
        <v>29</v>
      </c>
      <c r="G885" s="12" t="s">
        <v>4918</v>
      </c>
      <c r="H885" s="12" t="s">
        <v>4919</v>
      </c>
      <c r="I885" s="10"/>
      <c r="J885" s="10"/>
      <c r="K885" s="12"/>
    </row>
    <row r="886" ht="15.75" customHeight="1">
      <c r="A886" s="3" t="s">
        <v>12</v>
      </c>
      <c r="B886" s="3" t="s">
        <v>359</v>
      </c>
      <c r="C886" s="3" t="s">
        <v>4985</v>
      </c>
      <c r="D886" s="8" t="str">
        <f t="shared" si="1"/>
        <v>Abrir anúncio ↗</v>
      </c>
      <c r="E886" s="9" t="s">
        <v>4986</v>
      </c>
      <c r="F886" s="3" t="s">
        <v>29</v>
      </c>
      <c r="G886" s="9" t="s">
        <v>4918</v>
      </c>
      <c r="H886" s="9" t="s">
        <v>4919</v>
      </c>
      <c r="I886" s="3"/>
      <c r="J886" s="3"/>
      <c r="K886" s="9"/>
    </row>
    <row r="887" ht="15.75" customHeight="1">
      <c r="A887" s="10" t="s">
        <v>12</v>
      </c>
      <c r="B887" s="10" t="s">
        <v>359</v>
      </c>
      <c r="C887" s="10" t="s">
        <v>4992</v>
      </c>
      <c r="D887" s="11" t="str">
        <f t="shared" si="1"/>
        <v>Abrir anúncio ↗</v>
      </c>
      <c r="E887" s="12" t="s">
        <v>4993</v>
      </c>
      <c r="F887" s="10" t="s">
        <v>29</v>
      </c>
      <c r="G887" s="12" t="s">
        <v>4918</v>
      </c>
      <c r="H887" s="12" t="s">
        <v>4919</v>
      </c>
      <c r="I887" s="10"/>
      <c r="J887" s="10"/>
      <c r="K887" s="12"/>
    </row>
    <row r="888" ht="15.75" customHeight="1">
      <c r="A888" s="3" t="s">
        <v>12</v>
      </c>
      <c r="B888" s="3" t="s">
        <v>359</v>
      </c>
      <c r="C888" s="3" t="s">
        <v>4998</v>
      </c>
      <c r="D888" s="8" t="str">
        <f t="shared" si="1"/>
        <v>Abrir anúncio ↗</v>
      </c>
      <c r="E888" s="9" t="s">
        <v>1178</v>
      </c>
      <c r="F888" s="3" t="s">
        <v>29</v>
      </c>
      <c r="G888" s="9" t="s">
        <v>4918</v>
      </c>
      <c r="H888" s="9" t="s">
        <v>4919</v>
      </c>
      <c r="I888" s="3"/>
      <c r="J888" s="3"/>
      <c r="K888" s="9"/>
    </row>
    <row r="889" ht="15.75" customHeight="1">
      <c r="A889" s="10" t="s">
        <v>12</v>
      </c>
      <c r="B889" s="10" t="s">
        <v>359</v>
      </c>
      <c r="C889" s="10" t="s">
        <v>5001</v>
      </c>
      <c r="D889" s="11" t="str">
        <f t="shared" si="1"/>
        <v>Abrir anúncio ↗</v>
      </c>
      <c r="E889" s="12" t="s">
        <v>2062</v>
      </c>
      <c r="F889" s="10" t="s">
        <v>29</v>
      </c>
      <c r="G889" s="12" t="s">
        <v>4918</v>
      </c>
      <c r="H889" s="12" t="s">
        <v>4919</v>
      </c>
      <c r="I889" s="10"/>
      <c r="J889" s="10"/>
      <c r="K889" s="12"/>
    </row>
    <row r="890" ht="15.75" customHeight="1">
      <c r="A890" s="3" t="s">
        <v>12</v>
      </c>
      <c r="B890" s="3" t="s">
        <v>359</v>
      </c>
      <c r="C890" s="3" t="s">
        <v>5007</v>
      </c>
      <c r="D890" s="8" t="str">
        <f t="shared" si="1"/>
        <v>Abrir anúncio ↗</v>
      </c>
      <c r="E890" s="9" t="s">
        <v>5008</v>
      </c>
      <c r="F890" s="3" t="s">
        <v>29</v>
      </c>
      <c r="G890" s="9" t="s">
        <v>4918</v>
      </c>
      <c r="H890" s="9" t="s">
        <v>4919</v>
      </c>
      <c r="I890" s="3"/>
      <c r="J890" s="3"/>
      <c r="K890" s="9"/>
    </row>
    <row r="891" ht="15.75" customHeight="1">
      <c r="A891" s="10" t="s">
        <v>12</v>
      </c>
      <c r="B891" s="10" t="s">
        <v>359</v>
      </c>
      <c r="C891" s="10" t="s">
        <v>5010</v>
      </c>
      <c r="D891" s="11" t="str">
        <f t="shared" si="1"/>
        <v>Abrir anúncio ↗</v>
      </c>
      <c r="E891" s="12" t="s">
        <v>5012</v>
      </c>
      <c r="F891" s="10" t="s">
        <v>29</v>
      </c>
      <c r="G891" s="12" t="s">
        <v>5013</v>
      </c>
      <c r="H891" s="12" t="s">
        <v>5015</v>
      </c>
      <c r="I891" s="10"/>
      <c r="J891" s="10"/>
      <c r="K891" s="12"/>
    </row>
    <row r="892" ht="15.75" customHeight="1">
      <c r="A892" s="3" t="s">
        <v>12</v>
      </c>
      <c r="B892" s="3" t="s">
        <v>359</v>
      </c>
      <c r="C892" s="3" t="s">
        <v>5019</v>
      </c>
      <c r="D892" s="8" t="str">
        <f t="shared" si="1"/>
        <v>Abrir anúncio ↗</v>
      </c>
      <c r="E892" s="9" t="s">
        <v>5020</v>
      </c>
      <c r="F892" s="3" t="s">
        <v>29</v>
      </c>
      <c r="G892" s="9" t="s">
        <v>4918</v>
      </c>
      <c r="H892" s="9" t="s">
        <v>4919</v>
      </c>
      <c r="I892" s="3"/>
      <c r="J892" s="3"/>
      <c r="K892" s="9"/>
    </row>
    <row r="893" ht="15.75" customHeight="1">
      <c r="A893" s="10" t="s">
        <v>12</v>
      </c>
      <c r="B893" s="10" t="s">
        <v>359</v>
      </c>
      <c r="C893" s="10" t="s">
        <v>5023</v>
      </c>
      <c r="D893" s="11" t="str">
        <f t="shared" si="1"/>
        <v>Abrir anúncio ↗</v>
      </c>
      <c r="E893" s="12" t="s">
        <v>5026</v>
      </c>
      <c r="F893" s="10" t="s">
        <v>29</v>
      </c>
      <c r="G893" s="12" t="s">
        <v>4918</v>
      </c>
      <c r="H893" s="12" t="s">
        <v>4919</v>
      </c>
      <c r="I893" s="10"/>
      <c r="J893" s="10"/>
      <c r="K893" s="12"/>
    </row>
    <row r="894" ht="15.75" customHeight="1">
      <c r="A894" s="3" t="s">
        <v>12</v>
      </c>
      <c r="B894" s="3" t="s">
        <v>359</v>
      </c>
      <c r="C894" s="3" t="s">
        <v>5028</v>
      </c>
      <c r="D894" s="8" t="str">
        <f t="shared" si="1"/>
        <v>Abrir anúncio ↗</v>
      </c>
      <c r="E894" s="9" t="s">
        <v>5029</v>
      </c>
      <c r="F894" s="3" t="s">
        <v>29</v>
      </c>
      <c r="G894" s="9" t="s">
        <v>4918</v>
      </c>
      <c r="H894" s="9" t="s">
        <v>4919</v>
      </c>
      <c r="I894" s="3"/>
      <c r="J894" s="3"/>
      <c r="K894" s="9"/>
    </row>
    <row r="895" ht="15.75" customHeight="1">
      <c r="A895" s="10" t="s">
        <v>12</v>
      </c>
      <c r="B895" s="10" t="s">
        <v>359</v>
      </c>
      <c r="C895" s="10" t="s">
        <v>5032</v>
      </c>
      <c r="D895" s="11" t="str">
        <f t="shared" si="1"/>
        <v>Abrir anúncio ↗</v>
      </c>
      <c r="E895" s="12" t="s">
        <v>5034</v>
      </c>
      <c r="F895" s="10" t="s">
        <v>29</v>
      </c>
      <c r="G895" s="12" t="s">
        <v>4918</v>
      </c>
      <c r="H895" s="12" t="s">
        <v>4919</v>
      </c>
      <c r="I895" s="10"/>
      <c r="J895" s="10"/>
      <c r="K895" s="12"/>
    </row>
    <row r="896" ht="15.75" customHeight="1">
      <c r="A896" s="3" t="s">
        <v>12</v>
      </c>
      <c r="B896" s="3" t="s">
        <v>359</v>
      </c>
      <c r="C896" s="3" t="s">
        <v>5038</v>
      </c>
      <c r="D896" s="8" t="str">
        <f t="shared" si="1"/>
        <v>Abrir anúncio ↗</v>
      </c>
      <c r="E896" s="9" t="s">
        <v>5039</v>
      </c>
      <c r="F896" s="3" t="s">
        <v>29</v>
      </c>
      <c r="G896" s="9" t="s">
        <v>4918</v>
      </c>
      <c r="H896" s="9" t="s">
        <v>4919</v>
      </c>
      <c r="I896" s="3"/>
      <c r="J896" s="3"/>
      <c r="K896" s="9"/>
    </row>
    <row r="897" ht="15.75" customHeight="1">
      <c r="A897" s="10" t="s">
        <v>12</v>
      </c>
      <c r="B897" s="10" t="s">
        <v>359</v>
      </c>
      <c r="C897" s="10" t="s">
        <v>5042</v>
      </c>
      <c r="D897" s="11" t="str">
        <f t="shared" si="1"/>
        <v>Abrir anúncio ↗</v>
      </c>
      <c r="E897" s="12" t="s">
        <v>5045</v>
      </c>
      <c r="F897" s="10" t="s">
        <v>29</v>
      </c>
      <c r="G897" s="12" t="s">
        <v>4918</v>
      </c>
      <c r="H897" s="12" t="s">
        <v>4919</v>
      </c>
      <c r="I897" s="10"/>
      <c r="J897" s="10"/>
      <c r="K897" s="12"/>
    </row>
    <row r="898" ht="15.75" customHeight="1">
      <c r="A898" s="3" t="s">
        <v>12</v>
      </c>
      <c r="B898" s="3" t="s">
        <v>359</v>
      </c>
      <c r="C898" s="3" t="s">
        <v>5048</v>
      </c>
      <c r="D898" s="8" t="str">
        <f t="shared" si="1"/>
        <v>Abrir anúncio ↗</v>
      </c>
      <c r="E898" s="9" t="s">
        <v>4906</v>
      </c>
      <c r="F898" s="3" t="s">
        <v>29</v>
      </c>
      <c r="G898" s="9" t="s">
        <v>4918</v>
      </c>
      <c r="H898" s="9" t="s">
        <v>4919</v>
      </c>
      <c r="I898" s="3"/>
      <c r="J898" s="3"/>
      <c r="K898" s="9"/>
    </row>
    <row r="899" ht="15.75" customHeight="1">
      <c r="A899" s="10" t="s">
        <v>12</v>
      </c>
      <c r="B899" s="10" t="s">
        <v>359</v>
      </c>
      <c r="C899" s="10" t="s">
        <v>5051</v>
      </c>
      <c r="D899" s="11" t="str">
        <f t="shared" si="1"/>
        <v>Abrir anúncio ↗</v>
      </c>
      <c r="E899" s="12" t="s">
        <v>5054</v>
      </c>
      <c r="F899" s="10" t="s">
        <v>86</v>
      </c>
      <c r="G899" s="12" t="s">
        <v>4918</v>
      </c>
      <c r="H899" s="12" t="s">
        <v>4919</v>
      </c>
      <c r="I899" s="10"/>
      <c r="J899" s="10"/>
      <c r="K899" s="12"/>
    </row>
    <row r="900" ht="15.75" customHeight="1">
      <c r="A900" s="3" t="s">
        <v>12</v>
      </c>
      <c r="B900" s="3" t="s">
        <v>359</v>
      </c>
      <c r="C900" s="3" t="s">
        <v>5057</v>
      </c>
      <c r="D900" s="8" t="str">
        <f t="shared" si="1"/>
        <v>Abrir anúncio ↗</v>
      </c>
      <c r="E900" s="9" t="s">
        <v>5060</v>
      </c>
      <c r="F900" s="3" t="s">
        <v>29</v>
      </c>
      <c r="G900" s="9" t="s">
        <v>4918</v>
      </c>
      <c r="H900" s="9" t="s">
        <v>4919</v>
      </c>
      <c r="I900" s="3"/>
      <c r="J900" s="3"/>
      <c r="K900" s="9"/>
    </row>
    <row r="901" ht="15.75" customHeight="1">
      <c r="A901" s="10" t="s">
        <v>12</v>
      </c>
      <c r="B901" s="10" t="s">
        <v>359</v>
      </c>
      <c r="C901" s="10" t="s">
        <v>5063</v>
      </c>
      <c r="D901" s="11" t="str">
        <f t="shared" si="1"/>
        <v>Abrir anúncio ↗</v>
      </c>
      <c r="E901" s="12" t="s">
        <v>5065</v>
      </c>
      <c r="F901" s="10" t="s">
        <v>86</v>
      </c>
      <c r="G901" s="12" t="s">
        <v>5013</v>
      </c>
      <c r="H901" s="12" t="s">
        <v>5015</v>
      </c>
      <c r="I901" s="10"/>
      <c r="J901" s="10"/>
      <c r="K901" s="12"/>
    </row>
    <row r="902" ht="15.75" customHeight="1">
      <c r="A902" s="3" t="s">
        <v>12</v>
      </c>
      <c r="B902" s="3" t="s">
        <v>359</v>
      </c>
      <c r="C902" s="3" t="s">
        <v>5069</v>
      </c>
      <c r="D902" s="8" t="str">
        <f t="shared" si="1"/>
        <v>Abrir anúncio ↗</v>
      </c>
      <c r="E902" s="9" t="s">
        <v>5071</v>
      </c>
      <c r="F902" s="3" t="s">
        <v>29</v>
      </c>
      <c r="G902" s="9" t="s">
        <v>4918</v>
      </c>
      <c r="H902" s="9" t="s">
        <v>4919</v>
      </c>
      <c r="I902" s="3"/>
      <c r="J902" s="3"/>
      <c r="K902" s="9"/>
    </row>
    <row r="903" ht="15.75" customHeight="1">
      <c r="A903" s="10" t="s">
        <v>12</v>
      </c>
      <c r="B903" s="10" t="s">
        <v>359</v>
      </c>
      <c r="C903" s="10" t="s">
        <v>5073</v>
      </c>
      <c r="D903" s="11" t="str">
        <f t="shared" si="1"/>
        <v>Abrir anúncio ↗</v>
      </c>
      <c r="E903" s="12" t="s">
        <v>5075</v>
      </c>
      <c r="F903" s="10" t="s">
        <v>29</v>
      </c>
      <c r="G903" s="12" t="s">
        <v>4918</v>
      </c>
      <c r="H903" s="12" t="s">
        <v>4919</v>
      </c>
      <c r="I903" s="10"/>
      <c r="J903" s="10"/>
      <c r="K903" s="12"/>
    </row>
    <row r="904" ht="15.75" customHeight="1">
      <c r="A904" s="3" t="s">
        <v>12</v>
      </c>
      <c r="B904" s="3" t="s">
        <v>359</v>
      </c>
      <c r="C904" s="3" t="s">
        <v>5078</v>
      </c>
      <c r="D904" s="8" t="str">
        <f t="shared" si="1"/>
        <v>Abrir anúncio ↗</v>
      </c>
      <c r="E904" s="9" t="s">
        <v>5080</v>
      </c>
      <c r="F904" s="3" t="s">
        <v>29</v>
      </c>
      <c r="G904" s="9" t="s">
        <v>4918</v>
      </c>
      <c r="H904" s="9" t="s">
        <v>4919</v>
      </c>
      <c r="I904" s="3"/>
      <c r="J904" s="3"/>
      <c r="K904" s="9"/>
    </row>
    <row r="905" ht="15.75" customHeight="1">
      <c r="A905" s="10" t="s">
        <v>12</v>
      </c>
      <c r="B905" s="10" t="s">
        <v>359</v>
      </c>
      <c r="C905" s="10" t="s">
        <v>5083</v>
      </c>
      <c r="D905" s="11" t="str">
        <f t="shared" si="1"/>
        <v>Abrir anúncio ↗</v>
      </c>
      <c r="E905" s="12" t="s">
        <v>5085</v>
      </c>
      <c r="F905" s="10" t="s">
        <v>29</v>
      </c>
      <c r="G905" s="12" t="s">
        <v>4918</v>
      </c>
      <c r="H905" s="12" t="s">
        <v>4919</v>
      </c>
      <c r="I905" s="10"/>
      <c r="J905" s="10"/>
      <c r="K905" s="12"/>
    </row>
    <row r="906" ht="15.75" customHeight="1">
      <c r="A906" s="3" t="s">
        <v>12</v>
      </c>
      <c r="B906" s="3" t="s">
        <v>359</v>
      </c>
      <c r="C906" s="3" t="s">
        <v>5086</v>
      </c>
      <c r="D906" s="8" t="str">
        <f t="shared" si="1"/>
        <v>Abrir anúncio ↗</v>
      </c>
      <c r="E906" s="9" t="s">
        <v>4040</v>
      </c>
      <c r="F906" s="3" t="s">
        <v>29</v>
      </c>
      <c r="G906" s="9" t="s">
        <v>4918</v>
      </c>
      <c r="H906" s="9" t="s">
        <v>4919</v>
      </c>
      <c r="I906" s="3"/>
      <c r="J906" s="3"/>
      <c r="K906" s="9"/>
    </row>
    <row r="907" ht="15.75" customHeight="1">
      <c r="A907" s="10" t="s">
        <v>12</v>
      </c>
      <c r="B907" s="10" t="s">
        <v>359</v>
      </c>
      <c r="C907" s="10" t="s">
        <v>5092</v>
      </c>
      <c r="D907" s="11" t="str">
        <f t="shared" si="1"/>
        <v>Abrir anúncio ↗</v>
      </c>
      <c r="E907" s="12" t="s">
        <v>5094</v>
      </c>
      <c r="F907" s="10" t="s">
        <v>29</v>
      </c>
      <c r="G907" s="12" t="s">
        <v>4918</v>
      </c>
      <c r="H907" s="12" t="s">
        <v>4919</v>
      </c>
      <c r="I907" s="10"/>
      <c r="J907" s="10"/>
      <c r="K907" s="12"/>
    </row>
    <row r="908" ht="15.75" customHeight="1">
      <c r="A908" s="3" t="s">
        <v>12</v>
      </c>
      <c r="B908" s="3" t="s">
        <v>359</v>
      </c>
      <c r="C908" s="3" t="s">
        <v>5096</v>
      </c>
      <c r="D908" s="8" t="str">
        <f t="shared" si="1"/>
        <v>Abrir anúncio ↗</v>
      </c>
      <c r="E908" s="9" t="s">
        <v>5097</v>
      </c>
      <c r="F908" s="3" t="s">
        <v>29</v>
      </c>
      <c r="G908" s="9" t="s">
        <v>4918</v>
      </c>
      <c r="H908" s="9" t="s">
        <v>4919</v>
      </c>
      <c r="I908" s="3"/>
      <c r="J908" s="3"/>
      <c r="K908" s="9"/>
    </row>
    <row r="909" ht="15.75" customHeight="1">
      <c r="A909" s="10" t="s">
        <v>12</v>
      </c>
      <c r="B909" s="10" t="s">
        <v>359</v>
      </c>
      <c r="C909" s="10" t="s">
        <v>5101</v>
      </c>
      <c r="D909" s="11" t="str">
        <f t="shared" si="1"/>
        <v>Abrir anúncio ↗</v>
      </c>
      <c r="E909" s="12" t="s">
        <v>5103</v>
      </c>
      <c r="F909" s="10" t="s">
        <v>29</v>
      </c>
      <c r="G909" s="12" t="s">
        <v>4918</v>
      </c>
      <c r="H909" s="12" t="s">
        <v>4919</v>
      </c>
      <c r="I909" s="10"/>
      <c r="J909" s="10"/>
      <c r="K909" s="12"/>
    </row>
    <row r="910" ht="15.75" customHeight="1">
      <c r="A910" s="3" t="s">
        <v>12</v>
      </c>
      <c r="B910" s="3" t="s">
        <v>359</v>
      </c>
      <c r="C910" s="3" t="s">
        <v>5106</v>
      </c>
      <c r="D910" s="8" t="str">
        <f t="shared" si="1"/>
        <v>Abrir anúncio ↗</v>
      </c>
      <c r="E910" s="9" t="s">
        <v>5107</v>
      </c>
      <c r="F910" s="3" t="s">
        <v>29</v>
      </c>
      <c r="G910" s="9" t="s">
        <v>4918</v>
      </c>
      <c r="H910" s="9" t="s">
        <v>4919</v>
      </c>
      <c r="I910" s="3"/>
      <c r="J910" s="3"/>
      <c r="K910" s="9"/>
    </row>
    <row r="911" ht="15.75" customHeight="1">
      <c r="A911" s="10" t="s">
        <v>12</v>
      </c>
      <c r="B911" s="10" t="s">
        <v>359</v>
      </c>
      <c r="C911" s="10" t="s">
        <v>5109</v>
      </c>
      <c r="D911" s="11" t="str">
        <f t="shared" si="1"/>
        <v>Abrir anúncio ↗</v>
      </c>
      <c r="E911" s="12" t="s">
        <v>5112</v>
      </c>
      <c r="F911" s="10" t="s">
        <v>29</v>
      </c>
      <c r="G911" s="12" t="s">
        <v>4918</v>
      </c>
      <c r="H911" s="12" t="s">
        <v>4919</v>
      </c>
      <c r="I911" s="10"/>
      <c r="J911" s="10"/>
      <c r="K911" s="12"/>
    </row>
    <row r="912" ht="15.75" customHeight="1">
      <c r="A912" s="3" t="s">
        <v>12</v>
      </c>
      <c r="B912" s="3" t="s">
        <v>359</v>
      </c>
      <c r="C912" s="3" t="s">
        <v>5116</v>
      </c>
      <c r="D912" s="8" t="str">
        <f t="shared" si="1"/>
        <v>Abrir anúncio ↗</v>
      </c>
      <c r="E912" s="9" t="s">
        <v>5118</v>
      </c>
      <c r="F912" s="3" t="s">
        <v>29</v>
      </c>
      <c r="G912" s="9" t="s">
        <v>5013</v>
      </c>
      <c r="H912" s="9" t="s">
        <v>5015</v>
      </c>
      <c r="I912" s="3"/>
      <c r="J912" s="3"/>
      <c r="K912" s="9"/>
    </row>
    <row r="913" ht="15.75" customHeight="1">
      <c r="A913" s="10" t="s">
        <v>12</v>
      </c>
      <c r="B913" s="10" t="s">
        <v>359</v>
      </c>
      <c r="C913" s="10" t="s">
        <v>5121</v>
      </c>
      <c r="D913" s="11" t="str">
        <f t="shared" si="1"/>
        <v>Abrir anúncio ↗</v>
      </c>
      <c r="E913" s="12" t="s">
        <v>5123</v>
      </c>
      <c r="F913" s="10" t="s">
        <v>29</v>
      </c>
      <c r="G913" s="12" t="s">
        <v>4918</v>
      </c>
      <c r="H913" s="12" t="s">
        <v>4919</v>
      </c>
      <c r="I913" s="10"/>
      <c r="J913" s="10"/>
      <c r="K913" s="12"/>
    </row>
    <row r="914" ht="15.75" customHeight="1">
      <c r="A914" s="3" t="s">
        <v>12</v>
      </c>
      <c r="B914" s="3" t="s">
        <v>359</v>
      </c>
      <c r="C914" s="3" t="s">
        <v>5128</v>
      </c>
      <c r="D914" s="8" t="str">
        <f t="shared" si="1"/>
        <v>Abrir anúncio ↗</v>
      </c>
      <c r="E914" s="9" t="s">
        <v>5129</v>
      </c>
      <c r="F914" s="3" t="s">
        <v>29</v>
      </c>
      <c r="G914" s="9" t="s">
        <v>5013</v>
      </c>
      <c r="H914" s="9" t="s">
        <v>5015</v>
      </c>
      <c r="I914" s="3"/>
      <c r="J914" s="3"/>
      <c r="K914" s="9"/>
    </row>
    <row r="915" ht="15.75" customHeight="1">
      <c r="A915" s="10" t="s">
        <v>12</v>
      </c>
      <c r="B915" s="10" t="s">
        <v>359</v>
      </c>
      <c r="C915" s="10" t="s">
        <v>5133</v>
      </c>
      <c r="D915" s="11" t="str">
        <f t="shared" si="1"/>
        <v>Abrir anúncio ↗</v>
      </c>
      <c r="E915" s="12" t="s">
        <v>5134</v>
      </c>
      <c r="F915" s="10" t="s">
        <v>29</v>
      </c>
      <c r="G915" s="12" t="s">
        <v>4918</v>
      </c>
      <c r="H915" s="12" t="s">
        <v>4919</v>
      </c>
      <c r="I915" s="10"/>
      <c r="J915" s="10"/>
      <c r="K915" s="12"/>
    </row>
    <row r="916" ht="15.75" customHeight="1">
      <c r="A916" s="3" t="s">
        <v>12</v>
      </c>
      <c r="B916" s="3" t="s">
        <v>359</v>
      </c>
      <c r="C916" s="3" t="s">
        <v>5140</v>
      </c>
      <c r="D916" s="8" t="str">
        <f t="shared" si="1"/>
        <v>Abrir anúncio ↗</v>
      </c>
      <c r="E916" s="9" t="s">
        <v>5141</v>
      </c>
      <c r="F916" s="3" t="s">
        <v>29</v>
      </c>
      <c r="G916" s="9" t="s">
        <v>4918</v>
      </c>
      <c r="H916" s="9" t="s">
        <v>4919</v>
      </c>
      <c r="I916" s="3"/>
      <c r="J916" s="3"/>
      <c r="K916" s="9"/>
    </row>
    <row r="917" ht="15.75" customHeight="1">
      <c r="A917" s="10" t="s">
        <v>12</v>
      </c>
      <c r="B917" s="10" t="s">
        <v>359</v>
      </c>
      <c r="C917" s="10" t="s">
        <v>5144</v>
      </c>
      <c r="D917" s="11" t="str">
        <f t="shared" si="1"/>
        <v>Abrir anúncio ↗</v>
      </c>
      <c r="E917" s="12" t="s">
        <v>5145</v>
      </c>
      <c r="F917" s="10" t="s">
        <v>29</v>
      </c>
      <c r="G917" s="12" t="s">
        <v>5013</v>
      </c>
      <c r="H917" s="12" t="s">
        <v>5015</v>
      </c>
      <c r="I917" s="10"/>
      <c r="J917" s="10"/>
      <c r="K917" s="12"/>
    </row>
    <row r="918" ht="15.75" customHeight="1">
      <c r="A918" s="3" t="s">
        <v>12</v>
      </c>
      <c r="B918" s="3" t="s">
        <v>359</v>
      </c>
      <c r="C918" s="3" t="s">
        <v>5150</v>
      </c>
      <c r="D918" s="8" t="str">
        <f t="shared" si="1"/>
        <v>Abrir anúncio ↗</v>
      </c>
      <c r="E918" s="9" t="s">
        <v>1232</v>
      </c>
      <c r="F918" s="3" t="s">
        <v>29</v>
      </c>
      <c r="G918" s="9" t="s">
        <v>4918</v>
      </c>
      <c r="H918" s="9" t="s">
        <v>4919</v>
      </c>
      <c r="I918" s="3"/>
      <c r="J918" s="3"/>
      <c r="K918" s="9"/>
    </row>
    <row r="919" ht="15.75" customHeight="1">
      <c r="A919" s="10" t="s">
        <v>12</v>
      </c>
      <c r="B919" s="10" t="s">
        <v>359</v>
      </c>
      <c r="C919" s="10" t="s">
        <v>5153</v>
      </c>
      <c r="D919" s="11" t="str">
        <f t="shared" si="1"/>
        <v>Abrir anúncio ↗</v>
      </c>
      <c r="E919" s="12" t="s">
        <v>3181</v>
      </c>
      <c r="F919" s="10" t="s">
        <v>29</v>
      </c>
      <c r="G919" s="12" t="s">
        <v>4918</v>
      </c>
      <c r="H919" s="12" t="s">
        <v>4919</v>
      </c>
      <c r="I919" s="10"/>
      <c r="J919" s="10"/>
      <c r="K919" s="12"/>
    </row>
    <row r="920" ht="15.75" customHeight="1">
      <c r="A920" s="3" t="s">
        <v>12</v>
      </c>
      <c r="B920" s="3" t="s">
        <v>359</v>
      </c>
      <c r="C920" s="3" t="s">
        <v>5157</v>
      </c>
      <c r="D920" s="8" t="str">
        <f t="shared" si="1"/>
        <v>Abrir anúncio ↗</v>
      </c>
      <c r="E920" s="9" t="s">
        <v>5159</v>
      </c>
      <c r="F920" s="3" t="s">
        <v>86</v>
      </c>
      <c r="G920" s="9" t="s">
        <v>4955</v>
      </c>
      <c r="H920" s="9" t="s">
        <v>4956</v>
      </c>
      <c r="I920" s="3"/>
      <c r="J920" s="3"/>
      <c r="K920" s="9"/>
    </row>
    <row r="921" ht="15.75" customHeight="1">
      <c r="A921" s="10" t="s">
        <v>12</v>
      </c>
      <c r="B921" s="10" t="s">
        <v>359</v>
      </c>
      <c r="C921" s="10" t="s">
        <v>5163</v>
      </c>
      <c r="D921" s="11" t="str">
        <f t="shared" si="1"/>
        <v>Abrir anúncio ↗</v>
      </c>
      <c r="E921" s="12" t="s">
        <v>5165</v>
      </c>
      <c r="F921" s="10" t="s">
        <v>29</v>
      </c>
      <c r="G921" s="12" t="s">
        <v>5013</v>
      </c>
      <c r="H921" s="12" t="s">
        <v>5015</v>
      </c>
      <c r="I921" s="10"/>
      <c r="J921" s="10"/>
      <c r="K921" s="12"/>
    </row>
    <row r="922" ht="15.75" customHeight="1">
      <c r="A922" s="3" t="s">
        <v>12</v>
      </c>
      <c r="B922" s="3" t="s">
        <v>359</v>
      </c>
      <c r="C922" s="3" t="s">
        <v>5167</v>
      </c>
      <c r="D922" s="8" t="str">
        <f t="shared" si="1"/>
        <v>Abrir anúncio ↗</v>
      </c>
      <c r="E922" s="9" t="s">
        <v>5169</v>
      </c>
      <c r="F922" s="3" t="s">
        <v>29</v>
      </c>
      <c r="G922" s="9" t="s">
        <v>5013</v>
      </c>
      <c r="H922" s="9" t="s">
        <v>5015</v>
      </c>
      <c r="I922" s="3"/>
      <c r="J922" s="3"/>
      <c r="K922" s="9"/>
    </row>
    <row r="923" ht="15.75" customHeight="1">
      <c r="A923" s="10" t="s">
        <v>12</v>
      </c>
      <c r="B923" s="10" t="s">
        <v>359</v>
      </c>
      <c r="C923" s="10" t="s">
        <v>5173</v>
      </c>
      <c r="D923" s="11" t="str">
        <f t="shared" si="1"/>
        <v>Abrir anúncio ↗</v>
      </c>
      <c r="E923" s="12" t="s">
        <v>5176</v>
      </c>
      <c r="F923" s="10" t="s">
        <v>29</v>
      </c>
      <c r="G923" s="12" t="s">
        <v>4918</v>
      </c>
      <c r="H923" s="12" t="s">
        <v>4919</v>
      </c>
      <c r="I923" s="10"/>
      <c r="J923" s="10"/>
      <c r="K923" s="12"/>
    </row>
    <row r="924" ht="15.75" customHeight="1">
      <c r="A924" s="3" t="s">
        <v>12</v>
      </c>
      <c r="B924" s="3" t="s">
        <v>359</v>
      </c>
      <c r="C924" s="3" t="s">
        <v>5178</v>
      </c>
      <c r="D924" s="8" t="str">
        <f t="shared" si="1"/>
        <v>Abrir anúncio ↗</v>
      </c>
      <c r="E924" s="9" t="s">
        <v>5180</v>
      </c>
      <c r="F924" s="3" t="s">
        <v>29</v>
      </c>
      <c r="G924" s="9" t="s">
        <v>4918</v>
      </c>
      <c r="H924" s="9" t="s">
        <v>4919</v>
      </c>
      <c r="I924" s="3"/>
      <c r="J924" s="3"/>
      <c r="K924" s="9"/>
    </row>
    <row r="925" ht="15.75" customHeight="1">
      <c r="A925" s="10" t="s">
        <v>12</v>
      </c>
      <c r="B925" s="10" t="s">
        <v>359</v>
      </c>
      <c r="C925" s="10" t="s">
        <v>5185</v>
      </c>
      <c r="D925" s="11" t="str">
        <f t="shared" si="1"/>
        <v>Abrir anúncio ↗</v>
      </c>
      <c r="E925" s="12" t="s">
        <v>5187</v>
      </c>
      <c r="F925" s="10" t="s">
        <v>29</v>
      </c>
      <c r="G925" s="12" t="s">
        <v>4918</v>
      </c>
      <c r="H925" s="12" t="s">
        <v>4919</v>
      </c>
      <c r="I925" s="10"/>
      <c r="J925" s="10"/>
      <c r="K925" s="12"/>
    </row>
    <row r="926" ht="15.75" customHeight="1">
      <c r="A926" s="3" t="s">
        <v>12</v>
      </c>
      <c r="B926" s="3" t="s">
        <v>359</v>
      </c>
      <c r="C926" s="3" t="s">
        <v>5190</v>
      </c>
      <c r="D926" s="8" t="str">
        <f t="shared" si="1"/>
        <v>Abrir anúncio ↗</v>
      </c>
      <c r="E926" s="9" t="s">
        <v>4224</v>
      </c>
      <c r="F926" s="3" t="s">
        <v>29</v>
      </c>
      <c r="G926" s="9" t="s">
        <v>4918</v>
      </c>
      <c r="H926" s="9" t="s">
        <v>4919</v>
      </c>
      <c r="I926" s="3"/>
      <c r="J926" s="3"/>
      <c r="K926" s="9"/>
    </row>
    <row r="927" ht="15.75" customHeight="1">
      <c r="A927" s="10" t="s">
        <v>12</v>
      </c>
      <c r="B927" s="10" t="s">
        <v>359</v>
      </c>
      <c r="C927" s="10" t="s">
        <v>5195</v>
      </c>
      <c r="D927" s="11" t="str">
        <f t="shared" si="1"/>
        <v>Abrir anúncio ↗</v>
      </c>
      <c r="E927" s="12" t="s">
        <v>5197</v>
      </c>
      <c r="F927" s="10" t="s">
        <v>29</v>
      </c>
      <c r="G927" s="12" t="s">
        <v>4918</v>
      </c>
      <c r="H927" s="12" t="s">
        <v>4919</v>
      </c>
      <c r="I927" s="10"/>
      <c r="J927" s="10"/>
      <c r="K927" s="12"/>
    </row>
    <row r="928" ht="15.75" customHeight="1">
      <c r="A928" s="3" t="s">
        <v>12</v>
      </c>
      <c r="B928" s="3" t="s">
        <v>359</v>
      </c>
      <c r="C928" s="3" t="s">
        <v>5201</v>
      </c>
      <c r="D928" s="8" t="str">
        <f t="shared" si="1"/>
        <v>Abrir anúncio ↗</v>
      </c>
      <c r="E928" s="9" t="s">
        <v>5203</v>
      </c>
      <c r="F928" s="3" t="s">
        <v>29</v>
      </c>
      <c r="G928" s="9" t="s">
        <v>4918</v>
      </c>
      <c r="H928" s="9" t="s">
        <v>4919</v>
      </c>
      <c r="I928" s="3"/>
      <c r="J928" s="3"/>
      <c r="K928" s="9"/>
    </row>
    <row r="929" ht="15.75" customHeight="1">
      <c r="A929" s="10" t="s">
        <v>12</v>
      </c>
      <c r="B929" s="10" t="s">
        <v>359</v>
      </c>
      <c r="C929" s="10" t="s">
        <v>5204</v>
      </c>
      <c r="D929" s="11" t="str">
        <f t="shared" si="1"/>
        <v>Abrir anúncio ↗</v>
      </c>
      <c r="E929" s="12" t="s">
        <v>5207</v>
      </c>
      <c r="F929" s="10" t="s">
        <v>29</v>
      </c>
      <c r="G929" s="12" t="s">
        <v>4918</v>
      </c>
      <c r="H929" s="12" t="s">
        <v>4919</v>
      </c>
      <c r="I929" s="10"/>
      <c r="J929" s="10"/>
      <c r="K929" s="12"/>
    </row>
    <row r="930" ht="15.75" customHeight="1">
      <c r="A930" s="3" t="s">
        <v>12</v>
      </c>
      <c r="B930" s="3" t="s">
        <v>359</v>
      </c>
      <c r="C930" s="3" t="s">
        <v>5211</v>
      </c>
      <c r="D930" s="8" t="str">
        <f t="shared" si="1"/>
        <v>Abrir anúncio ↗</v>
      </c>
      <c r="E930" s="9" t="s">
        <v>5071</v>
      </c>
      <c r="F930" s="3" t="s">
        <v>29</v>
      </c>
      <c r="G930" s="9" t="s">
        <v>4918</v>
      </c>
      <c r="H930" s="9" t="s">
        <v>4919</v>
      </c>
      <c r="I930" s="3"/>
      <c r="J930" s="3"/>
      <c r="K930" s="9"/>
    </row>
    <row r="931" ht="15.75" customHeight="1">
      <c r="A931" s="10" t="s">
        <v>12</v>
      </c>
      <c r="B931" s="10" t="s">
        <v>359</v>
      </c>
      <c r="C931" s="10" t="s">
        <v>5215</v>
      </c>
      <c r="D931" s="11" t="str">
        <f t="shared" si="1"/>
        <v>Abrir anúncio ↗</v>
      </c>
      <c r="E931" s="12" t="s">
        <v>4925</v>
      </c>
      <c r="F931" s="10" t="s">
        <v>29</v>
      </c>
      <c r="G931" s="12" t="s">
        <v>5013</v>
      </c>
      <c r="H931" s="12" t="s">
        <v>5015</v>
      </c>
      <c r="I931" s="10"/>
      <c r="J931" s="10"/>
      <c r="K931" s="12"/>
    </row>
    <row r="932" ht="15.75" customHeight="1">
      <c r="A932" s="3" t="s">
        <v>12</v>
      </c>
      <c r="B932" s="3" t="s">
        <v>359</v>
      </c>
      <c r="C932" s="3" t="s">
        <v>5220</v>
      </c>
      <c r="D932" s="8" t="str">
        <f t="shared" si="1"/>
        <v>Abrir anúncio ↗</v>
      </c>
      <c r="E932" s="9" t="s">
        <v>4514</v>
      </c>
      <c r="F932" s="3" t="s">
        <v>86</v>
      </c>
      <c r="G932" s="9" t="s">
        <v>4918</v>
      </c>
      <c r="H932" s="9" t="s">
        <v>4919</v>
      </c>
      <c r="I932" s="3"/>
      <c r="J932" s="3"/>
      <c r="K932" s="9"/>
    </row>
    <row r="933" ht="15.75" customHeight="1">
      <c r="A933" s="10" t="s">
        <v>12</v>
      </c>
      <c r="B933" s="10" t="s">
        <v>359</v>
      </c>
      <c r="C933" s="10" t="s">
        <v>5224</v>
      </c>
      <c r="D933" s="11" t="str">
        <f t="shared" si="1"/>
        <v>Abrir anúncio ↗</v>
      </c>
      <c r="E933" s="12" t="s">
        <v>5226</v>
      </c>
      <c r="F933" s="10" t="s">
        <v>29</v>
      </c>
      <c r="G933" s="12" t="s">
        <v>4918</v>
      </c>
      <c r="H933" s="12" t="s">
        <v>4919</v>
      </c>
      <c r="I933" s="10"/>
      <c r="J933" s="10"/>
      <c r="K933" s="12"/>
    </row>
    <row r="934" ht="15.75" customHeight="1">
      <c r="A934" s="3" t="s">
        <v>12</v>
      </c>
      <c r="B934" s="3" t="s">
        <v>359</v>
      </c>
      <c r="C934" s="3" t="s">
        <v>5229</v>
      </c>
      <c r="D934" s="8" t="str">
        <f t="shared" si="1"/>
        <v>Abrir anúncio ↗</v>
      </c>
      <c r="E934" s="9" t="s">
        <v>5231</v>
      </c>
      <c r="F934" s="3" t="s">
        <v>29</v>
      </c>
      <c r="G934" s="9" t="s">
        <v>4918</v>
      </c>
      <c r="H934" s="9" t="s">
        <v>4919</v>
      </c>
      <c r="I934" s="3"/>
      <c r="J934" s="3"/>
      <c r="K934" s="9"/>
    </row>
    <row r="935" ht="15.75" customHeight="1">
      <c r="A935" s="10" t="s">
        <v>12</v>
      </c>
      <c r="B935" s="10" t="s">
        <v>359</v>
      </c>
      <c r="C935" s="10" t="s">
        <v>5233</v>
      </c>
      <c r="D935" s="11" t="str">
        <f t="shared" si="1"/>
        <v>Abrir anúncio ↗</v>
      </c>
      <c r="E935" s="12" t="s">
        <v>5235</v>
      </c>
      <c r="F935" s="10" t="s">
        <v>29</v>
      </c>
      <c r="G935" s="12" t="s">
        <v>4918</v>
      </c>
      <c r="H935" s="12" t="s">
        <v>4919</v>
      </c>
      <c r="I935" s="10"/>
      <c r="J935" s="10"/>
      <c r="K935" s="12"/>
    </row>
    <row r="936" ht="15.75" customHeight="1">
      <c r="A936" s="3" t="s">
        <v>12</v>
      </c>
      <c r="B936" s="3" t="s">
        <v>359</v>
      </c>
      <c r="C936" s="3" t="s">
        <v>5240</v>
      </c>
      <c r="D936" s="8" t="str">
        <f t="shared" si="1"/>
        <v>Abrir anúncio ↗</v>
      </c>
      <c r="E936" s="9" t="s">
        <v>5241</v>
      </c>
      <c r="F936" s="3" t="s">
        <v>29</v>
      </c>
      <c r="G936" s="9" t="s">
        <v>4918</v>
      </c>
      <c r="H936" s="9" t="s">
        <v>4919</v>
      </c>
      <c r="I936" s="3"/>
      <c r="J936" s="3"/>
      <c r="K936" s="9"/>
    </row>
    <row r="937" ht="15.75" customHeight="1">
      <c r="A937" s="10" t="s">
        <v>12</v>
      </c>
      <c r="B937" s="10" t="s">
        <v>359</v>
      </c>
      <c r="C937" s="10" t="s">
        <v>5244</v>
      </c>
      <c r="D937" s="11" t="str">
        <f t="shared" si="1"/>
        <v>Abrir anúncio ↗</v>
      </c>
      <c r="E937" s="12" t="s">
        <v>5245</v>
      </c>
      <c r="F937" s="10" t="s">
        <v>29</v>
      </c>
      <c r="G937" s="12" t="s">
        <v>4918</v>
      </c>
      <c r="H937" s="12" t="s">
        <v>4919</v>
      </c>
      <c r="I937" s="10"/>
      <c r="J937" s="10"/>
      <c r="K937" s="12"/>
    </row>
    <row r="938" ht="15.75" customHeight="1">
      <c r="A938" s="3" t="s">
        <v>12</v>
      </c>
      <c r="B938" s="3" t="s">
        <v>359</v>
      </c>
      <c r="C938" s="3" t="s">
        <v>5253</v>
      </c>
      <c r="D938" s="8" t="str">
        <f t="shared" si="1"/>
        <v>Abrir anúncio ↗</v>
      </c>
      <c r="E938" s="9" t="s">
        <v>5254</v>
      </c>
      <c r="F938" s="3" t="s">
        <v>29</v>
      </c>
      <c r="G938" s="9" t="s">
        <v>4918</v>
      </c>
      <c r="H938" s="9" t="s">
        <v>4919</v>
      </c>
      <c r="I938" s="3"/>
      <c r="J938" s="3"/>
      <c r="K938" s="9"/>
    </row>
    <row r="939" ht="15.75" customHeight="1">
      <c r="A939" s="10" t="s">
        <v>12</v>
      </c>
      <c r="B939" s="10" t="s">
        <v>359</v>
      </c>
      <c r="C939" s="10" t="s">
        <v>5259</v>
      </c>
      <c r="D939" s="11" t="str">
        <f t="shared" si="1"/>
        <v>Abrir anúncio ↗</v>
      </c>
      <c r="E939" s="12" t="s">
        <v>5260</v>
      </c>
      <c r="F939" s="10" t="s">
        <v>29</v>
      </c>
      <c r="G939" s="12" t="s">
        <v>4918</v>
      </c>
      <c r="H939" s="12" t="s">
        <v>4919</v>
      </c>
      <c r="I939" s="10"/>
      <c r="J939" s="10"/>
      <c r="K939" s="12"/>
    </row>
    <row r="940" ht="15.75" customHeight="1">
      <c r="A940" s="3" t="s">
        <v>12</v>
      </c>
      <c r="B940" s="3" t="s">
        <v>359</v>
      </c>
      <c r="C940" s="3" t="s">
        <v>5264</v>
      </c>
      <c r="D940" s="8" t="str">
        <f t="shared" si="1"/>
        <v>Abrir anúncio ↗</v>
      </c>
      <c r="E940" s="9" t="s">
        <v>5265</v>
      </c>
      <c r="F940" s="3" t="s">
        <v>29</v>
      </c>
      <c r="G940" s="9" t="s">
        <v>5013</v>
      </c>
      <c r="H940" s="9" t="s">
        <v>5015</v>
      </c>
      <c r="I940" s="3"/>
      <c r="J940" s="3"/>
      <c r="K940" s="9"/>
    </row>
    <row r="941" ht="15.75" customHeight="1">
      <c r="A941" s="10" t="s">
        <v>12</v>
      </c>
      <c r="B941" s="10" t="s">
        <v>359</v>
      </c>
      <c r="C941" s="10" t="s">
        <v>5269</v>
      </c>
      <c r="D941" s="11" t="str">
        <f t="shared" si="1"/>
        <v>Abrir anúncio ↗</v>
      </c>
      <c r="E941" s="12" t="s">
        <v>5272</v>
      </c>
      <c r="F941" s="10" t="s">
        <v>29</v>
      </c>
      <c r="G941" s="12" t="s">
        <v>4918</v>
      </c>
      <c r="H941" s="12" t="s">
        <v>4919</v>
      </c>
      <c r="I941" s="10"/>
      <c r="J941" s="10"/>
      <c r="K941" s="12"/>
    </row>
    <row r="942" ht="15.75" customHeight="1">
      <c r="A942" s="3" t="s">
        <v>12</v>
      </c>
      <c r="B942" s="3" t="s">
        <v>359</v>
      </c>
      <c r="C942" s="3" t="s">
        <v>5275</v>
      </c>
      <c r="D942" s="8" t="str">
        <f t="shared" si="1"/>
        <v>Abrir anúncio ↗</v>
      </c>
      <c r="E942" s="9" t="s">
        <v>5277</v>
      </c>
      <c r="F942" s="3" t="s">
        <v>29</v>
      </c>
      <c r="G942" s="9" t="s">
        <v>4918</v>
      </c>
      <c r="H942" s="9" t="s">
        <v>4919</v>
      </c>
      <c r="I942" s="3"/>
      <c r="J942" s="3"/>
      <c r="K942" s="9"/>
    </row>
    <row r="943" ht="15.75" customHeight="1">
      <c r="A943" s="10" t="s">
        <v>12</v>
      </c>
      <c r="B943" s="10" t="s">
        <v>359</v>
      </c>
      <c r="C943" s="10" t="s">
        <v>5280</v>
      </c>
      <c r="D943" s="11" t="str">
        <f t="shared" si="1"/>
        <v>Abrir anúncio ↗</v>
      </c>
      <c r="E943" s="12" t="s">
        <v>5283</v>
      </c>
      <c r="F943" s="10" t="s">
        <v>29</v>
      </c>
      <c r="G943" s="12" t="s">
        <v>4918</v>
      </c>
      <c r="H943" s="12" t="s">
        <v>4919</v>
      </c>
      <c r="I943" s="10"/>
      <c r="J943" s="10"/>
      <c r="K943" s="12"/>
    </row>
    <row r="944" ht="15.75" customHeight="1">
      <c r="A944" s="3" t="s">
        <v>12</v>
      </c>
      <c r="B944" s="3" t="s">
        <v>359</v>
      </c>
      <c r="C944" s="3" t="s">
        <v>5287</v>
      </c>
      <c r="D944" s="8" t="str">
        <f t="shared" si="1"/>
        <v>Abrir anúncio ↗</v>
      </c>
      <c r="E944" s="9" t="s">
        <v>4520</v>
      </c>
      <c r="F944" s="3" t="s">
        <v>86</v>
      </c>
      <c r="G944" s="9" t="s">
        <v>4918</v>
      </c>
      <c r="H944" s="9" t="s">
        <v>4919</v>
      </c>
      <c r="I944" s="3"/>
      <c r="J944" s="3"/>
      <c r="K944" s="9"/>
    </row>
    <row r="945" ht="15.75" customHeight="1">
      <c r="A945" s="10" t="s">
        <v>12</v>
      </c>
      <c r="B945" s="10" t="s">
        <v>359</v>
      </c>
      <c r="C945" s="10" t="s">
        <v>5291</v>
      </c>
      <c r="D945" s="11" t="str">
        <f t="shared" si="1"/>
        <v>Abrir anúncio ↗</v>
      </c>
      <c r="E945" s="12" t="s">
        <v>5293</v>
      </c>
      <c r="F945" s="10" t="s">
        <v>29</v>
      </c>
      <c r="G945" s="12" t="s">
        <v>4918</v>
      </c>
      <c r="H945" s="12" t="s">
        <v>4919</v>
      </c>
      <c r="I945" s="10"/>
      <c r="J945" s="10"/>
      <c r="K945" s="12"/>
    </row>
    <row r="946" ht="15.75" customHeight="1">
      <c r="A946" s="3" t="s">
        <v>12</v>
      </c>
      <c r="B946" s="3" t="s">
        <v>359</v>
      </c>
      <c r="C946" s="3" t="s">
        <v>5295</v>
      </c>
      <c r="D946" s="8" t="str">
        <f t="shared" si="1"/>
        <v>Abrir anúncio ↗</v>
      </c>
      <c r="E946" s="9" t="s">
        <v>4014</v>
      </c>
      <c r="F946" s="3" t="s">
        <v>29</v>
      </c>
      <c r="G946" s="9" t="s">
        <v>4918</v>
      </c>
      <c r="H946" s="9" t="s">
        <v>4919</v>
      </c>
      <c r="I946" s="3"/>
      <c r="J946" s="3"/>
      <c r="K946" s="9"/>
    </row>
    <row r="947" ht="15.75" customHeight="1">
      <c r="A947" s="10" t="s">
        <v>12</v>
      </c>
      <c r="B947" s="10" t="s">
        <v>359</v>
      </c>
      <c r="C947" s="10" t="s">
        <v>5298</v>
      </c>
      <c r="D947" s="11" t="str">
        <f t="shared" si="1"/>
        <v>Abrir anúncio ↗</v>
      </c>
      <c r="E947" s="12" t="s">
        <v>774</v>
      </c>
      <c r="F947" s="10" t="s">
        <v>29</v>
      </c>
      <c r="G947" s="12" t="s">
        <v>4918</v>
      </c>
      <c r="H947" s="12" t="s">
        <v>4919</v>
      </c>
      <c r="I947" s="10"/>
      <c r="J947" s="10"/>
      <c r="K947" s="12"/>
    </row>
    <row r="948" ht="15.75" customHeight="1">
      <c r="A948" s="3" t="s">
        <v>12</v>
      </c>
      <c r="B948" s="3" t="s">
        <v>359</v>
      </c>
      <c r="C948" s="3" t="s">
        <v>5302</v>
      </c>
      <c r="D948" s="8" t="str">
        <f t="shared" si="1"/>
        <v>Abrir anúncio ↗</v>
      </c>
      <c r="E948" s="9" t="s">
        <v>5304</v>
      </c>
      <c r="F948" s="3" t="s">
        <v>29</v>
      </c>
      <c r="G948" s="9" t="s">
        <v>4918</v>
      </c>
      <c r="H948" s="9" t="s">
        <v>4919</v>
      </c>
      <c r="I948" s="3"/>
      <c r="J948" s="3"/>
      <c r="K948" s="9"/>
    </row>
    <row r="949" ht="15.75" customHeight="1">
      <c r="A949" s="10" t="s">
        <v>12</v>
      </c>
      <c r="B949" s="10" t="s">
        <v>359</v>
      </c>
      <c r="C949" s="10" t="s">
        <v>5307</v>
      </c>
      <c r="D949" s="11" t="str">
        <f t="shared" si="1"/>
        <v>Abrir anúncio ↗</v>
      </c>
      <c r="E949" s="12" t="s">
        <v>5310</v>
      </c>
      <c r="F949" s="10" t="s">
        <v>29</v>
      </c>
      <c r="G949" s="12" t="s">
        <v>4918</v>
      </c>
      <c r="H949" s="12" t="s">
        <v>4919</v>
      </c>
      <c r="I949" s="10"/>
      <c r="J949" s="10"/>
      <c r="K949" s="12"/>
    </row>
    <row r="950" ht="15.75" customHeight="1">
      <c r="A950" s="3" t="s">
        <v>12</v>
      </c>
      <c r="B950" s="3" t="s">
        <v>359</v>
      </c>
      <c r="C950" s="3" t="s">
        <v>5312</v>
      </c>
      <c r="D950" s="8" t="str">
        <f t="shared" si="1"/>
        <v>Abrir anúncio ↗</v>
      </c>
      <c r="E950" s="9" t="s">
        <v>5314</v>
      </c>
      <c r="F950" s="3" t="s">
        <v>29</v>
      </c>
      <c r="G950" s="9" t="s">
        <v>4918</v>
      </c>
      <c r="H950" s="9" t="s">
        <v>4919</v>
      </c>
      <c r="I950" s="3"/>
      <c r="J950" s="3"/>
      <c r="K950" s="9"/>
    </row>
    <row r="951" ht="15.75" customHeight="1">
      <c r="A951" s="10" t="s">
        <v>12</v>
      </c>
      <c r="B951" s="10" t="s">
        <v>359</v>
      </c>
      <c r="C951" s="10" t="s">
        <v>5316</v>
      </c>
      <c r="D951" s="11" t="str">
        <f t="shared" si="1"/>
        <v>Abrir anúncio ↗</v>
      </c>
      <c r="E951" s="12" t="s">
        <v>5317</v>
      </c>
      <c r="F951" s="10" t="s">
        <v>29</v>
      </c>
      <c r="G951" s="12" t="s">
        <v>4918</v>
      </c>
      <c r="H951" s="12" t="s">
        <v>4919</v>
      </c>
      <c r="I951" s="10"/>
      <c r="J951" s="10"/>
      <c r="K951" s="12"/>
    </row>
    <row r="952" ht="15.75" customHeight="1">
      <c r="A952" s="3" t="s">
        <v>12</v>
      </c>
      <c r="B952" s="3" t="s">
        <v>359</v>
      </c>
      <c r="C952" s="3" t="s">
        <v>5320</v>
      </c>
      <c r="D952" s="8" t="str">
        <f t="shared" si="1"/>
        <v>Abrir anúncio ↗</v>
      </c>
      <c r="E952" s="9" t="s">
        <v>5322</v>
      </c>
      <c r="F952" s="3" t="s">
        <v>29</v>
      </c>
      <c r="G952" s="9" t="s">
        <v>4918</v>
      </c>
      <c r="H952" s="9" t="s">
        <v>4919</v>
      </c>
      <c r="I952" s="3"/>
      <c r="J952" s="3"/>
      <c r="K952" s="9"/>
    </row>
    <row r="953" ht="15.75" customHeight="1">
      <c r="A953" s="10" t="s">
        <v>12</v>
      </c>
      <c r="B953" s="10" t="s">
        <v>359</v>
      </c>
      <c r="C953" s="10" t="s">
        <v>5324</v>
      </c>
      <c r="D953" s="11" t="str">
        <f t="shared" si="1"/>
        <v>Abrir anúncio ↗</v>
      </c>
      <c r="E953" s="12" t="s">
        <v>5325</v>
      </c>
      <c r="F953" s="10" t="s">
        <v>29</v>
      </c>
      <c r="G953" s="12" t="s">
        <v>4918</v>
      </c>
      <c r="H953" s="12" t="s">
        <v>4919</v>
      </c>
      <c r="I953" s="10"/>
      <c r="J953" s="10"/>
      <c r="K953" s="12"/>
    </row>
    <row r="954" ht="15.75" customHeight="1">
      <c r="A954" s="3" t="s">
        <v>12</v>
      </c>
      <c r="B954" s="3" t="s">
        <v>359</v>
      </c>
      <c r="C954" s="3" t="s">
        <v>5329</v>
      </c>
      <c r="D954" s="8" t="str">
        <f t="shared" si="1"/>
        <v>Abrir anúncio ↗</v>
      </c>
      <c r="E954" s="9" t="s">
        <v>5330</v>
      </c>
      <c r="F954" s="3" t="s">
        <v>86</v>
      </c>
      <c r="G954" s="9" t="s">
        <v>4918</v>
      </c>
      <c r="H954" s="9" t="s">
        <v>4919</v>
      </c>
      <c r="I954" s="3"/>
      <c r="J954" s="3"/>
      <c r="K954" s="9"/>
    </row>
    <row r="955" ht="15.75" customHeight="1">
      <c r="A955" s="10" t="s">
        <v>12</v>
      </c>
      <c r="B955" s="10" t="s">
        <v>359</v>
      </c>
      <c r="C955" s="10" t="s">
        <v>5332</v>
      </c>
      <c r="D955" s="11" t="str">
        <f t="shared" si="1"/>
        <v>Abrir anúncio ↗</v>
      </c>
      <c r="E955" s="12" t="s">
        <v>5333</v>
      </c>
      <c r="F955" s="10" t="s">
        <v>29</v>
      </c>
      <c r="G955" s="12" t="s">
        <v>4918</v>
      </c>
      <c r="H955" s="12" t="s">
        <v>4919</v>
      </c>
      <c r="I955" s="10"/>
      <c r="J955" s="10"/>
      <c r="K955" s="12"/>
    </row>
    <row r="956" ht="15.75" customHeight="1">
      <c r="A956" s="3" t="s">
        <v>12</v>
      </c>
      <c r="B956" s="3" t="s">
        <v>359</v>
      </c>
      <c r="C956" s="3" t="s">
        <v>5337</v>
      </c>
      <c r="D956" s="8" t="str">
        <f t="shared" si="1"/>
        <v>Abrir anúncio ↗</v>
      </c>
      <c r="E956" s="9" t="s">
        <v>3938</v>
      </c>
      <c r="F956" s="3" t="s">
        <v>29</v>
      </c>
      <c r="G956" s="9" t="s">
        <v>4918</v>
      </c>
      <c r="H956" s="9" t="s">
        <v>4919</v>
      </c>
      <c r="I956" s="3"/>
      <c r="J956" s="3"/>
      <c r="K956" s="9"/>
    </row>
    <row r="957" ht="15.75" customHeight="1">
      <c r="A957" s="10" t="s">
        <v>12</v>
      </c>
      <c r="B957" s="10" t="s">
        <v>359</v>
      </c>
      <c r="C957" s="10" t="s">
        <v>5341</v>
      </c>
      <c r="D957" s="11" t="str">
        <f t="shared" si="1"/>
        <v>Abrir anúncio ↗</v>
      </c>
      <c r="E957" s="12" t="s">
        <v>5342</v>
      </c>
      <c r="F957" s="10" t="s">
        <v>29</v>
      </c>
      <c r="G957" s="12" t="s">
        <v>4918</v>
      </c>
      <c r="H957" s="12" t="s">
        <v>4919</v>
      </c>
      <c r="I957" s="10"/>
      <c r="J957" s="10"/>
      <c r="K957" s="12"/>
    </row>
    <row r="958" ht="15.75" customHeight="1">
      <c r="A958" s="3" t="s">
        <v>12</v>
      </c>
      <c r="B958" s="3" t="s">
        <v>359</v>
      </c>
      <c r="C958" s="3" t="s">
        <v>5347</v>
      </c>
      <c r="D958" s="8" t="str">
        <f t="shared" si="1"/>
        <v>Abrir anúncio ↗</v>
      </c>
      <c r="E958" s="9" t="s">
        <v>3882</v>
      </c>
      <c r="F958" s="3" t="s">
        <v>29</v>
      </c>
      <c r="G958" s="9" t="s">
        <v>4918</v>
      </c>
      <c r="H958" s="9" t="s">
        <v>4919</v>
      </c>
      <c r="I958" s="3"/>
      <c r="J958" s="3"/>
      <c r="K958" s="9"/>
    </row>
    <row r="959" ht="15.75" customHeight="1">
      <c r="A959" s="10" t="s">
        <v>12</v>
      </c>
      <c r="B959" s="10" t="s">
        <v>359</v>
      </c>
      <c r="C959" s="10" t="s">
        <v>5350</v>
      </c>
      <c r="D959" s="11" t="str">
        <f t="shared" si="1"/>
        <v>Abrir anúncio ↗</v>
      </c>
      <c r="E959" s="12" t="s">
        <v>5351</v>
      </c>
      <c r="F959" s="10" t="s">
        <v>29</v>
      </c>
      <c r="G959" s="12" t="s">
        <v>4918</v>
      </c>
      <c r="H959" s="12" t="s">
        <v>4919</v>
      </c>
      <c r="I959" s="10"/>
      <c r="J959" s="10"/>
      <c r="K959" s="12"/>
    </row>
    <row r="960" ht="15.75" customHeight="1">
      <c r="A960" s="3" t="s">
        <v>12</v>
      </c>
      <c r="B960" s="3" t="s">
        <v>359</v>
      </c>
      <c r="C960" s="3" t="s">
        <v>5355</v>
      </c>
      <c r="D960" s="8" t="str">
        <f t="shared" si="1"/>
        <v>Abrir anúncio ↗</v>
      </c>
      <c r="E960" s="9" t="s">
        <v>5356</v>
      </c>
      <c r="F960" s="3" t="s">
        <v>29</v>
      </c>
      <c r="G960" s="9" t="s">
        <v>4918</v>
      </c>
      <c r="H960" s="9" t="s">
        <v>4919</v>
      </c>
      <c r="I960" s="3"/>
      <c r="J960" s="3"/>
      <c r="K960" s="9"/>
    </row>
    <row r="961" ht="15.75" customHeight="1">
      <c r="A961" s="10" t="s">
        <v>12</v>
      </c>
      <c r="B961" s="10" t="s">
        <v>359</v>
      </c>
      <c r="C961" s="10" t="s">
        <v>5358</v>
      </c>
      <c r="D961" s="11" t="str">
        <f t="shared" si="1"/>
        <v>Abrir anúncio ↗</v>
      </c>
      <c r="E961" s="12" t="s">
        <v>5359</v>
      </c>
      <c r="F961" s="10" t="s">
        <v>29</v>
      </c>
      <c r="G961" s="12" t="s">
        <v>4918</v>
      </c>
      <c r="H961" s="12" t="s">
        <v>4919</v>
      </c>
      <c r="I961" s="10"/>
      <c r="J961" s="10"/>
      <c r="K961" s="12"/>
    </row>
    <row r="962" ht="15.75" customHeight="1">
      <c r="A962" s="3" t="s">
        <v>12</v>
      </c>
      <c r="B962" s="3" t="s">
        <v>359</v>
      </c>
      <c r="C962" s="3" t="s">
        <v>5363</v>
      </c>
      <c r="D962" s="8" t="str">
        <f t="shared" si="1"/>
        <v>Abrir anúncio ↗</v>
      </c>
      <c r="E962" s="9" t="s">
        <v>5364</v>
      </c>
      <c r="F962" s="3" t="s">
        <v>29</v>
      </c>
      <c r="G962" s="9" t="s">
        <v>4918</v>
      </c>
      <c r="H962" s="9" t="s">
        <v>4919</v>
      </c>
      <c r="I962" s="3"/>
      <c r="J962" s="3"/>
      <c r="K962" s="9"/>
    </row>
    <row r="963" ht="15.75" customHeight="1">
      <c r="A963" s="10" t="s">
        <v>12</v>
      </c>
      <c r="B963" s="10" t="s">
        <v>359</v>
      </c>
      <c r="C963" s="10" t="s">
        <v>5365</v>
      </c>
      <c r="D963" s="11" t="str">
        <f t="shared" si="1"/>
        <v>Abrir anúncio ↗</v>
      </c>
      <c r="E963" s="12" t="s">
        <v>5367</v>
      </c>
      <c r="F963" s="10" t="s">
        <v>29</v>
      </c>
      <c r="G963" s="12" t="s">
        <v>4918</v>
      </c>
      <c r="H963" s="12" t="s">
        <v>4919</v>
      </c>
      <c r="I963" s="10"/>
      <c r="J963" s="10"/>
      <c r="K963" s="12"/>
    </row>
    <row r="964" ht="15.75" customHeight="1">
      <c r="A964" s="3" t="s">
        <v>12</v>
      </c>
      <c r="B964" s="3" t="s">
        <v>359</v>
      </c>
      <c r="C964" s="3" t="s">
        <v>5371</v>
      </c>
      <c r="D964" s="8" t="str">
        <f t="shared" si="1"/>
        <v>Abrir anúncio ↗</v>
      </c>
      <c r="E964" s="9" t="s">
        <v>4762</v>
      </c>
      <c r="F964" s="3" t="s">
        <v>29</v>
      </c>
      <c r="G964" s="9" t="s">
        <v>4918</v>
      </c>
      <c r="H964" s="9" t="s">
        <v>4919</v>
      </c>
      <c r="I964" s="3"/>
      <c r="J964" s="3"/>
      <c r="K964" s="9"/>
    </row>
    <row r="965" ht="15.75" customHeight="1">
      <c r="A965" s="10" t="s">
        <v>12</v>
      </c>
      <c r="B965" s="10" t="s">
        <v>359</v>
      </c>
      <c r="C965" s="10" t="s">
        <v>5373</v>
      </c>
      <c r="D965" s="11" t="str">
        <f t="shared" si="1"/>
        <v>Abrir anúncio ↗</v>
      </c>
      <c r="E965" s="12" t="s">
        <v>5375</v>
      </c>
      <c r="F965" s="10" t="s">
        <v>29</v>
      </c>
      <c r="G965" s="12" t="s">
        <v>4918</v>
      </c>
      <c r="H965" s="12" t="s">
        <v>4919</v>
      </c>
      <c r="I965" s="10"/>
      <c r="J965" s="10"/>
      <c r="K965" s="12"/>
    </row>
    <row r="966" ht="15.75" customHeight="1">
      <c r="A966" s="3" t="s">
        <v>12</v>
      </c>
      <c r="B966" s="3" t="s">
        <v>359</v>
      </c>
      <c r="C966" s="3" t="s">
        <v>5379</v>
      </c>
      <c r="D966" s="8" t="str">
        <f t="shared" si="1"/>
        <v>Abrir anúncio ↗</v>
      </c>
      <c r="E966" s="9" t="s">
        <v>5381</v>
      </c>
      <c r="F966" s="3" t="s">
        <v>29</v>
      </c>
      <c r="G966" s="9" t="s">
        <v>4918</v>
      </c>
      <c r="H966" s="9" t="s">
        <v>4919</v>
      </c>
      <c r="I966" s="3"/>
      <c r="J966" s="3"/>
      <c r="K966" s="9"/>
    </row>
    <row r="967" ht="15.75" customHeight="1">
      <c r="A967" s="10" t="s">
        <v>12</v>
      </c>
      <c r="B967" s="10" t="s">
        <v>359</v>
      </c>
      <c r="C967" s="10" t="s">
        <v>5384</v>
      </c>
      <c r="D967" s="11" t="str">
        <f t="shared" si="1"/>
        <v>Abrir anúncio ↗</v>
      </c>
      <c r="E967" s="12" t="s">
        <v>5385</v>
      </c>
      <c r="F967" s="10" t="s">
        <v>29</v>
      </c>
      <c r="G967" s="12" t="s">
        <v>4918</v>
      </c>
      <c r="H967" s="12" t="s">
        <v>4919</v>
      </c>
      <c r="I967" s="10"/>
      <c r="J967" s="10"/>
      <c r="K967" s="12"/>
    </row>
    <row r="968" ht="15.75" customHeight="1">
      <c r="A968" s="3" t="s">
        <v>12</v>
      </c>
      <c r="B968" s="3" t="s">
        <v>359</v>
      </c>
      <c r="C968" s="3" t="s">
        <v>5387</v>
      </c>
      <c r="D968" s="8" t="str">
        <f t="shared" si="1"/>
        <v>Abrir anúncio ↗</v>
      </c>
      <c r="E968" s="9" t="s">
        <v>5389</v>
      </c>
      <c r="F968" s="3" t="s">
        <v>86</v>
      </c>
      <c r="G968" s="9" t="s">
        <v>4918</v>
      </c>
      <c r="H968" s="9" t="s">
        <v>4919</v>
      </c>
      <c r="I968" s="3"/>
      <c r="J968" s="3"/>
      <c r="K968" s="9"/>
    </row>
    <row r="969" ht="15.75" customHeight="1">
      <c r="A969" s="10" t="s">
        <v>12</v>
      </c>
      <c r="B969" s="10" t="s">
        <v>359</v>
      </c>
      <c r="C969" s="10" t="s">
        <v>5391</v>
      </c>
      <c r="D969" s="11" t="str">
        <f t="shared" si="1"/>
        <v>Abrir anúncio ↗</v>
      </c>
      <c r="E969" s="12" t="s">
        <v>5393</v>
      </c>
      <c r="F969" s="10" t="s">
        <v>86</v>
      </c>
      <c r="G969" s="12" t="s">
        <v>4918</v>
      </c>
      <c r="H969" s="12" t="s">
        <v>4919</v>
      </c>
      <c r="I969" s="10"/>
      <c r="J969" s="10"/>
      <c r="K969" s="12"/>
    </row>
    <row r="970" ht="15.75" customHeight="1">
      <c r="A970" s="3" t="s">
        <v>12</v>
      </c>
      <c r="B970" s="3" t="s">
        <v>359</v>
      </c>
      <c r="C970" s="3" t="s">
        <v>5396</v>
      </c>
      <c r="D970" s="8" t="str">
        <f t="shared" si="1"/>
        <v>Abrir anúncio ↗</v>
      </c>
      <c r="E970" s="9" t="s">
        <v>5398</v>
      </c>
      <c r="F970" s="3" t="s">
        <v>86</v>
      </c>
      <c r="G970" s="9" t="s">
        <v>4918</v>
      </c>
      <c r="H970" s="9" t="s">
        <v>4919</v>
      </c>
      <c r="I970" s="3"/>
      <c r="J970" s="3"/>
      <c r="K970" s="9"/>
    </row>
    <row r="971" ht="15.75" customHeight="1">
      <c r="A971" s="10" t="s">
        <v>12</v>
      </c>
      <c r="B971" s="10" t="s">
        <v>359</v>
      </c>
      <c r="C971" s="10" t="s">
        <v>5399</v>
      </c>
      <c r="D971" s="11" t="str">
        <f t="shared" si="1"/>
        <v>Abrir anúncio ↗</v>
      </c>
      <c r="E971" s="12" t="s">
        <v>5401</v>
      </c>
      <c r="F971" s="10" t="s">
        <v>86</v>
      </c>
      <c r="G971" s="12" t="s">
        <v>4918</v>
      </c>
      <c r="H971" s="12" t="s">
        <v>4919</v>
      </c>
      <c r="I971" s="10"/>
      <c r="J971" s="10"/>
      <c r="K971" s="12"/>
    </row>
    <row r="972" ht="15.75" customHeight="1">
      <c r="A972" s="3" t="s">
        <v>12</v>
      </c>
      <c r="B972" s="3" t="s">
        <v>359</v>
      </c>
      <c r="C972" s="3" t="s">
        <v>5406</v>
      </c>
      <c r="D972" s="8" t="str">
        <f t="shared" si="1"/>
        <v>Abrir anúncio ↗</v>
      </c>
      <c r="E972" s="9" t="s">
        <v>5407</v>
      </c>
      <c r="F972" s="3" t="s">
        <v>86</v>
      </c>
      <c r="G972" s="9" t="s">
        <v>4918</v>
      </c>
      <c r="H972" s="9" t="s">
        <v>4919</v>
      </c>
      <c r="I972" s="3"/>
      <c r="J972" s="3"/>
      <c r="K972" s="9"/>
    </row>
    <row r="973" ht="15.75" customHeight="1">
      <c r="A973" s="10" t="s">
        <v>12</v>
      </c>
      <c r="B973" s="10" t="s">
        <v>359</v>
      </c>
      <c r="C973" s="10" t="s">
        <v>5412</v>
      </c>
      <c r="D973" s="11" t="str">
        <f t="shared" si="1"/>
        <v>Abrir anúncio ↗</v>
      </c>
      <c r="E973" s="12" t="s">
        <v>5413</v>
      </c>
      <c r="F973" s="10" t="s">
        <v>86</v>
      </c>
      <c r="G973" s="12" t="s">
        <v>4918</v>
      </c>
      <c r="H973" s="12" t="s">
        <v>4919</v>
      </c>
      <c r="I973" s="10"/>
      <c r="J973" s="10"/>
      <c r="K973" s="12"/>
    </row>
    <row r="974" ht="15.75" customHeight="1">
      <c r="A974" s="3" t="s">
        <v>12</v>
      </c>
      <c r="B974" s="3" t="s">
        <v>359</v>
      </c>
      <c r="C974" s="3" t="s">
        <v>5417</v>
      </c>
      <c r="D974" s="8" t="str">
        <f t="shared" si="1"/>
        <v>Abrir anúncio ↗</v>
      </c>
      <c r="E974" s="9" t="s">
        <v>2486</v>
      </c>
      <c r="F974" s="3" t="s">
        <v>29</v>
      </c>
      <c r="G974" s="9" t="s">
        <v>4918</v>
      </c>
      <c r="H974" s="9" t="s">
        <v>4919</v>
      </c>
      <c r="I974" s="3"/>
      <c r="J974" s="3"/>
      <c r="K974" s="9"/>
    </row>
    <row r="975" ht="15.75" customHeight="1">
      <c r="A975" s="10" t="s">
        <v>12</v>
      </c>
      <c r="B975" s="10" t="s">
        <v>359</v>
      </c>
      <c r="C975" s="10" t="s">
        <v>5420</v>
      </c>
      <c r="D975" s="11" t="str">
        <f t="shared" si="1"/>
        <v>Abrir anúncio ↗</v>
      </c>
      <c r="E975" s="12" t="s">
        <v>5422</v>
      </c>
      <c r="F975" s="10" t="s">
        <v>29</v>
      </c>
      <c r="G975" s="12" t="s">
        <v>4918</v>
      </c>
      <c r="H975" s="12" t="s">
        <v>4919</v>
      </c>
      <c r="I975" s="10"/>
      <c r="J975" s="10"/>
      <c r="K975" s="12"/>
    </row>
    <row r="976" ht="15.75" customHeight="1">
      <c r="A976" s="3" t="s">
        <v>12</v>
      </c>
      <c r="B976" s="3" t="s">
        <v>359</v>
      </c>
      <c r="C976" s="3" t="s">
        <v>5426</v>
      </c>
      <c r="D976" s="8" t="str">
        <f t="shared" si="1"/>
        <v>Abrir anúncio ↗</v>
      </c>
      <c r="E976" s="9" t="s">
        <v>5428</v>
      </c>
      <c r="F976" s="3" t="s">
        <v>29</v>
      </c>
      <c r="G976" s="9" t="s">
        <v>4918</v>
      </c>
      <c r="H976" s="9" t="s">
        <v>4919</v>
      </c>
      <c r="I976" s="3"/>
      <c r="J976" s="3"/>
      <c r="K976" s="9"/>
    </row>
    <row r="977" ht="15.75" customHeight="1">
      <c r="A977" s="10" t="s">
        <v>12</v>
      </c>
      <c r="B977" s="10" t="s">
        <v>359</v>
      </c>
      <c r="C977" s="10" t="s">
        <v>5431</v>
      </c>
      <c r="D977" s="11" t="str">
        <f t="shared" si="1"/>
        <v>Abrir anúncio ↗</v>
      </c>
      <c r="E977" s="12" t="s">
        <v>5432</v>
      </c>
      <c r="F977" s="10" t="s">
        <v>29</v>
      </c>
      <c r="G977" s="12" t="s">
        <v>4918</v>
      </c>
      <c r="H977" s="12" t="s">
        <v>4919</v>
      </c>
      <c r="I977" s="10"/>
      <c r="J977" s="10"/>
      <c r="K977" s="12"/>
    </row>
    <row r="978" ht="15.75" customHeight="1">
      <c r="A978" s="3" t="s">
        <v>12</v>
      </c>
      <c r="B978" s="3" t="s">
        <v>359</v>
      </c>
      <c r="C978" s="3" t="s">
        <v>5435</v>
      </c>
      <c r="D978" s="8" t="str">
        <f t="shared" si="1"/>
        <v>Abrir anúncio ↗</v>
      </c>
      <c r="E978" s="9" t="s">
        <v>5438</v>
      </c>
      <c r="F978" s="3" t="s">
        <v>29</v>
      </c>
      <c r="G978" s="9" t="s">
        <v>4918</v>
      </c>
      <c r="H978" s="9" t="s">
        <v>4919</v>
      </c>
      <c r="I978" s="3"/>
      <c r="J978" s="3"/>
      <c r="K978" s="9"/>
    </row>
    <row r="979" ht="15.75" customHeight="1">
      <c r="A979" s="10" t="s">
        <v>12</v>
      </c>
      <c r="B979" s="10" t="s">
        <v>359</v>
      </c>
      <c r="C979" s="10" t="s">
        <v>5441</v>
      </c>
      <c r="D979" s="11" t="str">
        <f t="shared" si="1"/>
        <v>Abrir anúncio ↗</v>
      </c>
      <c r="E979" s="12" t="s">
        <v>5442</v>
      </c>
      <c r="F979" s="10" t="s">
        <v>29</v>
      </c>
      <c r="G979" s="12" t="s">
        <v>5013</v>
      </c>
      <c r="H979" s="12" t="s">
        <v>5015</v>
      </c>
      <c r="I979" s="10"/>
      <c r="J979" s="10"/>
      <c r="K979" s="12"/>
    </row>
    <row r="980" ht="15.75" customHeight="1">
      <c r="A980" s="3" t="s">
        <v>12</v>
      </c>
      <c r="B980" s="3" t="s">
        <v>359</v>
      </c>
      <c r="C980" s="3" t="s">
        <v>5445</v>
      </c>
      <c r="D980" s="8" t="str">
        <f t="shared" si="1"/>
        <v>Abrir anúncio ↗</v>
      </c>
      <c r="E980" s="9" t="s">
        <v>5447</v>
      </c>
      <c r="F980" s="3" t="s">
        <v>86</v>
      </c>
      <c r="G980" s="9" t="s">
        <v>5450</v>
      </c>
      <c r="H980" s="9" t="s">
        <v>5451</v>
      </c>
      <c r="I980" s="3"/>
      <c r="J980" s="3"/>
      <c r="K980" s="9"/>
    </row>
    <row r="981" ht="15.75" customHeight="1">
      <c r="A981" s="10" t="s">
        <v>12</v>
      </c>
      <c r="B981" s="10" t="s">
        <v>359</v>
      </c>
      <c r="C981" s="10" t="s">
        <v>5453</v>
      </c>
      <c r="D981" s="11" t="str">
        <f t="shared" si="1"/>
        <v>Abrir anúncio ↗</v>
      </c>
      <c r="E981" s="12" t="s">
        <v>5454</v>
      </c>
      <c r="F981" s="10" t="s">
        <v>86</v>
      </c>
      <c r="G981" s="12" t="s">
        <v>5450</v>
      </c>
      <c r="H981" s="12" t="s">
        <v>5451</v>
      </c>
      <c r="I981" s="10"/>
      <c r="J981" s="10"/>
      <c r="K981" s="12"/>
    </row>
    <row r="982" ht="15.75" customHeight="1">
      <c r="A982" s="3" t="s">
        <v>12</v>
      </c>
      <c r="B982" s="3" t="s">
        <v>359</v>
      </c>
      <c r="C982" s="3" t="s">
        <v>5458</v>
      </c>
      <c r="D982" s="8" t="str">
        <f t="shared" si="1"/>
        <v>Abrir anúncio ↗</v>
      </c>
      <c r="E982" s="9" t="s">
        <v>5459</v>
      </c>
      <c r="F982" s="3" t="s">
        <v>86</v>
      </c>
      <c r="G982" s="9" t="s">
        <v>5450</v>
      </c>
      <c r="H982" s="9" t="s">
        <v>5451</v>
      </c>
      <c r="I982" s="3"/>
      <c r="J982" s="3"/>
      <c r="K982" s="9"/>
    </row>
    <row r="983" ht="15.75" customHeight="1">
      <c r="A983" s="10" t="s">
        <v>12</v>
      </c>
      <c r="B983" s="10" t="s">
        <v>359</v>
      </c>
      <c r="C983" s="10" t="s">
        <v>5463</v>
      </c>
      <c r="D983" s="11" t="str">
        <f t="shared" si="1"/>
        <v>Abrir anúncio ↗</v>
      </c>
      <c r="E983" s="12" t="s">
        <v>5465</v>
      </c>
      <c r="F983" s="10" t="s">
        <v>86</v>
      </c>
      <c r="G983" s="12" t="s">
        <v>5450</v>
      </c>
      <c r="H983" s="12" t="s">
        <v>5451</v>
      </c>
      <c r="I983" s="10"/>
      <c r="J983" s="10"/>
      <c r="K983" s="12"/>
    </row>
    <row r="984" ht="15.75" customHeight="1">
      <c r="A984" s="3" t="s">
        <v>12</v>
      </c>
      <c r="B984" s="3" t="s">
        <v>359</v>
      </c>
      <c r="C984" s="3" t="s">
        <v>5468</v>
      </c>
      <c r="D984" s="8" t="str">
        <f t="shared" si="1"/>
        <v>Abrir anúncio ↗</v>
      </c>
      <c r="E984" s="9" t="s">
        <v>5470</v>
      </c>
      <c r="F984" s="3" t="s">
        <v>29</v>
      </c>
      <c r="G984" s="9" t="s">
        <v>5450</v>
      </c>
      <c r="H984" s="9" t="s">
        <v>5451</v>
      </c>
      <c r="I984" s="3"/>
      <c r="J984" s="3"/>
      <c r="K984" s="9"/>
    </row>
    <row r="985" ht="15.75" customHeight="1">
      <c r="A985" s="10" t="s">
        <v>12</v>
      </c>
      <c r="B985" s="10" t="s">
        <v>359</v>
      </c>
      <c r="C985" s="10" t="s">
        <v>5473</v>
      </c>
      <c r="D985" s="11" t="str">
        <f t="shared" si="1"/>
        <v>Abrir anúncio ↗</v>
      </c>
      <c r="E985" s="12" t="s">
        <v>5474</v>
      </c>
      <c r="F985" s="10" t="s">
        <v>86</v>
      </c>
      <c r="G985" s="12" t="s">
        <v>5450</v>
      </c>
      <c r="H985" s="12" t="s">
        <v>5451</v>
      </c>
      <c r="I985" s="10"/>
      <c r="J985" s="10"/>
      <c r="K985" s="12"/>
    </row>
    <row r="986" ht="15.75" customHeight="1">
      <c r="A986" s="3" t="s">
        <v>12</v>
      </c>
      <c r="B986" s="3" t="s">
        <v>359</v>
      </c>
      <c r="C986" s="3" t="s">
        <v>5478</v>
      </c>
      <c r="D986" s="8" t="str">
        <f t="shared" si="1"/>
        <v>Abrir anúncio ↗</v>
      </c>
      <c r="E986" s="9" t="s">
        <v>5479</v>
      </c>
      <c r="F986" s="3" t="s">
        <v>86</v>
      </c>
      <c r="G986" s="9" t="s">
        <v>5450</v>
      </c>
      <c r="H986" s="9" t="s">
        <v>5451</v>
      </c>
      <c r="I986" s="3"/>
      <c r="J986" s="3"/>
      <c r="K986" s="9"/>
    </row>
    <row r="987" ht="15.75" customHeight="1">
      <c r="A987" s="10" t="s">
        <v>12</v>
      </c>
      <c r="B987" s="10" t="s">
        <v>359</v>
      </c>
      <c r="C987" s="10" t="s">
        <v>5483</v>
      </c>
      <c r="D987" s="11" t="str">
        <f t="shared" si="1"/>
        <v>Abrir anúncio ↗</v>
      </c>
      <c r="E987" s="12" t="s">
        <v>5484</v>
      </c>
      <c r="F987" s="10" t="s">
        <v>86</v>
      </c>
      <c r="G987" s="12" t="s">
        <v>5450</v>
      </c>
      <c r="H987" s="12" t="s">
        <v>5451</v>
      </c>
      <c r="I987" s="10"/>
      <c r="J987" s="10"/>
      <c r="K987" s="12"/>
    </row>
    <row r="988" ht="15.75" customHeight="1">
      <c r="A988" s="3" t="s">
        <v>12</v>
      </c>
      <c r="B988" s="3" t="s">
        <v>359</v>
      </c>
      <c r="C988" s="3" t="s">
        <v>5488</v>
      </c>
      <c r="D988" s="8" t="str">
        <f t="shared" si="1"/>
        <v>Abrir anúncio ↗</v>
      </c>
      <c r="E988" s="9" t="s">
        <v>5490</v>
      </c>
      <c r="F988" s="3" t="s">
        <v>86</v>
      </c>
      <c r="G988" s="9" t="s">
        <v>5450</v>
      </c>
      <c r="H988" s="9" t="s">
        <v>5451</v>
      </c>
      <c r="I988" s="3"/>
      <c r="J988" s="3"/>
      <c r="K988" s="9"/>
    </row>
    <row r="989" ht="15.75" customHeight="1">
      <c r="A989" s="10" t="s">
        <v>12</v>
      </c>
      <c r="B989" s="10" t="s">
        <v>359</v>
      </c>
      <c r="C989" s="10" t="s">
        <v>5493</v>
      </c>
      <c r="D989" s="11" t="str">
        <f t="shared" si="1"/>
        <v>Abrir anúncio ↗</v>
      </c>
      <c r="E989" s="12" t="s">
        <v>5494</v>
      </c>
      <c r="F989" s="10" t="s">
        <v>29</v>
      </c>
      <c r="G989" s="12" t="s">
        <v>5450</v>
      </c>
      <c r="H989" s="12" t="s">
        <v>5451</v>
      </c>
      <c r="I989" s="10"/>
      <c r="J989" s="10"/>
      <c r="K989" s="12"/>
    </row>
    <row r="990" ht="15.75" customHeight="1">
      <c r="A990" s="3" t="s">
        <v>12</v>
      </c>
      <c r="B990" s="3" t="s">
        <v>359</v>
      </c>
      <c r="C990" s="3" t="s">
        <v>5499</v>
      </c>
      <c r="D990" s="8" t="str">
        <f t="shared" si="1"/>
        <v>Abrir anúncio ↗</v>
      </c>
      <c r="E990" s="9" t="s">
        <v>5500</v>
      </c>
      <c r="F990" s="3" t="s">
        <v>86</v>
      </c>
      <c r="G990" s="9" t="s">
        <v>5450</v>
      </c>
      <c r="H990" s="9" t="s">
        <v>5451</v>
      </c>
      <c r="I990" s="3"/>
      <c r="J990" s="3"/>
      <c r="K990" s="9"/>
    </row>
    <row r="991" ht="15.75" customHeight="1">
      <c r="A991" s="10" t="s">
        <v>12</v>
      </c>
      <c r="B991" s="10" t="s">
        <v>359</v>
      </c>
      <c r="C991" s="10" t="s">
        <v>5504</v>
      </c>
      <c r="D991" s="11" t="str">
        <f t="shared" si="1"/>
        <v>Abrir anúncio ↗</v>
      </c>
      <c r="E991" s="12" t="s">
        <v>5505</v>
      </c>
      <c r="F991" s="10" t="s">
        <v>86</v>
      </c>
      <c r="G991" s="12" t="s">
        <v>5450</v>
      </c>
      <c r="H991" s="12" t="s">
        <v>5451</v>
      </c>
      <c r="I991" s="10"/>
      <c r="J991" s="10"/>
      <c r="K991" s="12"/>
    </row>
    <row r="992" ht="15.75" customHeight="1">
      <c r="A992" s="3" t="s">
        <v>12</v>
      </c>
      <c r="B992" s="3" t="s">
        <v>359</v>
      </c>
      <c r="C992" s="3" t="s">
        <v>5510</v>
      </c>
      <c r="D992" s="8" t="str">
        <f t="shared" si="1"/>
        <v>Abrir anúncio ↗</v>
      </c>
      <c r="E992" s="9" t="s">
        <v>5511</v>
      </c>
      <c r="F992" s="3" t="s">
        <v>29</v>
      </c>
      <c r="G992" s="9" t="s">
        <v>5450</v>
      </c>
      <c r="H992" s="9" t="s">
        <v>5451</v>
      </c>
      <c r="I992" s="3"/>
      <c r="J992" s="3"/>
      <c r="K992" s="9"/>
    </row>
    <row r="993" ht="15.75" customHeight="1">
      <c r="A993" s="10" t="s">
        <v>12</v>
      </c>
      <c r="B993" s="10" t="s">
        <v>359</v>
      </c>
      <c r="C993" s="10" t="s">
        <v>5512</v>
      </c>
      <c r="D993" s="11" t="str">
        <f t="shared" si="1"/>
        <v>Abrir anúncio ↗</v>
      </c>
      <c r="E993" s="12" t="s">
        <v>5515</v>
      </c>
      <c r="F993" s="10" t="s">
        <v>86</v>
      </c>
      <c r="G993" s="12" t="s">
        <v>5450</v>
      </c>
      <c r="H993" s="12" t="s">
        <v>5451</v>
      </c>
      <c r="I993" s="10"/>
      <c r="J993" s="10"/>
      <c r="K993" s="12"/>
    </row>
    <row r="994" ht="15.75" customHeight="1">
      <c r="A994" s="3" t="s">
        <v>12</v>
      </c>
      <c r="B994" s="3" t="s">
        <v>359</v>
      </c>
      <c r="C994" s="3" t="s">
        <v>5520</v>
      </c>
      <c r="D994" s="8" t="str">
        <f t="shared" si="1"/>
        <v>Abrir anúncio ↗</v>
      </c>
      <c r="E994" s="9" t="s">
        <v>5521</v>
      </c>
      <c r="F994" s="3" t="s">
        <v>29</v>
      </c>
      <c r="G994" s="9" t="s">
        <v>5450</v>
      </c>
      <c r="H994" s="9" t="s">
        <v>5451</v>
      </c>
      <c r="I994" s="3"/>
      <c r="J994" s="3"/>
      <c r="K994" s="9"/>
    </row>
    <row r="995" ht="15.75" customHeight="1">
      <c r="A995" s="10" t="s">
        <v>12</v>
      </c>
      <c r="B995" s="10" t="s">
        <v>359</v>
      </c>
      <c r="C995" s="10" t="s">
        <v>5523</v>
      </c>
      <c r="D995" s="11" t="str">
        <f t="shared" si="1"/>
        <v>Abrir anúncio ↗</v>
      </c>
      <c r="E995" s="12" t="s">
        <v>5526</v>
      </c>
      <c r="F995" s="10" t="s">
        <v>86</v>
      </c>
      <c r="G995" s="12" t="s">
        <v>5450</v>
      </c>
      <c r="H995" s="12" t="s">
        <v>5451</v>
      </c>
      <c r="I995" s="10"/>
      <c r="J995" s="10"/>
      <c r="K995" s="12"/>
    </row>
    <row r="996" ht="15.75" customHeight="1">
      <c r="A996" s="3" t="s">
        <v>12</v>
      </c>
      <c r="B996" s="3" t="s">
        <v>359</v>
      </c>
      <c r="C996" s="3" t="s">
        <v>5532</v>
      </c>
      <c r="D996" s="8" t="str">
        <f t="shared" si="1"/>
        <v>Abrir anúncio ↗</v>
      </c>
      <c r="E996" s="9" t="s">
        <v>5533</v>
      </c>
      <c r="F996" s="3" t="s">
        <v>86</v>
      </c>
      <c r="G996" s="9" t="s">
        <v>5450</v>
      </c>
      <c r="H996" s="9" t="s">
        <v>5451</v>
      </c>
      <c r="I996" s="3"/>
      <c r="J996" s="3"/>
      <c r="K996" s="9"/>
    </row>
    <row r="997" ht="15.75" customHeight="1">
      <c r="A997" s="10" t="s">
        <v>12</v>
      </c>
      <c r="B997" s="10" t="s">
        <v>359</v>
      </c>
      <c r="C997" s="10" t="s">
        <v>5536</v>
      </c>
      <c r="D997" s="11" t="str">
        <f t="shared" si="1"/>
        <v>Abrir anúncio ↗</v>
      </c>
      <c r="E997" s="12" t="s">
        <v>5538</v>
      </c>
      <c r="F997" s="10" t="s">
        <v>86</v>
      </c>
      <c r="G997" s="12" t="s">
        <v>5450</v>
      </c>
      <c r="H997" s="12" t="s">
        <v>5451</v>
      </c>
      <c r="I997" s="10"/>
      <c r="J997" s="10"/>
      <c r="K997" s="12"/>
    </row>
    <row r="998" ht="15.75" customHeight="1">
      <c r="A998" s="3" t="s">
        <v>12</v>
      </c>
      <c r="B998" s="3" t="s">
        <v>359</v>
      </c>
      <c r="C998" s="3" t="s">
        <v>5542</v>
      </c>
      <c r="D998" s="8" t="str">
        <f t="shared" si="1"/>
        <v>Abrir anúncio ↗</v>
      </c>
      <c r="E998" s="9" t="s">
        <v>5543</v>
      </c>
      <c r="F998" s="3" t="s">
        <v>29</v>
      </c>
      <c r="G998" s="9" t="s">
        <v>5450</v>
      </c>
      <c r="H998" s="9" t="s">
        <v>5451</v>
      </c>
      <c r="I998" s="3"/>
      <c r="J998" s="3"/>
      <c r="K998" s="9"/>
    </row>
    <row r="999" ht="15.75" customHeight="1">
      <c r="A999" s="10" t="s">
        <v>12</v>
      </c>
      <c r="B999" s="10" t="s">
        <v>359</v>
      </c>
      <c r="C999" s="10" t="s">
        <v>5546</v>
      </c>
      <c r="D999" s="11" t="str">
        <f t="shared" si="1"/>
        <v>Abrir anúncio ↗</v>
      </c>
      <c r="E999" s="12" t="s">
        <v>5548</v>
      </c>
      <c r="F999" s="10" t="s">
        <v>29</v>
      </c>
      <c r="G999" s="12" t="s">
        <v>4918</v>
      </c>
      <c r="H999" s="12" t="s">
        <v>4919</v>
      </c>
      <c r="I999" s="10"/>
      <c r="J999" s="10"/>
      <c r="K999" s="12"/>
    </row>
    <row r="1000" ht="15.75" customHeight="1">
      <c r="A1000" s="3" t="s">
        <v>12</v>
      </c>
      <c r="B1000" s="3" t="s">
        <v>359</v>
      </c>
      <c r="C1000" s="3" t="s">
        <v>5553</v>
      </c>
      <c r="D1000" s="8" t="str">
        <f t="shared" si="1"/>
        <v>Abrir anúncio ↗</v>
      </c>
      <c r="E1000" s="9" t="s">
        <v>5555</v>
      </c>
      <c r="F1000" s="3" t="s">
        <v>86</v>
      </c>
      <c r="G1000" s="9" t="s">
        <v>5450</v>
      </c>
      <c r="H1000" s="9" t="s">
        <v>5451</v>
      </c>
      <c r="I1000" s="3"/>
      <c r="J1000" s="3"/>
      <c r="K1000" s="9"/>
    </row>
    <row r="1001" ht="15.75" customHeight="1">
      <c r="A1001" s="10" t="s">
        <v>12</v>
      </c>
      <c r="B1001" s="10" t="s">
        <v>359</v>
      </c>
      <c r="C1001" s="10" t="s">
        <v>5558</v>
      </c>
      <c r="D1001" s="11" t="str">
        <f t="shared" si="1"/>
        <v>Abrir anúncio ↗</v>
      </c>
      <c r="E1001" s="12" t="s">
        <v>5559</v>
      </c>
      <c r="F1001" s="10" t="s">
        <v>86</v>
      </c>
      <c r="G1001" s="12" t="s">
        <v>5450</v>
      </c>
      <c r="H1001" s="12" t="s">
        <v>5451</v>
      </c>
      <c r="I1001" s="10"/>
      <c r="J1001" s="10"/>
      <c r="K1001" s="12"/>
    </row>
    <row r="1002" ht="15.75" customHeight="1">
      <c r="A1002" s="3" t="s">
        <v>12</v>
      </c>
      <c r="B1002" s="3" t="s">
        <v>359</v>
      </c>
      <c r="C1002" s="3" t="s">
        <v>5562</v>
      </c>
      <c r="D1002" s="8" t="str">
        <f t="shared" si="1"/>
        <v>Abrir anúncio ↗</v>
      </c>
      <c r="E1002" s="9" t="s">
        <v>5564</v>
      </c>
      <c r="F1002" s="3" t="s">
        <v>29</v>
      </c>
      <c r="G1002" s="9" t="s">
        <v>5450</v>
      </c>
      <c r="H1002" s="9" t="s">
        <v>5451</v>
      </c>
      <c r="I1002" s="3"/>
      <c r="J1002" s="3"/>
      <c r="K1002" s="9"/>
    </row>
    <row r="1003" ht="15.75" customHeight="1">
      <c r="A1003" s="10" t="s">
        <v>12</v>
      </c>
      <c r="B1003" s="10" t="s">
        <v>359</v>
      </c>
      <c r="C1003" s="10" t="s">
        <v>5568</v>
      </c>
      <c r="D1003" s="11" t="str">
        <f t="shared" si="1"/>
        <v>Abrir anúncio ↗</v>
      </c>
      <c r="E1003" s="12" t="s">
        <v>5569</v>
      </c>
      <c r="F1003" s="10" t="s">
        <v>86</v>
      </c>
      <c r="G1003" s="12" t="s">
        <v>5450</v>
      </c>
      <c r="H1003" s="12" t="s">
        <v>5451</v>
      </c>
      <c r="I1003" s="10"/>
      <c r="J1003" s="10"/>
      <c r="K1003" s="12"/>
    </row>
    <row r="1004" ht="15.75" customHeight="1">
      <c r="A1004" s="3" t="s">
        <v>12</v>
      </c>
      <c r="B1004" s="3" t="s">
        <v>359</v>
      </c>
      <c r="C1004" s="3" t="s">
        <v>5571</v>
      </c>
      <c r="D1004" s="8" t="str">
        <f t="shared" si="1"/>
        <v>Abrir anúncio ↗</v>
      </c>
      <c r="E1004" s="9" t="s">
        <v>5574</v>
      </c>
      <c r="F1004" s="3" t="s">
        <v>86</v>
      </c>
      <c r="G1004" s="9" t="s">
        <v>5450</v>
      </c>
      <c r="H1004" s="9" t="s">
        <v>5451</v>
      </c>
      <c r="I1004" s="3"/>
      <c r="J1004" s="3"/>
      <c r="K1004" s="9"/>
    </row>
    <row r="1005" ht="15.75" customHeight="1">
      <c r="A1005" s="10" t="s">
        <v>12</v>
      </c>
      <c r="B1005" s="10" t="s">
        <v>359</v>
      </c>
      <c r="C1005" s="10" t="s">
        <v>5579</v>
      </c>
      <c r="D1005" s="11" t="str">
        <f t="shared" si="1"/>
        <v>Abrir anúncio ↗</v>
      </c>
      <c r="E1005" s="12" t="s">
        <v>5581</v>
      </c>
      <c r="F1005" s="10" t="s">
        <v>86</v>
      </c>
      <c r="G1005" s="12" t="s">
        <v>5450</v>
      </c>
      <c r="H1005" s="12" t="s">
        <v>5451</v>
      </c>
      <c r="I1005" s="10"/>
      <c r="J1005" s="10"/>
      <c r="K1005" s="12"/>
    </row>
    <row r="1006" ht="15.75" customHeight="1">
      <c r="A1006" s="3" t="s">
        <v>12</v>
      </c>
      <c r="B1006" s="3" t="s">
        <v>359</v>
      </c>
      <c r="C1006" s="3" t="s">
        <v>5583</v>
      </c>
      <c r="D1006" s="8" t="str">
        <f t="shared" si="1"/>
        <v>Abrir anúncio ↗</v>
      </c>
      <c r="E1006" s="9" t="s">
        <v>5587</v>
      </c>
      <c r="F1006" s="3" t="s">
        <v>29</v>
      </c>
      <c r="G1006" s="9" t="s">
        <v>5450</v>
      </c>
      <c r="H1006" s="9" t="s">
        <v>5451</v>
      </c>
      <c r="I1006" s="3"/>
      <c r="J1006" s="3"/>
      <c r="K1006" s="9"/>
    </row>
    <row r="1007" ht="15.75" customHeight="1">
      <c r="A1007" s="10" t="s">
        <v>12</v>
      </c>
      <c r="B1007" s="10" t="s">
        <v>359</v>
      </c>
      <c r="C1007" s="10" t="s">
        <v>5592</v>
      </c>
      <c r="D1007" s="11" t="str">
        <f t="shared" si="1"/>
        <v>Abrir anúncio ↗</v>
      </c>
      <c r="E1007" s="12" t="s">
        <v>5593</v>
      </c>
      <c r="F1007" s="10" t="s">
        <v>86</v>
      </c>
      <c r="G1007" s="12" t="s">
        <v>5450</v>
      </c>
      <c r="H1007" s="12" t="s">
        <v>5451</v>
      </c>
      <c r="I1007" s="10"/>
      <c r="J1007" s="10"/>
      <c r="K1007" s="12"/>
    </row>
    <row r="1008" ht="15.75" customHeight="1">
      <c r="A1008" s="3" t="s">
        <v>12</v>
      </c>
      <c r="B1008" s="3" t="s">
        <v>359</v>
      </c>
      <c r="C1008" s="3" t="s">
        <v>5595</v>
      </c>
      <c r="D1008" s="8" t="str">
        <f t="shared" si="1"/>
        <v>Abrir anúncio ↗</v>
      </c>
      <c r="E1008" s="9" t="s">
        <v>5597</v>
      </c>
      <c r="F1008" s="3" t="s">
        <v>86</v>
      </c>
      <c r="G1008" s="9" t="s">
        <v>5450</v>
      </c>
      <c r="H1008" s="9" t="s">
        <v>5451</v>
      </c>
      <c r="I1008" s="3"/>
      <c r="J1008" s="3"/>
      <c r="K1008" s="9"/>
    </row>
    <row r="1009" ht="15.75" customHeight="1">
      <c r="A1009" s="10" t="s">
        <v>12</v>
      </c>
      <c r="B1009" s="10" t="s">
        <v>359</v>
      </c>
      <c r="C1009" s="10" t="s">
        <v>5604</v>
      </c>
      <c r="D1009" s="11" t="str">
        <f t="shared" si="1"/>
        <v>Abrir anúncio ↗</v>
      </c>
      <c r="E1009" s="12" t="s">
        <v>5605</v>
      </c>
      <c r="F1009" s="10" t="s">
        <v>86</v>
      </c>
      <c r="G1009" s="12" t="s">
        <v>5450</v>
      </c>
      <c r="H1009" s="12" t="s">
        <v>5451</v>
      </c>
      <c r="I1009" s="10"/>
      <c r="J1009" s="10"/>
      <c r="K1009" s="12"/>
    </row>
    <row r="1010" ht="15.75" customHeight="1">
      <c r="A1010" s="3" t="s">
        <v>12</v>
      </c>
      <c r="B1010" s="3" t="s">
        <v>359</v>
      </c>
      <c r="C1010" s="3" t="s">
        <v>5608</v>
      </c>
      <c r="D1010" s="8" t="str">
        <f t="shared" si="1"/>
        <v>Abrir anúncio ↗</v>
      </c>
      <c r="E1010" s="9" t="s">
        <v>5610</v>
      </c>
      <c r="F1010" s="3" t="s">
        <v>29</v>
      </c>
      <c r="G1010" s="9" t="s">
        <v>4918</v>
      </c>
      <c r="H1010" s="9" t="s">
        <v>4919</v>
      </c>
      <c r="I1010" s="3"/>
      <c r="J1010" s="3"/>
      <c r="K1010" s="9"/>
    </row>
    <row r="1011" ht="15.75" customHeight="1">
      <c r="A1011" s="10" t="s">
        <v>12</v>
      </c>
      <c r="B1011" s="10" t="s">
        <v>359</v>
      </c>
      <c r="C1011" s="10" t="s">
        <v>5614</v>
      </c>
      <c r="D1011" s="11" t="str">
        <f t="shared" si="1"/>
        <v>Abrir anúncio ↗</v>
      </c>
      <c r="E1011" s="12" t="s">
        <v>4483</v>
      </c>
      <c r="F1011" s="10" t="s">
        <v>29</v>
      </c>
      <c r="G1011" s="12" t="s">
        <v>4918</v>
      </c>
      <c r="H1011" s="12" t="s">
        <v>4919</v>
      </c>
      <c r="I1011" s="10"/>
      <c r="J1011" s="10"/>
      <c r="K1011" s="12"/>
    </row>
    <row r="1012" ht="15.75" customHeight="1">
      <c r="A1012" s="3" t="s">
        <v>12</v>
      </c>
      <c r="B1012" s="3" t="s">
        <v>359</v>
      </c>
      <c r="C1012" s="3" t="s">
        <v>5618</v>
      </c>
      <c r="D1012" s="8" t="str">
        <f t="shared" si="1"/>
        <v>Abrir anúncio ↗</v>
      </c>
      <c r="E1012" s="9" t="s">
        <v>5620</v>
      </c>
      <c r="F1012" s="3" t="s">
        <v>29</v>
      </c>
      <c r="G1012" s="9" t="s">
        <v>4918</v>
      </c>
      <c r="H1012" s="9" t="s">
        <v>4919</v>
      </c>
      <c r="I1012" s="3"/>
      <c r="J1012" s="3"/>
      <c r="K1012" s="9"/>
    </row>
    <row r="1013" ht="15.75" customHeight="1">
      <c r="A1013" s="10" t="s">
        <v>12</v>
      </c>
      <c r="B1013" s="10" t="s">
        <v>359</v>
      </c>
      <c r="C1013" s="10" t="s">
        <v>5623</v>
      </c>
      <c r="D1013" s="11" t="str">
        <f t="shared" si="1"/>
        <v>Abrir anúncio ↗</v>
      </c>
      <c r="E1013" s="12" t="s">
        <v>5625</v>
      </c>
      <c r="F1013" s="10" t="s">
        <v>29</v>
      </c>
      <c r="G1013" s="12" t="s">
        <v>4918</v>
      </c>
      <c r="H1013" s="12" t="s">
        <v>4919</v>
      </c>
      <c r="I1013" s="10"/>
      <c r="J1013" s="10"/>
      <c r="K1013" s="12"/>
    </row>
    <row r="1014" ht="15.75" customHeight="1">
      <c r="A1014" s="3" t="s">
        <v>12</v>
      </c>
      <c r="B1014" s="3" t="s">
        <v>359</v>
      </c>
      <c r="C1014" s="3" t="s">
        <v>5630</v>
      </c>
      <c r="D1014" s="8" t="str">
        <f t="shared" si="1"/>
        <v>Abrir anúncio ↗</v>
      </c>
      <c r="E1014" s="9" t="s">
        <v>4850</v>
      </c>
      <c r="F1014" s="3" t="s">
        <v>29</v>
      </c>
      <c r="G1014" s="9" t="s">
        <v>4918</v>
      </c>
      <c r="H1014" s="9" t="s">
        <v>4919</v>
      </c>
      <c r="I1014" s="3"/>
      <c r="J1014" s="3"/>
      <c r="K1014" s="9"/>
    </row>
    <row r="1015" ht="15.75" customHeight="1">
      <c r="A1015" s="10" t="s">
        <v>12</v>
      </c>
      <c r="B1015" s="10" t="s">
        <v>359</v>
      </c>
      <c r="C1015" s="10" t="s">
        <v>5633</v>
      </c>
      <c r="D1015" s="11" t="str">
        <f t="shared" si="1"/>
        <v>Abrir anúncio ↗</v>
      </c>
      <c r="E1015" s="12" t="s">
        <v>5636</v>
      </c>
      <c r="F1015" s="10" t="s">
        <v>29</v>
      </c>
      <c r="G1015" s="12" t="s">
        <v>4918</v>
      </c>
      <c r="H1015" s="12" t="s">
        <v>4919</v>
      </c>
      <c r="I1015" s="10"/>
      <c r="J1015" s="10"/>
      <c r="K1015" s="12"/>
    </row>
    <row r="1016" ht="15.75" customHeight="1">
      <c r="A1016" s="3" t="s">
        <v>12</v>
      </c>
      <c r="B1016" s="3" t="s">
        <v>359</v>
      </c>
      <c r="C1016" s="3" t="s">
        <v>5639</v>
      </c>
      <c r="D1016" s="8" t="str">
        <f t="shared" si="1"/>
        <v>Abrir anúncio ↗</v>
      </c>
      <c r="E1016" s="9" t="s">
        <v>5641</v>
      </c>
      <c r="F1016" s="3" t="s">
        <v>29</v>
      </c>
      <c r="G1016" s="9" t="s">
        <v>4918</v>
      </c>
      <c r="H1016" s="9" t="s">
        <v>4919</v>
      </c>
      <c r="I1016" s="3"/>
      <c r="J1016" s="3"/>
      <c r="K1016" s="9"/>
    </row>
    <row r="1017" ht="15.75" customHeight="1">
      <c r="A1017" s="10" t="s">
        <v>12</v>
      </c>
      <c r="B1017" s="10" t="s">
        <v>359</v>
      </c>
      <c r="C1017" s="10" t="s">
        <v>5644</v>
      </c>
      <c r="D1017" s="11" t="str">
        <f t="shared" si="1"/>
        <v>Abrir anúncio ↗</v>
      </c>
      <c r="E1017" s="12" t="s">
        <v>5647</v>
      </c>
      <c r="F1017" s="10" t="s">
        <v>29</v>
      </c>
      <c r="G1017" s="12" t="s">
        <v>4918</v>
      </c>
      <c r="H1017" s="12" t="s">
        <v>4919</v>
      </c>
      <c r="I1017" s="10"/>
      <c r="J1017" s="10"/>
      <c r="K1017" s="12"/>
    </row>
    <row r="1018" ht="15.75" customHeight="1">
      <c r="A1018" s="3" t="s">
        <v>12</v>
      </c>
      <c r="B1018" s="3" t="s">
        <v>359</v>
      </c>
      <c r="C1018" s="3" t="s">
        <v>5650</v>
      </c>
      <c r="D1018" s="8" t="str">
        <f t="shared" si="1"/>
        <v>Abrir anúncio ↗</v>
      </c>
      <c r="E1018" s="9" t="s">
        <v>5652</v>
      </c>
      <c r="F1018" s="3" t="s">
        <v>29</v>
      </c>
      <c r="G1018" s="9" t="s">
        <v>4918</v>
      </c>
      <c r="H1018" s="9" t="s">
        <v>4919</v>
      </c>
      <c r="I1018" s="3"/>
      <c r="J1018" s="3"/>
      <c r="K1018" s="9"/>
    </row>
    <row r="1019" ht="15.75" customHeight="1">
      <c r="A1019" s="10" t="s">
        <v>12</v>
      </c>
      <c r="B1019" s="10" t="s">
        <v>359</v>
      </c>
      <c r="C1019" s="10" t="s">
        <v>5655</v>
      </c>
      <c r="D1019" s="11" t="str">
        <f t="shared" si="1"/>
        <v>Abrir anúncio ↗</v>
      </c>
      <c r="E1019" s="12" t="s">
        <v>5657</v>
      </c>
      <c r="F1019" s="10" t="s">
        <v>29</v>
      </c>
      <c r="G1019" s="12" t="s">
        <v>4918</v>
      </c>
      <c r="H1019" s="12" t="s">
        <v>4919</v>
      </c>
      <c r="I1019" s="10"/>
      <c r="J1019" s="10"/>
      <c r="K1019" s="12"/>
    </row>
    <row r="1020" ht="15.75" customHeight="1">
      <c r="A1020" s="3" t="s">
        <v>12</v>
      </c>
      <c r="B1020" s="3" t="s">
        <v>359</v>
      </c>
      <c r="C1020" s="3" t="s">
        <v>5661</v>
      </c>
      <c r="D1020" s="8" t="str">
        <f t="shared" si="1"/>
        <v>Abrir anúncio ↗</v>
      </c>
      <c r="E1020" s="9" t="s">
        <v>1926</v>
      </c>
      <c r="F1020" s="3" t="s">
        <v>29</v>
      </c>
      <c r="G1020" s="9" t="s">
        <v>4918</v>
      </c>
      <c r="H1020" s="9" t="s">
        <v>4919</v>
      </c>
      <c r="I1020" s="3"/>
      <c r="J1020" s="3"/>
      <c r="K1020" s="9"/>
    </row>
    <row r="1021" ht="15.75" customHeight="1">
      <c r="A1021" s="10" t="s">
        <v>12</v>
      </c>
      <c r="B1021" s="10" t="s">
        <v>359</v>
      </c>
      <c r="C1021" s="10" t="s">
        <v>5666</v>
      </c>
      <c r="D1021" s="11" t="str">
        <f t="shared" si="1"/>
        <v>Abrir anúncio ↗</v>
      </c>
      <c r="E1021" s="12" t="s">
        <v>5668</v>
      </c>
      <c r="F1021" s="10" t="s">
        <v>29</v>
      </c>
      <c r="G1021" s="12" t="s">
        <v>4918</v>
      </c>
      <c r="H1021" s="12" t="s">
        <v>4919</v>
      </c>
      <c r="I1021" s="10"/>
      <c r="J1021" s="10"/>
      <c r="K1021" s="12"/>
    </row>
    <row r="1022" ht="15.75" customHeight="1">
      <c r="A1022" s="3" t="s">
        <v>12</v>
      </c>
      <c r="B1022" s="3" t="s">
        <v>359</v>
      </c>
      <c r="C1022" s="3" t="s">
        <v>5673</v>
      </c>
      <c r="D1022" s="8" t="str">
        <f t="shared" si="1"/>
        <v>Abrir anúncio ↗</v>
      </c>
      <c r="E1022" s="9" t="s">
        <v>5675</v>
      </c>
      <c r="F1022" s="3" t="s">
        <v>29</v>
      </c>
      <c r="G1022" s="9" t="s">
        <v>4918</v>
      </c>
      <c r="H1022" s="9" t="s">
        <v>4919</v>
      </c>
      <c r="I1022" s="3"/>
      <c r="J1022" s="3"/>
      <c r="K1022" s="9"/>
    </row>
    <row r="1023" ht="15.75" customHeight="1">
      <c r="A1023" s="10" t="s">
        <v>12</v>
      </c>
      <c r="B1023" s="10" t="s">
        <v>359</v>
      </c>
      <c r="C1023" s="10" t="s">
        <v>5679</v>
      </c>
      <c r="D1023" s="11" t="str">
        <f t="shared" si="1"/>
        <v>Abrir anúncio ↗</v>
      </c>
      <c r="E1023" s="12" t="s">
        <v>5681</v>
      </c>
      <c r="F1023" s="10" t="s">
        <v>29</v>
      </c>
      <c r="G1023" s="12" t="s">
        <v>4918</v>
      </c>
      <c r="H1023" s="12" t="s">
        <v>4919</v>
      </c>
      <c r="I1023" s="10"/>
      <c r="J1023" s="10"/>
      <c r="K1023" s="12"/>
    </row>
    <row r="1024" ht="15.75" customHeight="1">
      <c r="A1024" s="3" t="s">
        <v>12</v>
      </c>
      <c r="B1024" s="3" t="s">
        <v>359</v>
      </c>
      <c r="C1024" s="3" t="s">
        <v>5684</v>
      </c>
      <c r="D1024" s="8" t="str">
        <f t="shared" si="1"/>
        <v>Abrir anúncio ↗</v>
      </c>
      <c r="E1024" s="9" t="s">
        <v>5685</v>
      </c>
      <c r="F1024" s="3" t="s">
        <v>29</v>
      </c>
      <c r="G1024" s="9" t="s">
        <v>4918</v>
      </c>
      <c r="H1024" s="9" t="s">
        <v>4919</v>
      </c>
      <c r="I1024" s="3"/>
      <c r="J1024" s="3"/>
      <c r="K1024" s="9"/>
    </row>
    <row r="1025" ht="15.75" customHeight="1">
      <c r="A1025" s="10" t="s">
        <v>12</v>
      </c>
      <c r="B1025" s="10" t="s">
        <v>359</v>
      </c>
      <c r="C1025" s="10" t="s">
        <v>5691</v>
      </c>
      <c r="D1025" s="11" t="str">
        <f t="shared" si="1"/>
        <v>Abrir anúncio ↗</v>
      </c>
      <c r="E1025" s="12" t="s">
        <v>5694</v>
      </c>
      <c r="F1025" s="10" t="s">
        <v>29</v>
      </c>
      <c r="G1025" s="12" t="s">
        <v>4918</v>
      </c>
      <c r="H1025" s="12" t="s">
        <v>4919</v>
      </c>
      <c r="I1025" s="10"/>
      <c r="J1025" s="10"/>
      <c r="K1025" s="12"/>
    </row>
    <row r="1026" ht="15.75" customHeight="1">
      <c r="A1026" s="3" t="s">
        <v>12</v>
      </c>
      <c r="B1026" s="3" t="s">
        <v>359</v>
      </c>
      <c r="C1026" s="3" t="s">
        <v>5699</v>
      </c>
      <c r="D1026" s="8" t="str">
        <f t="shared" si="1"/>
        <v>Abrir anúncio ↗</v>
      </c>
      <c r="E1026" s="9" t="s">
        <v>4485</v>
      </c>
      <c r="F1026" s="3" t="s">
        <v>29</v>
      </c>
      <c r="G1026" s="9" t="s">
        <v>4918</v>
      </c>
      <c r="H1026" s="9" t="s">
        <v>4919</v>
      </c>
      <c r="I1026" s="3"/>
      <c r="J1026" s="3"/>
      <c r="K1026" s="9"/>
    </row>
    <row r="1027" ht="15.75" customHeight="1">
      <c r="A1027" s="10" t="s">
        <v>12</v>
      </c>
      <c r="B1027" s="10" t="s">
        <v>359</v>
      </c>
      <c r="C1027" s="10" t="s">
        <v>5703</v>
      </c>
      <c r="D1027" s="11" t="str">
        <f t="shared" si="1"/>
        <v>Abrir anúncio ↗</v>
      </c>
      <c r="E1027" s="12" t="s">
        <v>4874</v>
      </c>
      <c r="F1027" s="10" t="s">
        <v>29</v>
      </c>
      <c r="G1027" s="12" t="s">
        <v>4918</v>
      </c>
      <c r="H1027" s="12" t="s">
        <v>4919</v>
      </c>
      <c r="I1027" s="10"/>
      <c r="J1027" s="10"/>
      <c r="K1027" s="12"/>
    </row>
    <row r="1028" ht="15.75" customHeight="1">
      <c r="A1028" s="3" t="s">
        <v>12</v>
      </c>
      <c r="B1028" s="3" t="s">
        <v>359</v>
      </c>
      <c r="C1028" s="3" t="s">
        <v>5709</v>
      </c>
      <c r="D1028" s="8" t="str">
        <f t="shared" si="1"/>
        <v>Abrir anúncio ↗</v>
      </c>
      <c r="E1028" s="9" t="s">
        <v>5711</v>
      </c>
      <c r="F1028" s="3" t="s">
        <v>29</v>
      </c>
      <c r="G1028" s="9" t="s">
        <v>4918</v>
      </c>
      <c r="H1028" s="9" t="s">
        <v>4919</v>
      </c>
      <c r="I1028" s="3"/>
      <c r="J1028" s="3"/>
      <c r="K1028" s="9"/>
    </row>
    <row r="1029" ht="15.75" customHeight="1">
      <c r="A1029" s="10" t="s">
        <v>12</v>
      </c>
      <c r="B1029" s="10" t="s">
        <v>359</v>
      </c>
      <c r="C1029" s="10" t="s">
        <v>5714</v>
      </c>
      <c r="D1029" s="11" t="str">
        <f t="shared" si="1"/>
        <v>Abrir anúncio ↗</v>
      </c>
      <c r="E1029" s="12" t="s">
        <v>5716</v>
      </c>
      <c r="F1029" s="10" t="s">
        <v>29</v>
      </c>
      <c r="G1029" s="12" t="s">
        <v>4918</v>
      </c>
      <c r="H1029" s="12" t="s">
        <v>4919</v>
      </c>
      <c r="I1029" s="10"/>
      <c r="J1029" s="10"/>
      <c r="K1029" s="12"/>
    </row>
    <row r="1030" ht="15.75" customHeight="1">
      <c r="A1030" s="3" t="s">
        <v>12</v>
      </c>
      <c r="B1030" s="3" t="s">
        <v>359</v>
      </c>
      <c r="C1030" s="3" t="s">
        <v>5719</v>
      </c>
      <c r="D1030" s="8" t="str">
        <f t="shared" si="1"/>
        <v>Abrir anúncio ↗</v>
      </c>
      <c r="E1030" s="9" t="s">
        <v>3934</v>
      </c>
      <c r="F1030" s="3" t="s">
        <v>29</v>
      </c>
      <c r="G1030" s="9" t="s">
        <v>4918</v>
      </c>
      <c r="H1030" s="9" t="s">
        <v>4919</v>
      </c>
      <c r="I1030" s="3"/>
      <c r="J1030" s="3"/>
      <c r="K1030" s="9"/>
    </row>
    <row r="1031" ht="15.75" customHeight="1">
      <c r="A1031" s="10" t="s">
        <v>12</v>
      </c>
      <c r="B1031" s="10" t="s">
        <v>359</v>
      </c>
      <c r="C1031" s="10" t="s">
        <v>5727</v>
      </c>
      <c r="D1031" s="11" t="str">
        <f t="shared" si="1"/>
        <v>Abrir anúncio ↗</v>
      </c>
      <c r="E1031" s="12" t="s">
        <v>5728</v>
      </c>
      <c r="F1031" s="10" t="s">
        <v>29</v>
      </c>
      <c r="G1031" s="12" t="s">
        <v>4918</v>
      </c>
      <c r="H1031" s="12" t="s">
        <v>4919</v>
      </c>
      <c r="I1031" s="10"/>
      <c r="J1031" s="10"/>
      <c r="K1031" s="12"/>
    </row>
    <row r="1032" ht="15.75" customHeight="1">
      <c r="A1032" s="3" t="s">
        <v>12</v>
      </c>
      <c r="B1032" s="3" t="s">
        <v>359</v>
      </c>
      <c r="C1032" s="3" t="s">
        <v>5732</v>
      </c>
      <c r="D1032" s="8" t="str">
        <f t="shared" si="1"/>
        <v>Abrir anúncio ↗</v>
      </c>
      <c r="E1032" s="9" t="s">
        <v>3922</v>
      </c>
      <c r="F1032" s="3" t="s">
        <v>29</v>
      </c>
      <c r="G1032" s="9" t="s">
        <v>4918</v>
      </c>
      <c r="H1032" s="9" t="s">
        <v>4919</v>
      </c>
      <c r="I1032" s="3"/>
      <c r="J1032" s="3"/>
      <c r="K1032" s="9"/>
    </row>
    <row r="1033" ht="15.75" customHeight="1">
      <c r="A1033" s="10" t="s">
        <v>12</v>
      </c>
      <c r="B1033" s="10" t="s">
        <v>359</v>
      </c>
      <c r="C1033" s="10" t="s">
        <v>5738</v>
      </c>
      <c r="D1033" s="11" t="str">
        <f t="shared" si="1"/>
        <v>Abrir anúncio ↗</v>
      </c>
      <c r="E1033" s="12" t="s">
        <v>5739</v>
      </c>
      <c r="F1033" s="10" t="s">
        <v>29</v>
      </c>
      <c r="G1033" s="12" t="s">
        <v>4918</v>
      </c>
      <c r="H1033" s="12" t="s">
        <v>4919</v>
      </c>
      <c r="I1033" s="10"/>
      <c r="J1033" s="10"/>
      <c r="K1033" s="12"/>
    </row>
    <row r="1034" ht="15.75" customHeight="1">
      <c r="A1034" s="3" t="s">
        <v>12</v>
      </c>
      <c r="B1034" s="3" t="s">
        <v>359</v>
      </c>
      <c r="C1034" s="3" t="s">
        <v>5743</v>
      </c>
      <c r="D1034" s="8" t="str">
        <f t="shared" si="1"/>
        <v>Abrir anúncio ↗</v>
      </c>
      <c r="E1034" s="9" t="s">
        <v>5745</v>
      </c>
      <c r="F1034" s="3" t="s">
        <v>29</v>
      </c>
      <c r="G1034" s="9" t="s">
        <v>4918</v>
      </c>
      <c r="H1034" s="9" t="s">
        <v>4919</v>
      </c>
      <c r="I1034" s="3"/>
      <c r="J1034" s="3"/>
      <c r="K1034" s="9"/>
    </row>
    <row r="1035" ht="15.75" customHeight="1">
      <c r="A1035" s="10" t="s">
        <v>12</v>
      </c>
      <c r="B1035" s="10" t="s">
        <v>359</v>
      </c>
      <c r="C1035" s="10" t="s">
        <v>5749</v>
      </c>
      <c r="D1035" s="11" t="str">
        <f t="shared" si="1"/>
        <v>Abrir anúncio ↗</v>
      </c>
      <c r="E1035" s="12" t="s">
        <v>5750</v>
      </c>
      <c r="F1035" s="10" t="s">
        <v>29</v>
      </c>
      <c r="G1035" s="12" t="s">
        <v>4918</v>
      </c>
      <c r="H1035" s="12" t="s">
        <v>4919</v>
      </c>
      <c r="I1035" s="10"/>
      <c r="J1035" s="10"/>
      <c r="K1035" s="12"/>
    </row>
    <row r="1036" ht="15.75" customHeight="1">
      <c r="A1036" s="3" t="s">
        <v>12</v>
      </c>
      <c r="B1036" s="3" t="s">
        <v>359</v>
      </c>
      <c r="C1036" s="3" t="s">
        <v>5754</v>
      </c>
      <c r="D1036" s="8" t="str">
        <f t="shared" si="1"/>
        <v>Abrir anúncio ↗</v>
      </c>
      <c r="E1036" s="9" t="s">
        <v>5756</v>
      </c>
      <c r="F1036" s="3" t="s">
        <v>29</v>
      </c>
      <c r="G1036" s="9" t="s">
        <v>4918</v>
      </c>
      <c r="H1036" s="9" t="s">
        <v>4919</v>
      </c>
      <c r="I1036" s="3"/>
      <c r="J1036" s="3"/>
      <c r="K1036" s="9"/>
    </row>
    <row r="1037" ht="15.75" customHeight="1">
      <c r="A1037" s="10" t="s">
        <v>12</v>
      </c>
      <c r="B1037" s="10" t="s">
        <v>359</v>
      </c>
      <c r="C1037" s="10" t="s">
        <v>5760</v>
      </c>
      <c r="D1037" s="11" t="str">
        <f t="shared" si="1"/>
        <v>Abrir anúncio ↗</v>
      </c>
      <c r="E1037" s="12" t="s">
        <v>4034</v>
      </c>
      <c r="F1037" s="10" t="s">
        <v>29</v>
      </c>
      <c r="G1037" s="12" t="s">
        <v>4918</v>
      </c>
      <c r="H1037" s="12" t="s">
        <v>4919</v>
      </c>
      <c r="I1037" s="10"/>
      <c r="J1037" s="10"/>
      <c r="K1037" s="12"/>
    </row>
    <row r="1038" ht="15.75" customHeight="1">
      <c r="A1038" s="3" t="s">
        <v>12</v>
      </c>
      <c r="B1038" s="3" t="s">
        <v>359</v>
      </c>
      <c r="C1038" s="3" t="s">
        <v>5764</v>
      </c>
      <c r="D1038" s="8" t="str">
        <f t="shared" si="1"/>
        <v>Abrir anúncio ↗</v>
      </c>
      <c r="E1038" s="9" t="s">
        <v>5766</v>
      </c>
      <c r="F1038" s="3" t="s">
        <v>29</v>
      </c>
      <c r="G1038" s="9" t="s">
        <v>4918</v>
      </c>
      <c r="H1038" s="9" t="s">
        <v>4919</v>
      </c>
      <c r="I1038" s="3"/>
      <c r="J1038" s="3"/>
      <c r="K1038" s="9"/>
    </row>
    <row r="1039" ht="15.75" customHeight="1">
      <c r="A1039" s="10" t="s">
        <v>12</v>
      </c>
      <c r="B1039" s="10" t="s">
        <v>359</v>
      </c>
      <c r="C1039" s="10" t="s">
        <v>5769</v>
      </c>
      <c r="D1039" s="11" t="str">
        <f t="shared" si="1"/>
        <v>Abrir anúncio ↗</v>
      </c>
      <c r="E1039" s="12" t="s">
        <v>5771</v>
      </c>
      <c r="F1039" s="10" t="s">
        <v>29</v>
      </c>
      <c r="G1039" s="12" t="s">
        <v>4918</v>
      </c>
      <c r="H1039" s="12" t="s">
        <v>4919</v>
      </c>
      <c r="I1039" s="10"/>
      <c r="J1039" s="10"/>
      <c r="K1039" s="12"/>
    </row>
    <row r="1040" ht="15.75" customHeight="1">
      <c r="A1040" s="3" t="s">
        <v>12</v>
      </c>
      <c r="B1040" s="3" t="s">
        <v>359</v>
      </c>
      <c r="C1040" s="3" t="s">
        <v>5776</v>
      </c>
      <c r="D1040" s="8" t="str">
        <f t="shared" si="1"/>
        <v>Abrir anúncio ↗</v>
      </c>
      <c r="E1040" s="9" t="s">
        <v>5777</v>
      </c>
      <c r="F1040" s="3" t="s">
        <v>29</v>
      </c>
      <c r="G1040" s="9" t="s">
        <v>4918</v>
      </c>
      <c r="H1040" s="9" t="s">
        <v>4919</v>
      </c>
      <c r="I1040" s="3"/>
      <c r="J1040" s="3"/>
      <c r="K1040" s="9"/>
    </row>
    <row r="1041" ht="15.75" customHeight="1">
      <c r="A1041" s="10" t="s">
        <v>12</v>
      </c>
      <c r="B1041" s="10" t="s">
        <v>359</v>
      </c>
      <c r="C1041" s="10" t="s">
        <v>5783</v>
      </c>
      <c r="D1041" s="11" t="str">
        <f t="shared" si="1"/>
        <v>Abrir anúncio ↗</v>
      </c>
      <c r="E1041" s="12" t="s">
        <v>5786</v>
      </c>
      <c r="F1041" s="10" t="s">
        <v>29</v>
      </c>
      <c r="G1041" s="12" t="s">
        <v>4918</v>
      </c>
      <c r="H1041" s="12" t="s">
        <v>4919</v>
      </c>
      <c r="I1041" s="10"/>
      <c r="J1041" s="10"/>
      <c r="K1041" s="12"/>
    </row>
    <row r="1042" ht="15.75" customHeight="1">
      <c r="A1042" s="3" t="s">
        <v>12</v>
      </c>
      <c r="B1042" s="3" t="s">
        <v>359</v>
      </c>
      <c r="C1042" s="3" t="s">
        <v>5787</v>
      </c>
      <c r="D1042" s="8" t="str">
        <f t="shared" si="1"/>
        <v>Abrir anúncio ↗</v>
      </c>
      <c r="E1042" s="9" t="s">
        <v>948</v>
      </c>
      <c r="F1042" s="3" t="s">
        <v>29</v>
      </c>
      <c r="G1042" s="9" t="s">
        <v>4918</v>
      </c>
      <c r="H1042" s="9" t="s">
        <v>4919</v>
      </c>
      <c r="I1042" s="3"/>
      <c r="J1042" s="3"/>
      <c r="K1042" s="9"/>
    </row>
    <row r="1043" ht="15.75" customHeight="1">
      <c r="A1043" s="10" t="s">
        <v>12</v>
      </c>
      <c r="B1043" s="10" t="s">
        <v>359</v>
      </c>
      <c r="C1043" s="10" t="s">
        <v>5795</v>
      </c>
      <c r="D1043" s="11" t="str">
        <f t="shared" si="1"/>
        <v>Abrir anúncio ↗</v>
      </c>
      <c r="E1043" s="12" t="s">
        <v>5796</v>
      </c>
      <c r="F1043" s="10" t="s">
        <v>29</v>
      </c>
      <c r="G1043" s="12" t="s">
        <v>4918</v>
      </c>
      <c r="H1043" s="12" t="s">
        <v>4919</v>
      </c>
      <c r="I1043" s="10"/>
      <c r="J1043" s="10"/>
      <c r="K1043" s="12"/>
    </row>
    <row r="1044" ht="15.75" customHeight="1">
      <c r="A1044" s="3" t="s">
        <v>12</v>
      </c>
      <c r="B1044" s="3" t="s">
        <v>359</v>
      </c>
      <c r="C1044" s="3" t="s">
        <v>5799</v>
      </c>
      <c r="D1044" s="8" t="str">
        <f t="shared" si="1"/>
        <v>Abrir anúncio ↗</v>
      </c>
      <c r="E1044" s="9" t="s">
        <v>5801</v>
      </c>
      <c r="F1044" s="3" t="s">
        <v>29</v>
      </c>
      <c r="G1044" s="9" t="s">
        <v>4918</v>
      </c>
      <c r="H1044" s="9" t="s">
        <v>4919</v>
      </c>
      <c r="I1044" s="3"/>
      <c r="J1044" s="3"/>
      <c r="K1044" s="9"/>
    </row>
    <row r="1045" ht="15.75" customHeight="1">
      <c r="A1045" s="10" t="s">
        <v>12</v>
      </c>
      <c r="B1045" s="10" t="s">
        <v>359</v>
      </c>
      <c r="C1045" s="10" t="s">
        <v>5803</v>
      </c>
      <c r="D1045" s="11" t="str">
        <f t="shared" si="1"/>
        <v>Abrir anúncio ↗</v>
      </c>
      <c r="E1045" s="12" t="s">
        <v>5805</v>
      </c>
      <c r="F1045" s="10" t="s">
        <v>29</v>
      </c>
      <c r="G1045" s="12" t="s">
        <v>4918</v>
      </c>
      <c r="H1045" s="12" t="s">
        <v>4919</v>
      </c>
      <c r="I1045" s="10"/>
      <c r="J1045" s="10"/>
      <c r="K1045" s="12"/>
    </row>
    <row r="1046" ht="15.75" customHeight="1">
      <c r="A1046" s="3" t="s">
        <v>12</v>
      </c>
      <c r="B1046" s="3" t="s">
        <v>359</v>
      </c>
      <c r="C1046" s="3" t="s">
        <v>5813</v>
      </c>
      <c r="D1046" s="8" t="str">
        <f t="shared" si="1"/>
        <v>Abrir anúncio ↗</v>
      </c>
      <c r="E1046" s="9" t="s">
        <v>5814</v>
      </c>
      <c r="F1046" s="3" t="s">
        <v>29</v>
      </c>
      <c r="G1046" s="9" t="s">
        <v>4918</v>
      </c>
      <c r="H1046" s="9" t="s">
        <v>4919</v>
      </c>
      <c r="I1046" s="3"/>
      <c r="J1046" s="3"/>
      <c r="K1046" s="9"/>
    </row>
    <row r="1047" ht="15.75" customHeight="1">
      <c r="A1047" s="10" t="s">
        <v>12</v>
      </c>
      <c r="B1047" s="10" t="s">
        <v>359</v>
      </c>
      <c r="C1047" s="10" t="s">
        <v>5818</v>
      </c>
      <c r="D1047" s="11" t="str">
        <f t="shared" si="1"/>
        <v>Abrir anúncio ↗</v>
      </c>
      <c r="E1047" s="12" t="s">
        <v>5821</v>
      </c>
      <c r="F1047" s="10" t="s">
        <v>29</v>
      </c>
      <c r="G1047" s="12" t="s">
        <v>4918</v>
      </c>
      <c r="H1047" s="12" t="s">
        <v>4919</v>
      </c>
      <c r="I1047" s="10"/>
      <c r="J1047" s="10"/>
      <c r="K1047" s="12"/>
    </row>
    <row r="1048" ht="15.75" customHeight="1">
      <c r="A1048" s="3" t="s">
        <v>12</v>
      </c>
      <c r="B1048" s="3" t="s">
        <v>359</v>
      </c>
      <c r="C1048" s="3" t="s">
        <v>5825</v>
      </c>
      <c r="D1048" s="8" t="str">
        <f t="shared" si="1"/>
        <v>Abrir anúncio ↗</v>
      </c>
      <c r="E1048" s="9" t="s">
        <v>5826</v>
      </c>
      <c r="F1048" s="3" t="s">
        <v>29</v>
      </c>
      <c r="G1048" s="9" t="s">
        <v>4918</v>
      </c>
      <c r="H1048" s="9" t="s">
        <v>4919</v>
      </c>
      <c r="I1048" s="3"/>
      <c r="J1048" s="3"/>
      <c r="K1048" s="9"/>
    </row>
    <row r="1049" ht="15.75" customHeight="1">
      <c r="A1049" s="10" t="s">
        <v>12</v>
      </c>
      <c r="B1049" s="10" t="s">
        <v>359</v>
      </c>
      <c r="C1049" s="10" t="s">
        <v>5831</v>
      </c>
      <c r="D1049" s="11" t="str">
        <f t="shared" si="1"/>
        <v>Abrir anúncio ↗</v>
      </c>
      <c r="E1049" s="12" t="s">
        <v>922</v>
      </c>
      <c r="F1049" s="10" t="s">
        <v>29</v>
      </c>
      <c r="G1049" s="12" t="s">
        <v>4918</v>
      </c>
      <c r="H1049" s="12" t="s">
        <v>4919</v>
      </c>
      <c r="I1049" s="10"/>
      <c r="J1049" s="10"/>
      <c r="K1049" s="12"/>
    </row>
    <row r="1050" ht="15.75" customHeight="1">
      <c r="A1050" s="3" t="s">
        <v>12</v>
      </c>
      <c r="B1050" s="3" t="s">
        <v>359</v>
      </c>
      <c r="C1050" s="3" t="s">
        <v>5834</v>
      </c>
      <c r="D1050" s="8" t="str">
        <f t="shared" si="1"/>
        <v>Abrir anúncio ↗</v>
      </c>
      <c r="E1050" s="9" t="s">
        <v>5835</v>
      </c>
      <c r="F1050" s="3" t="s">
        <v>29</v>
      </c>
      <c r="G1050" s="9" t="s">
        <v>4918</v>
      </c>
      <c r="H1050" s="9" t="s">
        <v>4919</v>
      </c>
      <c r="I1050" s="3"/>
      <c r="J1050" s="3"/>
      <c r="K1050" s="9"/>
    </row>
    <row r="1051" ht="15.75" customHeight="1">
      <c r="A1051" s="10" t="s">
        <v>12</v>
      </c>
      <c r="B1051" s="10" t="s">
        <v>359</v>
      </c>
      <c r="C1051" s="10" t="s">
        <v>5840</v>
      </c>
      <c r="D1051" s="11" t="str">
        <f t="shared" si="1"/>
        <v>Abrir anúncio ↗</v>
      </c>
      <c r="E1051" s="12" t="s">
        <v>5841</v>
      </c>
      <c r="F1051" s="10" t="s">
        <v>29</v>
      </c>
      <c r="G1051" s="12" t="s">
        <v>4918</v>
      </c>
      <c r="H1051" s="12" t="s">
        <v>4919</v>
      </c>
      <c r="I1051" s="10"/>
      <c r="J1051" s="10"/>
      <c r="K1051" s="12"/>
    </row>
    <row r="1052" ht="15.75" customHeight="1">
      <c r="A1052" s="3" t="s">
        <v>12</v>
      </c>
      <c r="B1052" s="3" t="s">
        <v>359</v>
      </c>
      <c r="C1052" s="3" t="s">
        <v>5844</v>
      </c>
      <c r="D1052" s="8" t="str">
        <f t="shared" si="1"/>
        <v>Abrir anúncio ↗</v>
      </c>
      <c r="E1052" s="9" t="s">
        <v>5845</v>
      </c>
      <c r="F1052" s="3" t="s">
        <v>29</v>
      </c>
      <c r="G1052" s="9" t="s">
        <v>4918</v>
      </c>
      <c r="H1052" s="9" t="s">
        <v>4919</v>
      </c>
      <c r="I1052" s="3"/>
      <c r="J1052" s="3"/>
      <c r="K1052" s="9"/>
    </row>
    <row r="1053" ht="15.75" customHeight="1">
      <c r="A1053" s="10" t="s">
        <v>12</v>
      </c>
      <c r="B1053" s="10" t="s">
        <v>359</v>
      </c>
      <c r="C1053" s="10" t="s">
        <v>5849</v>
      </c>
      <c r="D1053" s="11" t="str">
        <f t="shared" si="1"/>
        <v>Abrir anúncio ↗</v>
      </c>
      <c r="E1053" s="12" t="s">
        <v>5850</v>
      </c>
      <c r="F1053" s="10" t="s">
        <v>29</v>
      </c>
      <c r="G1053" s="12" t="s">
        <v>4918</v>
      </c>
      <c r="H1053" s="12" t="s">
        <v>4919</v>
      </c>
      <c r="I1053" s="10"/>
      <c r="J1053" s="10"/>
      <c r="K1053" s="12"/>
    </row>
    <row r="1054" ht="15.75" customHeight="1">
      <c r="A1054" s="3" t="s">
        <v>12</v>
      </c>
      <c r="B1054" s="3" t="s">
        <v>359</v>
      </c>
      <c r="C1054" s="3" t="s">
        <v>5853</v>
      </c>
      <c r="D1054" s="8" t="str">
        <f t="shared" si="1"/>
        <v>Abrir anúncio ↗</v>
      </c>
      <c r="E1054" s="9" t="s">
        <v>5854</v>
      </c>
      <c r="F1054" s="3" t="s">
        <v>29</v>
      </c>
      <c r="G1054" s="9" t="s">
        <v>4918</v>
      </c>
      <c r="H1054" s="9" t="s">
        <v>4919</v>
      </c>
      <c r="I1054" s="3"/>
      <c r="J1054" s="3"/>
      <c r="K1054" s="9"/>
    </row>
    <row r="1055" ht="15.75" customHeight="1">
      <c r="A1055" s="10" t="s">
        <v>12</v>
      </c>
      <c r="B1055" s="10" t="s">
        <v>359</v>
      </c>
      <c r="C1055" s="10" t="s">
        <v>5858</v>
      </c>
      <c r="D1055" s="11" t="str">
        <f t="shared" si="1"/>
        <v>Abrir anúncio ↗</v>
      </c>
      <c r="E1055" s="12" t="s">
        <v>5860</v>
      </c>
      <c r="F1055" s="10" t="s">
        <v>29</v>
      </c>
      <c r="G1055" s="12" t="s">
        <v>4918</v>
      </c>
      <c r="H1055" s="12" t="s">
        <v>4919</v>
      </c>
      <c r="I1055" s="10"/>
      <c r="J1055" s="10"/>
      <c r="K1055" s="12"/>
    </row>
    <row r="1056" ht="15.75" customHeight="1">
      <c r="A1056" s="3" t="s">
        <v>12</v>
      </c>
      <c r="B1056" s="3" t="s">
        <v>359</v>
      </c>
      <c r="C1056" s="3" t="s">
        <v>5863</v>
      </c>
      <c r="D1056" s="8" t="str">
        <f t="shared" si="1"/>
        <v>Abrir anúncio ↗</v>
      </c>
      <c r="E1056" s="9" t="s">
        <v>5865</v>
      </c>
      <c r="F1056" s="3" t="s">
        <v>29</v>
      </c>
      <c r="G1056" s="9" t="s">
        <v>4918</v>
      </c>
      <c r="H1056" s="9" t="s">
        <v>4919</v>
      </c>
      <c r="I1056" s="3"/>
      <c r="J1056" s="3"/>
      <c r="K1056" s="9"/>
    </row>
    <row r="1057" ht="15.75" customHeight="1">
      <c r="A1057" s="10" t="s">
        <v>12</v>
      </c>
      <c r="B1057" s="10" t="s">
        <v>359</v>
      </c>
      <c r="C1057" s="10" t="s">
        <v>5869</v>
      </c>
      <c r="D1057" s="11" t="str">
        <f t="shared" si="1"/>
        <v>Abrir anúncio ↗</v>
      </c>
      <c r="E1057" s="12" t="s">
        <v>5870</v>
      </c>
      <c r="F1057" s="10" t="s">
        <v>29</v>
      </c>
      <c r="G1057" s="12" t="s">
        <v>4918</v>
      </c>
      <c r="H1057" s="12" t="s">
        <v>4919</v>
      </c>
      <c r="I1057" s="10"/>
      <c r="J1057" s="10"/>
      <c r="K1057" s="12"/>
    </row>
    <row r="1058" ht="15.75" customHeight="1">
      <c r="A1058" s="3" t="s">
        <v>12</v>
      </c>
      <c r="B1058" s="3" t="s">
        <v>359</v>
      </c>
      <c r="C1058" s="3" t="s">
        <v>5874</v>
      </c>
      <c r="D1058" s="8" t="str">
        <f t="shared" si="1"/>
        <v>Abrir anúncio ↗</v>
      </c>
      <c r="E1058" s="9" t="s">
        <v>5875</v>
      </c>
      <c r="F1058" s="3" t="s">
        <v>29</v>
      </c>
      <c r="G1058" s="9" t="s">
        <v>4918</v>
      </c>
      <c r="H1058" s="9" t="s">
        <v>4919</v>
      </c>
      <c r="I1058" s="3"/>
      <c r="J1058" s="3"/>
      <c r="K1058" s="9"/>
    </row>
    <row r="1059" ht="15.75" customHeight="1">
      <c r="A1059" s="10" t="s">
        <v>12</v>
      </c>
      <c r="B1059" s="10" t="s">
        <v>359</v>
      </c>
      <c r="C1059" s="10" t="s">
        <v>5879</v>
      </c>
      <c r="D1059" s="11" t="str">
        <f t="shared" si="1"/>
        <v>Abrir anúncio ↗</v>
      </c>
      <c r="E1059" s="12" t="s">
        <v>5882</v>
      </c>
      <c r="F1059" s="10" t="s">
        <v>86</v>
      </c>
      <c r="G1059" s="12" t="s">
        <v>5883</v>
      </c>
      <c r="H1059" s="12" t="s">
        <v>5885</v>
      </c>
      <c r="I1059" s="10"/>
      <c r="J1059" s="10"/>
      <c r="K1059" s="12"/>
    </row>
    <row r="1060" ht="15.75" customHeight="1">
      <c r="A1060" s="3" t="s">
        <v>12</v>
      </c>
      <c r="B1060" s="3" t="s">
        <v>359</v>
      </c>
      <c r="C1060" s="3" t="s">
        <v>5886</v>
      </c>
      <c r="D1060" s="8" t="str">
        <f t="shared" si="1"/>
        <v>Abrir anúncio ↗</v>
      </c>
      <c r="E1060" s="9" t="s">
        <v>5888</v>
      </c>
      <c r="F1060" s="3" t="s">
        <v>29</v>
      </c>
      <c r="G1060" s="9" t="s">
        <v>4918</v>
      </c>
      <c r="H1060" s="9" t="s">
        <v>4919</v>
      </c>
      <c r="I1060" s="3"/>
      <c r="J1060" s="3"/>
      <c r="K1060" s="9"/>
    </row>
    <row r="1061" ht="15.75" customHeight="1">
      <c r="A1061" s="10" t="s">
        <v>12</v>
      </c>
      <c r="B1061" s="10" t="s">
        <v>359</v>
      </c>
      <c r="C1061" s="10" t="s">
        <v>5893</v>
      </c>
      <c r="D1061" s="11" t="str">
        <f t="shared" si="1"/>
        <v>Abrir anúncio ↗</v>
      </c>
      <c r="E1061" s="12" t="s">
        <v>1975</v>
      </c>
      <c r="F1061" s="10" t="s">
        <v>29</v>
      </c>
      <c r="G1061" s="12" t="s">
        <v>4918</v>
      </c>
      <c r="H1061" s="12" t="s">
        <v>4919</v>
      </c>
      <c r="I1061" s="10"/>
      <c r="J1061" s="10"/>
      <c r="K1061" s="12"/>
    </row>
    <row r="1062" ht="15.75" customHeight="1">
      <c r="A1062" s="3" t="s">
        <v>12</v>
      </c>
      <c r="B1062" s="3" t="s">
        <v>359</v>
      </c>
      <c r="C1062" s="3" t="s">
        <v>5896</v>
      </c>
      <c r="D1062" s="8" t="str">
        <f t="shared" si="1"/>
        <v>Abrir anúncio ↗</v>
      </c>
      <c r="E1062" s="9" t="s">
        <v>5897</v>
      </c>
      <c r="F1062" s="3" t="s">
        <v>29</v>
      </c>
      <c r="G1062" s="9" t="s">
        <v>4918</v>
      </c>
      <c r="H1062" s="9" t="s">
        <v>4919</v>
      </c>
      <c r="I1062" s="3"/>
      <c r="J1062" s="3"/>
      <c r="K1062" s="9"/>
    </row>
    <row r="1063" ht="15.75" customHeight="1">
      <c r="A1063" s="10" t="s">
        <v>12</v>
      </c>
      <c r="B1063" s="10" t="s">
        <v>359</v>
      </c>
      <c r="C1063" s="10" t="s">
        <v>5903</v>
      </c>
      <c r="D1063" s="11" t="str">
        <f t="shared" si="1"/>
        <v>Abrir anúncio ↗</v>
      </c>
      <c r="E1063" s="12" t="s">
        <v>1588</v>
      </c>
      <c r="F1063" s="10" t="s">
        <v>29</v>
      </c>
      <c r="G1063" s="12" t="s">
        <v>4918</v>
      </c>
      <c r="H1063" s="12" t="s">
        <v>4919</v>
      </c>
      <c r="I1063" s="10"/>
      <c r="J1063" s="10"/>
      <c r="K1063" s="12"/>
    </row>
    <row r="1064" ht="15.75" customHeight="1">
      <c r="A1064" s="3" t="s">
        <v>12</v>
      </c>
      <c r="B1064" s="3" t="s">
        <v>359</v>
      </c>
      <c r="C1064" s="3" t="s">
        <v>5905</v>
      </c>
      <c r="D1064" s="8" t="str">
        <f t="shared" si="1"/>
        <v>Abrir anúncio ↗</v>
      </c>
      <c r="E1064" s="9" t="s">
        <v>1899</v>
      </c>
      <c r="F1064" s="3" t="s">
        <v>29</v>
      </c>
      <c r="G1064" s="9" t="s">
        <v>4918</v>
      </c>
      <c r="H1064" s="9" t="s">
        <v>4919</v>
      </c>
      <c r="I1064" s="3"/>
      <c r="J1064" s="3"/>
      <c r="K1064" s="9"/>
    </row>
    <row r="1065" ht="15.75" customHeight="1">
      <c r="A1065" s="10" t="s">
        <v>12</v>
      </c>
      <c r="B1065" s="10" t="s">
        <v>359</v>
      </c>
      <c r="C1065" s="10" t="s">
        <v>5910</v>
      </c>
      <c r="D1065" s="11" t="str">
        <f t="shared" si="1"/>
        <v>Abrir anúncio ↗</v>
      </c>
      <c r="E1065" s="12" t="s">
        <v>5911</v>
      </c>
      <c r="F1065" s="10" t="s">
        <v>29</v>
      </c>
      <c r="G1065" s="12" t="s">
        <v>4918</v>
      </c>
      <c r="H1065" s="12" t="s">
        <v>4919</v>
      </c>
      <c r="I1065" s="10"/>
      <c r="J1065" s="10"/>
      <c r="K1065" s="12"/>
    </row>
    <row r="1066" ht="15.75" customHeight="1">
      <c r="A1066" s="3" t="s">
        <v>12</v>
      </c>
      <c r="B1066" s="3" t="s">
        <v>359</v>
      </c>
      <c r="C1066" s="3" t="s">
        <v>5912</v>
      </c>
      <c r="D1066" s="8" t="str">
        <f t="shared" si="1"/>
        <v>Abrir anúncio ↗</v>
      </c>
      <c r="E1066" s="9" t="s">
        <v>3693</v>
      </c>
      <c r="F1066" s="3" t="s">
        <v>29</v>
      </c>
      <c r="G1066" s="9" t="s">
        <v>4918</v>
      </c>
      <c r="H1066" s="9" t="s">
        <v>4919</v>
      </c>
      <c r="I1066" s="3"/>
      <c r="J1066" s="3"/>
      <c r="K1066" s="9"/>
    </row>
    <row r="1067" ht="15.75" customHeight="1">
      <c r="A1067" s="10" t="s">
        <v>12</v>
      </c>
      <c r="B1067" s="10" t="s">
        <v>359</v>
      </c>
      <c r="C1067" s="10" t="s">
        <v>5916</v>
      </c>
      <c r="D1067" s="11" t="str">
        <f t="shared" si="1"/>
        <v>Abrir anúncio ↗</v>
      </c>
      <c r="E1067" s="12" t="s">
        <v>5918</v>
      </c>
      <c r="F1067" s="10" t="s">
        <v>29</v>
      </c>
      <c r="G1067" s="12" t="s">
        <v>4918</v>
      </c>
      <c r="H1067" s="12" t="s">
        <v>4919</v>
      </c>
      <c r="I1067" s="10"/>
      <c r="J1067" s="10"/>
      <c r="K1067" s="12"/>
    </row>
    <row r="1068" ht="15.75" customHeight="1">
      <c r="A1068" s="3" t="s">
        <v>12</v>
      </c>
      <c r="B1068" s="3" t="s">
        <v>359</v>
      </c>
      <c r="C1068" s="3" t="s">
        <v>5921</v>
      </c>
      <c r="D1068" s="8" t="str">
        <f t="shared" si="1"/>
        <v>Abrir anúncio ↗</v>
      </c>
      <c r="E1068" s="9" t="s">
        <v>1340</v>
      </c>
      <c r="F1068" s="3" t="s">
        <v>29</v>
      </c>
      <c r="G1068" s="9" t="s">
        <v>4918</v>
      </c>
      <c r="H1068" s="9" t="s">
        <v>4919</v>
      </c>
      <c r="I1068" s="3"/>
      <c r="J1068" s="3"/>
      <c r="K1068" s="9"/>
    </row>
    <row r="1069" ht="15.75" customHeight="1">
      <c r="A1069" s="10" t="s">
        <v>12</v>
      </c>
      <c r="B1069" s="10" t="s">
        <v>359</v>
      </c>
      <c r="C1069" s="10" t="s">
        <v>5924</v>
      </c>
      <c r="D1069" s="11" t="str">
        <f t="shared" si="1"/>
        <v>Abrir anúncio ↗</v>
      </c>
      <c r="E1069" s="12" t="s">
        <v>3729</v>
      </c>
      <c r="F1069" s="10" t="s">
        <v>29</v>
      </c>
      <c r="G1069" s="12" t="s">
        <v>4918</v>
      </c>
      <c r="H1069" s="12" t="s">
        <v>4919</v>
      </c>
      <c r="I1069" s="10"/>
      <c r="J1069" s="10"/>
      <c r="K1069" s="12"/>
    </row>
    <row r="1070" ht="15.75" customHeight="1">
      <c r="A1070" s="3" t="s">
        <v>12</v>
      </c>
      <c r="B1070" s="3" t="s">
        <v>359</v>
      </c>
      <c r="C1070" s="3" t="s">
        <v>5926</v>
      </c>
      <c r="D1070" s="8" t="str">
        <f t="shared" si="1"/>
        <v>Abrir anúncio ↗</v>
      </c>
      <c r="E1070" s="9" t="s">
        <v>847</v>
      </c>
      <c r="F1070" s="3" t="s">
        <v>29</v>
      </c>
      <c r="G1070" s="9" t="s">
        <v>4918</v>
      </c>
      <c r="H1070" s="9" t="s">
        <v>4919</v>
      </c>
      <c r="I1070" s="3"/>
      <c r="J1070" s="3"/>
      <c r="K1070" s="9"/>
    </row>
    <row r="1071" ht="15.75" customHeight="1">
      <c r="A1071" s="10" t="s">
        <v>12</v>
      </c>
      <c r="B1071" s="10" t="s">
        <v>359</v>
      </c>
      <c r="C1071" s="10" t="s">
        <v>5930</v>
      </c>
      <c r="D1071" s="11" t="str">
        <f t="shared" si="1"/>
        <v>Abrir anúncio ↗</v>
      </c>
      <c r="E1071" s="12" t="s">
        <v>5931</v>
      </c>
      <c r="F1071" s="10" t="s">
        <v>86</v>
      </c>
      <c r="G1071" s="12" t="s">
        <v>4918</v>
      </c>
      <c r="H1071" s="12" t="s">
        <v>4919</v>
      </c>
      <c r="I1071" s="10"/>
      <c r="J1071" s="10"/>
      <c r="K1071" s="12"/>
    </row>
    <row r="1072" ht="15.75" customHeight="1">
      <c r="A1072" s="3" t="s">
        <v>12</v>
      </c>
      <c r="B1072" s="3" t="s">
        <v>359</v>
      </c>
      <c r="C1072" s="3" t="s">
        <v>5933</v>
      </c>
      <c r="D1072" s="8" t="str">
        <f t="shared" si="1"/>
        <v>Abrir anúncio ↗</v>
      </c>
      <c r="E1072" s="9" t="s">
        <v>5935</v>
      </c>
      <c r="F1072" s="3" t="s">
        <v>29</v>
      </c>
      <c r="G1072" s="9" t="s">
        <v>4918</v>
      </c>
      <c r="H1072" s="9" t="s">
        <v>4919</v>
      </c>
      <c r="I1072" s="3"/>
      <c r="J1072" s="3"/>
      <c r="K1072" s="9"/>
    </row>
    <row r="1073" ht="15.75" customHeight="1">
      <c r="A1073" s="10" t="s">
        <v>12</v>
      </c>
      <c r="B1073" s="10" t="s">
        <v>359</v>
      </c>
      <c r="C1073" s="10" t="s">
        <v>5936</v>
      </c>
      <c r="D1073" s="11" t="str">
        <f t="shared" si="1"/>
        <v>Abrir anúncio ↗</v>
      </c>
      <c r="E1073" s="12" t="s">
        <v>5937</v>
      </c>
      <c r="F1073" s="10" t="s">
        <v>29</v>
      </c>
      <c r="G1073" s="12" t="s">
        <v>4918</v>
      </c>
      <c r="H1073" s="12" t="s">
        <v>4919</v>
      </c>
      <c r="I1073" s="10"/>
      <c r="J1073" s="10"/>
      <c r="K1073" s="12"/>
    </row>
    <row r="1074" ht="15.75" customHeight="1">
      <c r="A1074" s="3" t="s">
        <v>12</v>
      </c>
      <c r="B1074" s="3" t="s">
        <v>359</v>
      </c>
      <c r="C1074" s="3" t="s">
        <v>5940</v>
      </c>
      <c r="D1074" s="8" t="str">
        <f t="shared" si="1"/>
        <v>Abrir anúncio ↗</v>
      </c>
      <c r="E1074" s="9" t="s">
        <v>5941</v>
      </c>
      <c r="F1074" s="3" t="s">
        <v>29</v>
      </c>
      <c r="G1074" s="9" t="s">
        <v>4918</v>
      </c>
      <c r="H1074" s="9" t="s">
        <v>4919</v>
      </c>
      <c r="I1074" s="3"/>
      <c r="J1074" s="3"/>
      <c r="K1074" s="9"/>
    </row>
    <row r="1075" ht="15.75" customHeight="1">
      <c r="A1075" s="10" t="s">
        <v>12</v>
      </c>
      <c r="B1075" s="10" t="s">
        <v>359</v>
      </c>
      <c r="C1075" s="10" t="s">
        <v>5942</v>
      </c>
      <c r="D1075" s="11" t="str">
        <f t="shared" si="1"/>
        <v>Abrir anúncio ↗</v>
      </c>
      <c r="E1075" s="12" t="s">
        <v>5943</v>
      </c>
      <c r="F1075" s="10" t="s">
        <v>29</v>
      </c>
      <c r="G1075" s="12" t="s">
        <v>4918</v>
      </c>
      <c r="H1075" s="12" t="s">
        <v>4919</v>
      </c>
      <c r="I1075" s="10"/>
      <c r="J1075" s="10"/>
      <c r="K1075" s="12"/>
    </row>
    <row r="1076" ht="15.75" customHeight="1">
      <c r="A1076" s="3" t="s">
        <v>12</v>
      </c>
      <c r="B1076" s="3" t="s">
        <v>359</v>
      </c>
      <c r="C1076" s="3" t="s">
        <v>5947</v>
      </c>
      <c r="D1076" s="8" t="str">
        <f t="shared" si="1"/>
        <v>Abrir anúncio ↗</v>
      </c>
      <c r="E1076" s="9" t="s">
        <v>5949</v>
      </c>
      <c r="F1076" s="3" t="s">
        <v>29</v>
      </c>
      <c r="G1076" s="9" t="s">
        <v>4955</v>
      </c>
      <c r="H1076" s="9" t="s">
        <v>5950</v>
      </c>
      <c r="I1076" s="3"/>
      <c r="J1076" s="3"/>
      <c r="K1076" s="9"/>
    </row>
    <row r="1077" ht="15.75" customHeight="1">
      <c r="A1077" s="10" t="s">
        <v>12</v>
      </c>
      <c r="B1077" s="10" t="s">
        <v>359</v>
      </c>
      <c r="C1077" s="10" t="s">
        <v>5952</v>
      </c>
      <c r="D1077" s="11" t="str">
        <f t="shared" si="1"/>
        <v>Abrir anúncio ↗</v>
      </c>
      <c r="E1077" s="12" t="s">
        <v>5954</v>
      </c>
      <c r="F1077" s="10" t="s">
        <v>29</v>
      </c>
      <c r="G1077" s="12" t="s">
        <v>5883</v>
      </c>
      <c r="H1077" s="12" t="s">
        <v>5955</v>
      </c>
      <c r="I1077" s="10"/>
      <c r="J1077" s="10"/>
      <c r="K1077" s="12"/>
    </row>
    <row r="1078" ht="15.75" customHeight="1">
      <c r="A1078" s="3" t="s">
        <v>12</v>
      </c>
      <c r="B1078" s="3" t="s">
        <v>359</v>
      </c>
      <c r="C1078" s="3" t="s">
        <v>5957</v>
      </c>
      <c r="D1078" s="8" t="str">
        <f t="shared" si="1"/>
        <v>Abrir anúncio ↗</v>
      </c>
      <c r="E1078" s="9" t="s">
        <v>5958</v>
      </c>
      <c r="F1078" s="3" t="s">
        <v>29</v>
      </c>
      <c r="G1078" s="9" t="s">
        <v>4918</v>
      </c>
      <c r="H1078" s="9" t="s">
        <v>4919</v>
      </c>
      <c r="I1078" s="3"/>
      <c r="J1078" s="3"/>
      <c r="K1078" s="9"/>
    </row>
    <row r="1079" ht="15.75" customHeight="1">
      <c r="A1079" s="10" t="s">
        <v>12</v>
      </c>
      <c r="B1079" s="10" t="s">
        <v>359</v>
      </c>
      <c r="C1079" s="10" t="s">
        <v>5961</v>
      </c>
      <c r="D1079" s="11" t="str">
        <f t="shared" si="1"/>
        <v>Abrir anúncio ↗</v>
      </c>
      <c r="E1079" s="12" t="s">
        <v>1130</v>
      </c>
      <c r="F1079" s="10" t="s">
        <v>29</v>
      </c>
      <c r="G1079" s="12" t="s">
        <v>4918</v>
      </c>
      <c r="H1079" s="12" t="s">
        <v>4919</v>
      </c>
      <c r="I1079" s="10"/>
      <c r="J1079" s="10"/>
      <c r="K1079" s="12"/>
    </row>
    <row r="1080" ht="15.75" customHeight="1">
      <c r="A1080" s="3" t="s">
        <v>12</v>
      </c>
      <c r="B1080" s="3" t="s">
        <v>359</v>
      </c>
      <c r="C1080" s="3" t="s">
        <v>5964</v>
      </c>
      <c r="D1080" s="8" t="str">
        <f t="shared" si="1"/>
        <v>Abrir anúncio ↗</v>
      </c>
      <c r="E1080" s="9" t="s">
        <v>5965</v>
      </c>
      <c r="F1080" s="3" t="s">
        <v>29</v>
      </c>
      <c r="G1080" s="9" t="s">
        <v>4918</v>
      </c>
      <c r="H1080" s="9" t="s">
        <v>4919</v>
      </c>
      <c r="I1080" s="3"/>
      <c r="J1080" s="3"/>
      <c r="K1080" s="9"/>
    </row>
    <row r="1081" ht="15.75" customHeight="1">
      <c r="A1081" s="10" t="s">
        <v>12</v>
      </c>
      <c r="B1081" s="10" t="s">
        <v>359</v>
      </c>
      <c r="C1081" s="10" t="s">
        <v>5967</v>
      </c>
      <c r="D1081" s="11" t="str">
        <f t="shared" si="1"/>
        <v>Abrir anúncio ↗</v>
      </c>
      <c r="E1081" s="12" t="s">
        <v>5968</v>
      </c>
      <c r="F1081" s="10" t="s">
        <v>29</v>
      </c>
      <c r="G1081" s="12" t="s">
        <v>4918</v>
      </c>
      <c r="H1081" s="12" t="s">
        <v>4919</v>
      </c>
      <c r="I1081" s="10"/>
      <c r="J1081" s="10"/>
      <c r="K1081" s="12"/>
    </row>
    <row r="1082" ht="15.75" customHeight="1">
      <c r="A1082" s="3" t="s">
        <v>12</v>
      </c>
      <c r="B1082" s="3" t="s">
        <v>359</v>
      </c>
      <c r="C1082" s="3" t="s">
        <v>5971</v>
      </c>
      <c r="D1082" s="8" t="str">
        <f t="shared" si="1"/>
        <v>Abrir anúncio ↗</v>
      </c>
      <c r="E1082" s="9" t="s">
        <v>5972</v>
      </c>
      <c r="F1082" s="3" t="s">
        <v>29</v>
      </c>
      <c r="G1082" s="9" t="s">
        <v>4918</v>
      </c>
      <c r="H1082" s="9" t="s">
        <v>4919</v>
      </c>
      <c r="I1082" s="3"/>
      <c r="J1082" s="3"/>
      <c r="K1082" s="9"/>
    </row>
    <row r="1083" ht="15.75" customHeight="1">
      <c r="A1083" s="10" t="s">
        <v>12</v>
      </c>
      <c r="B1083" s="10" t="s">
        <v>359</v>
      </c>
      <c r="C1083" s="10" t="s">
        <v>5975</v>
      </c>
      <c r="D1083" s="11" t="str">
        <f t="shared" si="1"/>
        <v>Abrir anúncio ↗</v>
      </c>
      <c r="E1083" s="12" t="s">
        <v>4466</v>
      </c>
      <c r="F1083" s="10" t="s">
        <v>29</v>
      </c>
      <c r="G1083" s="12" t="s">
        <v>4918</v>
      </c>
      <c r="H1083" s="12" t="s">
        <v>4919</v>
      </c>
      <c r="I1083" s="10"/>
      <c r="J1083" s="10"/>
      <c r="K1083" s="12"/>
    </row>
    <row r="1084" ht="15.75" customHeight="1">
      <c r="A1084" s="3" t="s">
        <v>12</v>
      </c>
      <c r="B1084" s="3" t="s">
        <v>359</v>
      </c>
      <c r="C1084" s="3" t="s">
        <v>5978</v>
      </c>
      <c r="D1084" s="8" t="str">
        <f t="shared" si="1"/>
        <v>Abrir anúncio ↗</v>
      </c>
      <c r="E1084" s="9" t="s">
        <v>5980</v>
      </c>
      <c r="F1084" s="3" t="s">
        <v>86</v>
      </c>
      <c r="G1084" s="9" t="s">
        <v>5013</v>
      </c>
      <c r="H1084" s="9" t="s">
        <v>5015</v>
      </c>
      <c r="I1084" s="3"/>
      <c r="J1084" s="3"/>
      <c r="K1084" s="9"/>
    </row>
    <row r="1085" ht="15.75" customHeight="1">
      <c r="A1085" s="10" t="s">
        <v>12</v>
      </c>
      <c r="B1085" s="10" t="s">
        <v>359</v>
      </c>
      <c r="C1085" s="10" t="s">
        <v>5982</v>
      </c>
      <c r="D1085" s="11" t="str">
        <f t="shared" si="1"/>
        <v>Abrir anúncio ↗</v>
      </c>
      <c r="E1085" s="12" t="s">
        <v>5985</v>
      </c>
      <c r="F1085" s="10" t="s">
        <v>29</v>
      </c>
      <c r="G1085" s="12" t="s">
        <v>4918</v>
      </c>
      <c r="H1085" s="12" t="s">
        <v>4919</v>
      </c>
      <c r="I1085" s="10"/>
      <c r="J1085" s="10"/>
      <c r="K1085" s="12"/>
    </row>
    <row r="1086" ht="15.75" customHeight="1">
      <c r="A1086" s="3" t="s">
        <v>12</v>
      </c>
      <c r="B1086" s="3" t="s">
        <v>359</v>
      </c>
      <c r="C1086" s="3" t="s">
        <v>5987</v>
      </c>
      <c r="D1086" s="8" t="str">
        <f t="shared" si="1"/>
        <v>Abrir anúncio ↗</v>
      </c>
      <c r="E1086" s="9" t="s">
        <v>5988</v>
      </c>
      <c r="F1086" s="3" t="s">
        <v>29</v>
      </c>
      <c r="G1086" s="9" t="s">
        <v>4918</v>
      </c>
      <c r="H1086" s="9" t="s">
        <v>4919</v>
      </c>
      <c r="I1086" s="3"/>
      <c r="J1086" s="3"/>
      <c r="K1086" s="9"/>
    </row>
    <row r="1087" ht="15.75" customHeight="1">
      <c r="A1087" s="10" t="s">
        <v>12</v>
      </c>
      <c r="B1087" s="10" t="s">
        <v>359</v>
      </c>
      <c r="C1087" s="10" t="s">
        <v>5992</v>
      </c>
      <c r="D1087" s="11" t="str">
        <f t="shared" si="1"/>
        <v>Abrir anúncio ↗</v>
      </c>
      <c r="E1087" s="12" t="s">
        <v>5994</v>
      </c>
      <c r="F1087" s="10" t="s">
        <v>29</v>
      </c>
      <c r="G1087" s="12" t="s">
        <v>4918</v>
      </c>
      <c r="H1087" s="12" t="s">
        <v>4919</v>
      </c>
      <c r="I1087" s="10"/>
      <c r="J1087" s="10"/>
      <c r="K1087" s="12"/>
    </row>
    <row r="1088" ht="15.75" customHeight="1">
      <c r="A1088" s="3" t="s">
        <v>12</v>
      </c>
      <c r="B1088" s="3" t="s">
        <v>359</v>
      </c>
      <c r="C1088" s="3" t="s">
        <v>5997</v>
      </c>
      <c r="D1088" s="8" t="str">
        <f t="shared" si="1"/>
        <v>Abrir anúncio ↗</v>
      </c>
      <c r="E1088" s="9" t="s">
        <v>5998</v>
      </c>
      <c r="F1088" s="3" t="s">
        <v>29</v>
      </c>
      <c r="G1088" s="9" t="s">
        <v>4918</v>
      </c>
      <c r="H1088" s="9" t="s">
        <v>4919</v>
      </c>
      <c r="I1088" s="3"/>
      <c r="J1088" s="3"/>
      <c r="K1088" s="9"/>
    </row>
    <row r="1089" ht="15.75" customHeight="1">
      <c r="A1089" s="10" t="s">
        <v>12</v>
      </c>
      <c r="B1089" s="10" t="s">
        <v>359</v>
      </c>
      <c r="C1089" s="10" t="s">
        <v>6002</v>
      </c>
      <c r="D1089" s="11" t="str">
        <f t="shared" si="1"/>
        <v>Abrir anúncio ↗</v>
      </c>
      <c r="E1089" s="12" t="s">
        <v>6003</v>
      </c>
      <c r="F1089" s="10" t="s">
        <v>29</v>
      </c>
      <c r="G1089" s="12" t="s">
        <v>4918</v>
      </c>
      <c r="H1089" s="12" t="s">
        <v>4919</v>
      </c>
      <c r="I1089" s="10"/>
      <c r="J1089" s="10"/>
      <c r="K1089" s="12"/>
    </row>
    <row r="1090" ht="15.75" customHeight="1">
      <c r="A1090" s="3" t="s">
        <v>12</v>
      </c>
      <c r="B1090" s="3" t="s">
        <v>359</v>
      </c>
      <c r="C1090" s="3" t="s">
        <v>6007</v>
      </c>
      <c r="D1090" s="8" t="str">
        <f t="shared" si="1"/>
        <v>Abrir anúncio ↗</v>
      </c>
      <c r="E1090" s="9" t="s">
        <v>3927</v>
      </c>
      <c r="F1090" s="3" t="s">
        <v>29</v>
      </c>
      <c r="G1090" s="9" t="s">
        <v>4918</v>
      </c>
      <c r="H1090" s="9" t="s">
        <v>4919</v>
      </c>
      <c r="I1090" s="3"/>
      <c r="J1090" s="3"/>
      <c r="K1090" s="9"/>
    </row>
    <row r="1091" ht="15.75" customHeight="1">
      <c r="A1091" s="10" t="s">
        <v>12</v>
      </c>
      <c r="B1091" s="10" t="s">
        <v>359</v>
      </c>
      <c r="C1091" s="10" t="s">
        <v>6009</v>
      </c>
      <c r="D1091" s="11" t="str">
        <f t="shared" si="1"/>
        <v>Abrir anúncio ↗</v>
      </c>
      <c r="E1091" s="12" t="s">
        <v>6012</v>
      </c>
      <c r="F1091" s="10" t="s">
        <v>29</v>
      </c>
      <c r="G1091" s="12" t="s">
        <v>4918</v>
      </c>
      <c r="H1091" s="12" t="s">
        <v>4919</v>
      </c>
      <c r="I1091" s="10"/>
      <c r="J1091" s="10"/>
      <c r="K1091" s="12"/>
    </row>
    <row r="1092" ht="15.75" customHeight="1">
      <c r="A1092" s="3" t="s">
        <v>12</v>
      </c>
      <c r="B1092" s="3" t="s">
        <v>359</v>
      </c>
      <c r="C1092" s="3" t="s">
        <v>6015</v>
      </c>
      <c r="D1092" s="8" t="str">
        <f t="shared" si="1"/>
        <v>Abrir anúncio ↗</v>
      </c>
      <c r="E1092" s="9" t="s">
        <v>6016</v>
      </c>
      <c r="F1092" s="3" t="s">
        <v>29</v>
      </c>
      <c r="G1092" s="9" t="s">
        <v>4918</v>
      </c>
      <c r="H1092" s="9" t="s">
        <v>4919</v>
      </c>
      <c r="I1092" s="3"/>
      <c r="J1092" s="3"/>
      <c r="K1092" s="9"/>
    </row>
    <row r="1093" ht="15.75" customHeight="1">
      <c r="A1093" s="10" t="s">
        <v>12</v>
      </c>
      <c r="B1093" s="10" t="s">
        <v>359</v>
      </c>
      <c r="C1093" s="10" t="s">
        <v>6018</v>
      </c>
      <c r="D1093" s="11" t="str">
        <f t="shared" si="1"/>
        <v>Abrir anúncio ↗</v>
      </c>
      <c r="E1093" s="12" t="s">
        <v>6020</v>
      </c>
      <c r="F1093" s="10" t="s">
        <v>29</v>
      </c>
      <c r="G1093" s="12" t="s">
        <v>4918</v>
      </c>
      <c r="H1093" s="12" t="s">
        <v>4919</v>
      </c>
      <c r="I1093" s="10"/>
      <c r="J1093" s="10"/>
      <c r="K1093" s="12"/>
    </row>
    <row r="1094" ht="15.75" customHeight="1">
      <c r="A1094" s="3" t="s">
        <v>12</v>
      </c>
      <c r="B1094" s="3" t="s">
        <v>359</v>
      </c>
      <c r="C1094" s="3" t="s">
        <v>6024</v>
      </c>
      <c r="D1094" s="8" t="str">
        <f t="shared" si="1"/>
        <v>Abrir anúncio ↗</v>
      </c>
      <c r="E1094" s="9" t="s">
        <v>6026</v>
      </c>
      <c r="F1094" s="3" t="s">
        <v>29</v>
      </c>
      <c r="G1094" s="9" t="s">
        <v>4918</v>
      </c>
      <c r="H1094" s="9" t="s">
        <v>4919</v>
      </c>
      <c r="I1094" s="3"/>
      <c r="J1094" s="3"/>
      <c r="K1094" s="9"/>
    </row>
    <row r="1095" ht="15.75" customHeight="1">
      <c r="A1095" s="10" t="s">
        <v>12</v>
      </c>
      <c r="B1095" s="10" t="s">
        <v>359</v>
      </c>
      <c r="C1095" s="10" t="s">
        <v>6029</v>
      </c>
      <c r="D1095" s="11" t="str">
        <f t="shared" si="1"/>
        <v>Abrir anúncio ↗</v>
      </c>
      <c r="E1095" s="12" t="s">
        <v>6031</v>
      </c>
      <c r="F1095" s="10" t="s">
        <v>29</v>
      </c>
      <c r="G1095" s="12" t="s">
        <v>4918</v>
      </c>
      <c r="H1095" s="12" t="s">
        <v>4919</v>
      </c>
      <c r="I1095" s="10"/>
      <c r="J1095" s="10"/>
      <c r="K1095" s="12"/>
    </row>
    <row r="1096" ht="15.75" customHeight="1">
      <c r="A1096" s="3" t="s">
        <v>12</v>
      </c>
      <c r="B1096" s="3" t="s">
        <v>359</v>
      </c>
      <c r="C1096" s="3" t="s">
        <v>6036</v>
      </c>
      <c r="D1096" s="8" t="str">
        <f t="shared" si="1"/>
        <v>Abrir anúncio ↗</v>
      </c>
      <c r="E1096" s="9" t="s">
        <v>875</v>
      </c>
      <c r="F1096" s="3" t="s">
        <v>29</v>
      </c>
      <c r="G1096" s="9" t="s">
        <v>4918</v>
      </c>
      <c r="H1096" s="9" t="s">
        <v>4919</v>
      </c>
      <c r="I1096" s="3"/>
      <c r="J1096" s="3"/>
      <c r="K1096" s="9"/>
    </row>
    <row r="1097" ht="15.75" customHeight="1">
      <c r="A1097" s="10" t="s">
        <v>12</v>
      </c>
      <c r="B1097" s="10" t="s">
        <v>359</v>
      </c>
      <c r="C1097" s="10" t="s">
        <v>6042</v>
      </c>
      <c r="D1097" s="11" t="str">
        <f t="shared" si="1"/>
        <v>Abrir anúncio ↗</v>
      </c>
      <c r="E1097" s="12" t="s">
        <v>1944</v>
      </c>
      <c r="F1097" s="10" t="s">
        <v>29</v>
      </c>
      <c r="G1097" s="12" t="s">
        <v>4918</v>
      </c>
      <c r="H1097" s="12" t="s">
        <v>4919</v>
      </c>
      <c r="I1097" s="10"/>
      <c r="J1097" s="10"/>
      <c r="K1097" s="12"/>
    </row>
    <row r="1098" ht="15.75" customHeight="1">
      <c r="A1098" s="3" t="s">
        <v>12</v>
      </c>
      <c r="B1098" s="3" t="s">
        <v>359</v>
      </c>
      <c r="C1098" s="3" t="s">
        <v>6051</v>
      </c>
      <c r="D1098" s="8" t="str">
        <f t="shared" si="1"/>
        <v>Abrir anúncio ↗</v>
      </c>
      <c r="E1098" s="9" t="s">
        <v>6056</v>
      </c>
      <c r="F1098" s="3" t="s">
        <v>86</v>
      </c>
      <c r="G1098" s="9" t="s">
        <v>5013</v>
      </c>
      <c r="H1098" s="9" t="s">
        <v>5015</v>
      </c>
      <c r="I1098" s="3"/>
      <c r="J1098" s="3"/>
      <c r="K1098" s="9"/>
    </row>
    <row r="1099" ht="15.75" customHeight="1">
      <c r="A1099" s="10" t="s">
        <v>12</v>
      </c>
      <c r="B1099" s="10" t="s">
        <v>359</v>
      </c>
      <c r="C1099" s="10" t="s">
        <v>6061</v>
      </c>
      <c r="D1099" s="11" t="str">
        <f t="shared" si="1"/>
        <v>Abrir anúncio ↗</v>
      </c>
      <c r="E1099" s="12" t="s">
        <v>820</v>
      </c>
      <c r="F1099" s="10" t="s">
        <v>29</v>
      </c>
      <c r="G1099" s="12" t="s">
        <v>4918</v>
      </c>
      <c r="H1099" s="12" t="s">
        <v>4919</v>
      </c>
      <c r="I1099" s="10"/>
      <c r="J1099" s="10"/>
      <c r="K1099" s="12"/>
    </row>
    <row r="1100" ht="15.75" customHeight="1">
      <c r="A1100" s="3" t="s">
        <v>12</v>
      </c>
      <c r="B1100" s="3" t="s">
        <v>359</v>
      </c>
      <c r="C1100" s="3" t="s">
        <v>6065</v>
      </c>
      <c r="D1100" s="8" t="str">
        <f t="shared" si="1"/>
        <v>Abrir anúncio ↗</v>
      </c>
      <c r="E1100" s="9" t="s">
        <v>826</v>
      </c>
      <c r="F1100" s="3" t="s">
        <v>29</v>
      </c>
      <c r="G1100" s="9" t="s">
        <v>4918</v>
      </c>
      <c r="H1100" s="9" t="s">
        <v>4919</v>
      </c>
      <c r="I1100" s="3"/>
      <c r="J1100" s="3"/>
      <c r="K1100" s="9"/>
    </row>
    <row r="1101" ht="15.75" customHeight="1">
      <c r="A1101" s="10" t="s">
        <v>12</v>
      </c>
      <c r="B1101" s="10" t="s">
        <v>359</v>
      </c>
      <c r="C1101" s="10" t="s">
        <v>6068</v>
      </c>
      <c r="D1101" s="11" t="str">
        <f t="shared" si="1"/>
        <v>Abrir anúncio ↗</v>
      </c>
      <c r="E1101" s="12" t="s">
        <v>763</v>
      </c>
      <c r="F1101" s="10" t="s">
        <v>29</v>
      </c>
      <c r="G1101" s="12" t="s">
        <v>4918</v>
      </c>
      <c r="H1101" s="12" t="s">
        <v>4919</v>
      </c>
      <c r="I1101" s="10"/>
      <c r="J1101" s="10"/>
      <c r="K1101" s="12"/>
    </row>
    <row r="1102" ht="15.75" customHeight="1">
      <c r="A1102" s="3" t="s">
        <v>12</v>
      </c>
      <c r="B1102" s="3" t="s">
        <v>359</v>
      </c>
      <c r="C1102" s="3" t="s">
        <v>6072</v>
      </c>
      <c r="D1102" s="8" t="str">
        <f t="shared" si="1"/>
        <v>Abrir anúncio ↗</v>
      </c>
      <c r="E1102" s="9" t="s">
        <v>3716</v>
      </c>
      <c r="F1102" s="3" t="s">
        <v>29</v>
      </c>
      <c r="G1102" s="9" t="s">
        <v>4918</v>
      </c>
      <c r="H1102" s="9" t="s">
        <v>4919</v>
      </c>
      <c r="I1102" s="3"/>
      <c r="J1102" s="3"/>
      <c r="K1102" s="9"/>
    </row>
    <row r="1103" ht="15.75" customHeight="1">
      <c r="A1103" s="10" t="s">
        <v>12</v>
      </c>
      <c r="B1103" s="10" t="s">
        <v>359</v>
      </c>
      <c r="C1103" s="10" t="s">
        <v>6076</v>
      </c>
      <c r="D1103" s="11" t="str">
        <f t="shared" si="1"/>
        <v>Abrir anúncio ↗</v>
      </c>
      <c r="E1103" s="12" t="s">
        <v>3749</v>
      </c>
      <c r="F1103" s="10" t="s">
        <v>29</v>
      </c>
      <c r="G1103" s="12" t="s">
        <v>4918</v>
      </c>
      <c r="H1103" s="12" t="s">
        <v>4919</v>
      </c>
      <c r="I1103" s="10"/>
      <c r="J1103" s="10"/>
      <c r="K1103" s="12"/>
    </row>
    <row r="1104" ht="15.75" customHeight="1">
      <c r="A1104" s="3" t="s">
        <v>12</v>
      </c>
      <c r="B1104" s="3" t="s">
        <v>359</v>
      </c>
      <c r="C1104" s="3" t="s">
        <v>6081</v>
      </c>
      <c r="D1104" s="8" t="str">
        <f t="shared" si="1"/>
        <v>Abrir anúncio ↗</v>
      </c>
      <c r="E1104" s="9" t="s">
        <v>1584</v>
      </c>
      <c r="F1104" s="3" t="s">
        <v>29</v>
      </c>
      <c r="G1104" s="9" t="s">
        <v>4918</v>
      </c>
      <c r="H1104" s="9" t="s">
        <v>4919</v>
      </c>
      <c r="I1104" s="3"/>
      <c r="J1104" s="3"/>
      <c r="K1104" s="9"/>
    </row>
    <row r="1105" ht="15.75" customHeight="1">
      <c r="A1105" s="10" t="s">
        <v>12</v>
      </c>
      <c r="B1105" s="10" t="s">
        <v>359</v>
      </c>
      <c r="C1105" s="10" t="s">
        <v>6084</v>
      </c>
      <c r="D1105" s="11" t="str">
        <f t="shared" si="1"/>
        <v>Abrir anúncio ↗</v>
      </c>
      <c r="E1105" s="12" t="s">
        <v>6085</v>
      </c>
      <c r="F1105" s="10" t="s">
        <v>86</v>
      </c>
      <c r="G1105" s="12" t="s">
        <v>4918</v>
      </c>
      <c r="H1105" s="12" t="s">
        <v>4919</v>
      </c>
      <c r="I1105" s="10"/>
      <c r="J1105" s="10"/>
      <c r="K1105" s="12"/>
    </row>
    <row r="1106" ht="15.75" customHeight="1">
      <c r="A1106" s="3" t="s">
        <v>12</v>
      </c>
      <c r="B1106" s="3" t="s">
        <v>359</v>
      </c>
      <c r="C1106" s="3" t="s">
        <v>6088</v>
      </c>
      <c r="D1106" s="8" t="str">
        <f t="shared" si="1"/>
        <v>Abrir anúncio ↗</v>
      </c>
      <c r="E1106" s="9" t="s">
        <v>6089</v>
      </c>
      <c r="F1106" s="3" t="s">
        <v>29</v>
      </c>
      <c r="G1106" s="9" t="s">
        <v>4918</v>
      </c>
      <c r="H1106" s="9" t="s">
        <v>4919</v>
      </c>
      <c r="I1106" s="3"/>
      <c r="J1106" s="3"/>
      <c r="K1106" s="9"/>
    </row>
    <row r="1107" ht="15.75" customHeight="1">
      <c r="A1107" s="10" t="s">
        <v>12</v>
      </c>
      <c r="B1107" s="10" t="s">
        <v>359</v>
      </c>
      <c r="C1107" s="10" t="s">
        <v>6090</v>
      </c>
      <c r="D1107" s="11" t="str">
        <f t="shared" si="1"/>
        <v>Abrir anúncio ↗</v>
      </c>
      <c r="E1107" s="12" t="s">
        <v>6092</v>
      </c>
      <c r="F1107" s="10" t="s">
        <v>29</v>
      </c>
      <c r="G1107" s="12" t="s">
        <v>4918</v>
      </c>
      <c r="H1107" s="12" t="s">
        <v>4919</v>
      </c>
      <c r="I1107" s="10"/>
      <c r="J1107" s="10"/>
      <c r="K1107" s="12"/>
    </row>
    <row r="1108" ht="15.75" customHeight="1">
      <c r="A1108" s="3" t="s">
        <v>12</v>
      </c>
      <c r="B1108" s="3" t="s">
        <v>359</v>
      </c>
      <c r="C1108" s="3" t="s">
        <v>6095</v>
      </c>
      <c r="D1108" s="8" t="str">
        <f t="shared" si="1"/>
        <v>Abrir anúncio ↗</v>
      </c>
      <c r="E1108" s="9" t="s">
        <v>858</v>
      </c>
      <c r="F1108" s="3" t="s">
        <v>29</v>
      </c>
      <c r="G1108" s="9" t="s">
        <v>4918</v>
      </c>
      <c r="H1108" s="9" t="s">
        <v>4919</v>
      </c>
      <c r="I1108" s="3"/>
      <c r="J1108" s="3"/>
      <c r="K1108" s="9"/>
    </row>
    <row r="1109" ht="15.75" customHeight="1">
      <c r="A1109" s="10" t="s">
        <v>12</v>
      </c>
      <c r="B1109" s="10" t="s">
        <v>359</v>
      </c>
      <c r="C1109" s="10" t="s">
        <v>6097</v>
      </c>
      <c r="D1109" s="11" t="str">
        <f t="shared" si="1"/>
        <v>Abrir anúncio ↗</v>
      </c>
      <c r="E1109" s="12" t="s">
        <v>4194</v>
      </c>
      <c r="F1109" s="10" t="s">
        <v>29</v>
      </c>
      <c r="G1109" s="12" t="s">
        <v>4918</v>
      </c>
      <c r="H1109" s="12" t="s">
        <v>4919</v>
      </c>
      <c r="I1109" s="10"/>
      <c r="J1109" s="10"/>
      <c r="K1109" s="12"/>
    </row>
    <row r="1110" ht="15.75" customHeight="1">
      <c r="A1110" s="3" t="s">
        <v>12</v>
      </c>
      <c r="B1110" s="3" t="s">
        <v>359</v>
      </c>
      <c r="C1110" s="3" t="s">
        <v>6100</v>
      </c>
      <c r="D1110" s="8" t="str">
        <f t="shared" si="1"/>
        <v>Abrir anúncio ↗</v>
      </c>
      <c r="E1110" s="9" t="s">
        <v>833</v>
      </c>
      <c r="F1110" s="3" t="s">
        <v>29</v>
      </c>
      <c r="G1110" s="9" t="s">
        <v>4918</v>
      </c>
      <c r="H1110" s="9" t="s">
        <v>4919</v>
      </c>
      <c r="I1110" s="3"/>
      <c r="J1110" s="3"/>
      <c r="K1110" s="9"/>
    </row>
    <row r="1111" ht="15.75" customHeight="1">
      <c r="A1111" s="10" t="s">
        <v>12</v>
      </c>
      <c r="B1111" s="10" t="s">
        <v>359</v>
      </c>
      <c r="C1111" s="10" t="s">
        <v>6103</v>
      </c>
      <c r="D1111" s="11" t="str">
        <f t="shared" si="1"/>
        <v>Abrir anúncio ↗</v>
      </c>
      <c r="E1111" s="12" t="s">
        <v>3697</v>
      </c>
      <c r="F1111" s="10" t="s">
        <v>29</v>
      </c>
      <c r="G1111" s="12" t="s">
        <v>4918</v>
      </c>
      <c r="H1111" s="12" t="s">
        <v>4919</v>
      </c>
      <c r="I1111" s="10"/>
      <c r="J1111" s="10"/>
      <c r="K1111" s="12"/>
    </row>
    <row r="1112" ht="15.75" customHeight="1">
      <c r="A1112" s="3" t="s">
        <v>12</v>
      </c>
      <c r="B1112" s="3" t="s">
        <v>359</v>
      </c>
      <c r="C1112" s="3" t="s">
        <v>6105</v>
      </c>
      <c r="D1112" s="8" t="str">
        <f t="shared" si="1"/>
        <v>Abrir anúncio ↗</v>
      </c>
      <c r="E1112" s="9" t="s">
        <v>6106</v>
      </c>
      <c r="F1112" s="3" t="s">
        <v>29</v>
      </c>
      <c r="G1112" s="9" t="s">
        <v>4918</v>
      </c>
      <c r="H1112" s="9" t="s">
        <v>4919</v>
      </c>
      <c r="I1112" s="3"/>
      <c r="J1112" s="3"/>
      <c r="K1112" s="9"/>
    </row>
    <row r="1113" ht="15.75" customHeight="1">
      <c r="A1113" s="10" t="s">
        <v>12</v>
      </c>
      <c r="B1113" s="10" t="s">
        <v>359</v>
      </c>
      <c r="C1113" s="10" t="s">
        <v>6108</v>
      </c>
      <c r="D1113" s="11" t="str">
        <f t="shared" si="1"/>
        <v>Abrir anúncio ↗</v>
      </c>
      <c r="E1113" s="12" t="s">
        <v>3704</v>
      </c>
      <c r="F1113" s="10" t="s">
        <v>29</v>
      </c>
      <c r="G1113" s="12" t="s">
        <v>4918</v>
      </c>
      <c r="H1113" s="12" t="s">
        <v>4919</v>
      </c>
      <c r="I1113" s="10"/>
      <c r="J1113" s="10"/>
      <c r="K1113" s="12"/>
    </row>
    <row r="1114" ht="15.75" customHeight="1">
      <c r="A1114" s="3" t="s">
        <v>12</v>
      </c>
      <c r="B1114" s="3" t="s">
        <v>359</v>
      </c>
      <c r="C1114" s="3" t="s">
        <v>6111</v>
      </c>
      <c r="D1114" s="8" t="str">
        <f t="shared" si="1"/>
        <v>Abrir anúncio ↗</v>
      </c>
      <c r="E1114" s="9" t="s">
        <v>6112</v>
      </c>
      <c r="F1114" s="3" t="s">
        <v>29</v>
      </c>
      <c r="G1114" s="9" t="s">
        <v>4918</v>
      </c>
      <c r="H1114" s="9" t="s">
        <v>4919</v>
      </c>
      <c r="I1114" s="3"/>
      <c r="J1114" s="3"/>
      <c r="K1114" s="9"/>
    </row>
    <row r="1115" ht="15.75" customHeight="1">
      <c r="A1115" s="10" t="s">
        <v>12</v>
      </c>
      <c r="B1115" s="10" t="s">
        <v>359</v>
      </c>
      <c r="C1115" s="10" t="s">
        <v>6115</v>
      </c>
      <c r="D1115" s="11" t="str">
        <f t="shared" si="1"/>
        <v>Abrir anúncio ↗</v>
      </c>
      <c r="E1115" s="12" t="s">
        <v>4200</v>
      </c>
      <c r="F1115" s="10" t="s">
        <v>29</v>
      </c>
      <c r="G1115" s="12" t="s">
        <v>4918</v>
      </c>
      <c r="H1115" s="12" t="s">
        <v>4919</v>
      </c>
      <c r="I1115" s="10"/>
      <c r="J1115" s="10"/>
      <c r="K1115" s="12"/>
    </row>
    <row r="1116" ht="15.75" customHeight="1">
      <c r="A1116" s="3" t="s">
        <v>12</v>
      </c>
      <c r="B1116" s="3" t="s">
        <v>359</v>
      </c>
      <c r="C1116" s="3" t="s">
        <v>6117</v>
      </c>
      <c r="D1116" s="8" t="str">
        <f t="shared" si="1"/>
        <v>Abrir anúncio ↗</v>
      </c>
      <c r="E1116" s="9" t="s">
        <v>3612</v>
      </c>
      <c r="F1116" s="3" t="s">
        <v>29</v>
      </c>
      <c r="G1116" s="9" t="s">
        <v>4918</v>
      </c>
      <c r="H1116" s="9" t="s">
        <v>4919</v>
      </c>
      <c r="I1116" s="3"/>
      <c r="J1116" s="3"/>
      <c r="K1116" s="9"/>
    </row>
    <row r="1117" ht="15.75" customHeight="1">
      <c r="A1117" s="10" t="s">
        <v>12</v>
      </c>
      <c r="B1117" s="10" t="s">
        <v>359</v>
      </c>
      <c r="C1117" s="10" t="s">
        <v>6120</v>
      </c>
      <c r="D1117" s="11" t="str">
        <f t="shared" si="1"/>
        <v>Abrir anúncio ↗</v>
      </c>
      <c r="E1117" s="12" t="s">
        <v>6121</v>
      </c>
      <c r="F1117" s="10" t="s">
        <v>29</v>
      </c>
      <c r="G1117" s="12" t="s">
        <v>4918</v>
      </c>
      <c r="H1117" s="12" t="s">
        <v>4919</v>
      </c>
      <c r="I1117" s="10"/>
      <c r="J1117" s="10"/>
      <c r="K1117" s="12"/>
    </row>
    <row r="1118" ht="15.75" customHeight="1">
      <c r="A1118" s="3" t="s">
        <v>12</v>
      </c>
      <c r="B1118" s="3" t="s">
        <v>359</v>
      </c>
      <c r="C1118" s="3" t="s">
        <v>6122</v>
      </c>
      <c r="D1118" s="8" t="str">
        <f t="shared" si="1"/>
        <v>Abrir anúncio ↗</v>
      </c>
      <c r="E1118" s="9" t="s">
        <v>6124</v>
      </c>
      <c r="F1118" s="3" t="s">
        <v>29</v>
      </c>
      <c r="G1118" s="9" t="s">
        <v>4918</v>
      </c>
      <c r="H1118" s="9" t="s">
        <v>4919</v>
      </c>
      <c r="I1118" s="3"/>
      <c r="J1118" s="3"/>
      <c r="K1118" s="9"/>
    </row>
    <row r="1119" ht="15.75" customHeight="1">
      <c r="A1119" s="10" t="s">
        <v>12</v>
      </c>
      <c r="B1119" s="10" t="s">
        <v>359</v>
      </c>
      <c r="C1119" s="10" t="s">
        <v>6127</v>
      </c>
      <c r="D1119" s="11" t="str">
        <f t="shared" si="1"/>
        <v>Abrir anúncio ↗</v>
      </c>
      <c r="E1119" s="12" t="s">
        <v>6128</v>
      </c>
      <c r="F1119" s="10" t="s">
        <v>29</v>
      </c>
      <c r="G1119" s="12" t="s">
        <v>4918</v>
      </c>
      <c r="H1119" s="12" t="s">
        <v>4919</v>
      </c>
      <c r="I1119" s="10"/>
      <c r="J1119" s="10"/>
      <c r="K1119" s="12"/>
    </row>
    <row r="1120" ht="15.75" customHeight="1">
      <c r="A1120" s="3" t="s">
        <v>12</v>
      </c>
      <c r="B1120" s="3" t="s">
        <v>359</v>
      </c>
      <c r="C1120" s="3" t="s">
        <v>6130</v>
      </c>
      <c r="D1120" s="8" t="str">
        <f t="shared" si="1"/>
        <v>Abrir anúncio ↗</v>
      </c>
      <c r="E1120" s="9" t="s">
        <v>6132</v>
      </c>
      <c r="F1120" s="3" t="s">
        <v>29</v>
      </c>
      <c r="G1120" s="9" t="s">
        <v>4918</v>
      </c>
      <c r="H1120" s="9" t="s">
        <v>4919</v>
      </c>
      <c r="I1120" s="3"/>
      <c r="J1120" s="3"/>
      <c r="K1120" s="9"/>
    </row>
    <row r="1121" ht="15.75" customHeight="1">
      <c r="A1121" s="10" t="s">
        <v>12</v>
      </c>
      <c r="B1121" s="10" t="s">
        <v>359</v>
      </c>
      <c r="C1121" s="10" t="s">
        <v>6134</v>
      </c>
      <c r="D1121" s="11" t="str">
        <f t="shared" si="1"/>
        <v>Abrir anúncio ↗</v>
      </c>
      <c r="E1121" s="12" t="s">
        <v>811</v>
      </c>
      <c r="F1121" s="10" t="s">
        <v>86</v>
      </c>
      <c r="G1121" s="12" t="s">
        <v>4918</v>
      </c>
      <c r="H1121" s="12" t="s">
        <v>4919</v>
      </c>
      <c r="I1121" s="10"/>
      <c r="J1121" s="10"/>
      <c r="K1121" s="12"/>
    </row>
    <row r="1122" ht="15.75" customHeight="1">
      <c r="A1122" s="3" t="s">
        <v>12</v>
      </c>
      <c r="B1122" s="3" t="s">
        <v>359</v>
      </c>
      <c r="C1122" s="3" t="s">
        <v>6137</v>
      </c>
      <c r="D1122" s="8" t="str">
        <f t="shared" si="1"/>
        <v>Abrir anúncio ↗</v>
      </c>
      <c r="E1122" s="9" t="s">
        <v>768</v>
      </c>
      <c r="F1122" s="3" t="s">
        <v>86</v>
      </c>
      <c r="G1122" s="9" t="s">
        <v>4918</v>
      </c>
      <c r="H1122" s="9" t="s">
        <v>4919</v>
      </c>
      <c r="I1122" s="3"/>
      <c r="J1122" s="3"/>
      <c r="K1122" s="9"/>
    </row>
    <row r="1123" ht="15.75" customHeight="1">
      <c r="A1123" s="10" t="s">
        <v>12</v>
      </c>
      <c r="B1123" s="10" t="s">
        <v>359</v>
      </c>
      <c r="C1123" s="10" t="s">
        <v>6139</v>
      </c>
      <c r="D1123" s="11" t="str">
        <f t="shared" si="1"/>
        <v>Abrir anúncio ↗</v>
      </c>
      <c r="E1123" s="12" t="s">
        <v>6140</v>
      </c>
      <c r="F1123" s="10" t="s">
        <v>29</v>
      </c>
      <c r="G1123" s="12" t="s">
        <v>4918</v>
      </c>
      <c r="H1123" s="12" t="s">
        <v>4919</v>
      </c>
      <c r="I1123" s="10"/>
      <c r="J1123" s="10"/>
      <c r="K1123" s="12"/>
    </row>
    <row r="1124" ht="15.75" customHeight="1">
      <c r="A1124" s="3" t="s">
        <v>12</v>
      </c>
      <c r="B1124" s="3" t="s">
        <v>359</v>
      </c>
      <c r="C1124" s="3" t="s">
        <v>6142</v>
      </c>
      <c r="D1124" s="8" t="str">
        <f t="shared" si="1"/>
        <v>Abrir anúncio ↗</v>
      </c>
      <c r="E1124" s="9" t="s">
        <v>6144</v>
      </c>
      <c r="F1124" s="3" t="s">
        <v>29</v>
      </c>
      <c r="G1124" s="9" t="s">
        <v>4918</v>
      </c>
      <c r="H1124" s="9" t="s">
        <v>4919</v>
      </c>
      <c r="I1124" s="3"/>
      <c r="J1124" s="3"/>
      <c r="K1124" s="9"/>
    </row>
    <row r="1125" ht="15.75" customHeight="1">
      <c r="A1125" s="10" t="s">
        <v>12</v>
      </c>
      <c r="B1125" s="10" t="s">
        <v>359</v>
      </c>
      <c r="C1125" s="10" t="s">
        <v>6147</v>
      </c>
      <c r="D1125" s="11" t="str">
        <f t="shared" si="1"/>
        <v>Abrir anúncio ↗</v>
      </c>
      <c r="E1125" s="12" t="s">
        <v>6150</v>
      </c>
      <c r="F1125" s="10" t="s">
        <v>29</v>
      </c>
      <c r="G1125" s="12" t="s">
        <v>4918</v>
      </c>
      <c r="H1125" s="12" t="s">
        <v>4919</v>
      </c>
      <c r="I1125" s="10"/>
      <c r="J1125" s="10"/>
      <c r="K1125" s="12"/>
    </row>
    <row r="1126" ht="15.75" customHeight="1">
      <c r="A1126" s="3" t="s">
        <v>12</v>
      </c>
      <c r="B1126" s="3" t="s">
        <v>359</v>
      </c>
      <c r="C1126" s="3" t="s">
        <v>6155</v>
      </c>
      <c r="D1126" s="8" t="str">
        <f t="shared" si="1"/>
        <v>Abrir anúncio ↗</v>
      </c>
      <c r="E1126" s="9" t="s">
        <v>3743</v>
      </c>
      <c r="F1126" s="3" t="s">
        <v>29</v>
      </c>
      <c r="G1126" s="9" t="s">
        <v>4918</v>
      </c>
      <c r="H1126" s="9" t="s">
        <v>4919</v>
      </c>
      <c r="I1126" s="3"/>
      <c r="J1126" s="3"/>
      <c r="K1126" s="9"/>
    </row>
    <row r="1127" ht="15.75" customHeight="1">
      <c r="A1127" s="10" t="s">
        <v>12</v>
      </c>
      <c r="B1127" s="10" t="s">
        <v>359</v>
      </c>
      <c r="C1127" s="10" t="s">
        <v>6159</v>
      </c>
      <c r="D1127" s="11" t="str">
        <f t="shared" si="1"/>
        <v>Abrir anúncio ↗</v>
      </c>
      <c r="E1127" s="12" t="s">
        <v>6162</v>
      </c>
      <c r="F1127" s="10" t="s">
        <v>29</v>
      </c>
      <c r="G1127" s="12" t="s">
        <v>4918</v>
      </c>
      <c r="H1127" s="12" t="s">
        <v>4919</v>
      </c>
      <c r="I1127" s="10"/>
      <c r="J1127" s="10"/>
      <c r="K1127" s="12"/>
    </row>
    <row r="1128" ht="15.75" customHeight="1">
      <c r="A1128" s="3" t="s">
        <v>12</v>
      </c>
      <c r="B1128" s="3" t="s">
        <v>359</v>
      </c>
      <c r="C1128" s="3" t="s">
        <v>6164</v>
      </c>
      <c r="D1128" s="8" t="str">
        <f t="shared" si="1"/>
        <v>Abrir anúncio ↗</v>
      </c>
      <c r="E1128" s="9" t="s">
        <v>6165</v>
      </c>
      <c r="F1128" s="3" t="s">
        <v>29</v>
      </c>
      <c r="G1128" s="9" t="s">
        <v>4918</v>
      </c>
      <c r="H1128" s="9" t="s">
        <v>4919</v>
      </c>
      <c r="I1128" s="3"/>
      <c r="J1128" s="3"/>
      <c r="K1128" s="9"/>
    </row>
    <row r="1129" ht="15.75" customHeight="1">
      <c r="A1129" s="10" t="s">
        <v>12</v>
      </c>
      <c r="B1129" s="10" t="s">
        <v>359</v>
      </c>
      <c r="C1129" s="10" t="s">
        <v>6167</v>
      </c>
      <c r="D1129" s="11" t="str">
        <f t="shared" si="1"/>
        <v>Abrir anúncio ↗</v>
      </c>
      <c r="E1129" s="12" t="s">
        <v>6168</v>
      </c>
      <c r="F1129" s="10" t="s">
        <v>29</v>
      </c>
      <c r="G1129" s="12" t="s">
        <v>4918</v>
      </c>
      <c r="H1129" s="12" t="s">
        <v>4919</v>
      </c>
      <c r="I1129" s="10"/>
      <c r="J1129" s="10"/>
      <c r="K1129" s="12"/>
    </row>
    <row r="1130" ht="15.75" customHeight="1">
      <c r="A1130" s="3" t="s">
        <v>12</v>
      </c>
      <c r="B1130" s="3" t="s">
        <v>359</v>
      </c>
      <c r="C1130" s="3" t="s">
        <v>6172</v>
      </c>
      <c r="D1130" s="8" t="str">
        <f t="shared" si="1"/>
        <v>Abrir anúncio ↗</v>
      </c>
      <c r="E1130" s="9" t="s">
        <v>6173</v>
      </c>
      <c r="F1130" s="3" t="s">
        <v>29</v>
      </c>
      <c r="G1130" s="9" t="s">
        <v>4918</v>
      </c>
      <c r="H1130" s="9" t="s">
        <v>4919</v>
      </c>
      <c r="I1130" s="3"/>
      <c r="J1130" s="3"/>
      <c r="K1130" s="9"/>
    </row>
    <row r="1131" ht="15.75" customHeight="1">
      <c r="A1131" s="10" t="s">
        <v>12</v>
      </c>
      <c r="B1131" s="10" t="s">
        <v>359</v>
      </c>
      <c r="C1131" s="10" t="s">
        <v>6176</v>
      </c>
      <c r="D1131" s="11" t="str">
        <f t="shared" si="1"/>
        <v>Abrir anúncio ↗</v>
      </c>
      <c r="E1131" s="12" t="s">
        <v>6177</v>
      </c>
      <c r="F1131" s="10" t="s">
        <v>29</v>
      </c>
      <c r="G1131" s="12" t="s">
        <v>4918</v>
      </c>
      <c r="H1131" s="12" t="s">
        <v>4919</v>
      </c>
      <c r="I1131" s="10"/>
      <c r="J1131" s="10"/>
      <c r="K1131" s="12"/>
    </row>
    <row r="1132" ht="15.75" customHeight="1">
      <c r="A1132" s="3" t="s">
        <v>12</v>
      </c>
      <c r="B1132" s="3" t="s">
        <v>359</v>
      </c>
      <c r="C1132" s="3" t="s">
        <v>6181</v>
      </c>
      <c r="D1132" s="8" t="str">
        <f t="shared" si="1"/>
        <v>Abrir anúncio ↗</v>
      </c>
      <c r="E1132" s="9" t="s">
        <v>6182</v>
      </c>
      <c r="F1132" s="3" t="s">
        <v>29</v>
      </c>
      <c r="G1132" s="9" t="s">
        <v>4918</v>
      </c>
      <c r="H1132" s="9" t="s">
        <v>4919</v>
      </c>
      <c r="I1132" s="3"/>
      <c r="J1132" s="3"/>
      <c r="K1132" s="9"/>
    </row>
    <row r="1133" ht="15.75" customHeight="1">
      <c r="A1133" s="10" t="s">
        <v>12</v>
      </c>
      <c r="B1133" s="10" t="s">
        <v>359</v>
      </c>
      <c r="C1133" s="10" t="s">
        <v>6185</v>
      </c>
      <c r="D1133" s="11" t="str">
        <f t="shared" si="1"/>
        <v>Abrir anúncio ↗</v>
      </c>
      <c r="E1133" s="12" t="s">
        <v>6187</v>
      </c>
      <c r="F1133" s="10" t="s">
        <v>29</v>
      </c>
      <c r="G1133" s="12" t="s">
        <v>4918</v>
      </c>
      <c r="H1133" s="12" t="s">
        <v>4919</v>
      </c>
      <c r="I1133" s="10"/>
      <c r="J1133" s="10"/>
      <c r="K1133" s="12"/>
    </row>
    <row r="1134" ht="15.75" customHeight="1">
      <c r="A1134" s="3" t="s">
        <v>12</v>
      </c>
      <c r="B1134" s="3" t="s">
        <v>359</v>
      </c>
      <c r="C1134" s="3" t="s">
        <v>6188</v>
      </c>
      <c r="D1134" s="8" t="str">
        <f t="shared" si="1"/>
        <v>Abrir anúncio ↗</v>
      </c>
      <c r="E1134" s="9" t="s">
        <v>6190</v>
      </c>
      <c r="F1134" s="3" t="s">
        <v>29</v>
      </c>
      <c r="G1134" s="9" t="s">
        <v>4918</v>
      </c>
      <c r="H1134" s="9" t="s">
        <v>4919</v>
      </c>
      <c r="I1134" s="3"/>
      <c r="J1134" s="3"/>
      <c r="K1134" s="9"/>
    </row>
    <row r="1135" ht="15.75" customHeight="1">
      <c r="A1135" s="10" t="s">
        <v>12</v>
      </c>
      <c r="B1135" s="10" t="s">
        <v>359</v>
      </c>
      <c r="C1135" s="10" t="s">
        <v>6193</v>
      </c>
      <c r="D1135" s="11" t="str">
        <f t="shared" si="1"/>
        <v>Abrir anúncio ↗</v>
      </c>
      <c r="E1135" s="12" t="s">
        <v>6194</v>
      </c>
      <c r="F1135" s="10" t="s">
        <v>29</v>
      </c>
      <c r="G1135" s="12" t="s">
        <v>4918</v>
      </c>
      <c r="H1135" s="12" t="s">
        <v>4919</v>
      </c>
      <c r="I1135" s="10"/>
      <c r="J1135" s="10"/>
      <c r="K1135" s="12"/>
    </row>
    <row r="1136" ht="15.75" customHeight="1">
      <c r="A1136" s="3" t="s">
        <v>12</v>
      </c>
      <c r="B1136" s="3" t="s">
        <v>359</v>
      </c>
      <c r="C1136" s="3" t="s">
        <v>6196</v>
      </c>
      <c r="D1136" s="8" t="str">
        <f t="shared" si="1"/>
        <v>Abrir anúncio ↗</v>
      </c>
      <c r="E1136" s="9" t="s">
        <v>3618</v>
      </c>
      <c r="F1136" s="3" t="s">
        <v>29</v>
      </c>
      <c r="G1136" s="9" t="s">
        <v>4918</v>
      </c>
      <c r="H1136" s="9" t="s">
        <v>4919</v>
      </c>
      <c r="I1136" s="3"/>
      <c r="J1136" s="3"/>
      <c r="K1136" s="9"/>
    </row>
    <row r="1137" ht="15.75" customHeight="1">
      <c r="A1137" s="10" t="s">
        <v>12</v>
      </c>
      <c r="B1137" s="10" t="s">
        <v>359</v>
      </c>
      <c r="C1137" s="10" t="s">
        <v>6199</v>
      </c>
      <c r="D1137" s="11" t="str">
        <f t="shared" si="1"/>
        <v>Abrir anúncio ↗</v>
      </c>
      <c r="E1137" s="12" t="s">
        <v>6200</v>
      </c>
      <c r="F1137" s="10" t="s">
        <v>29</v>
      </c>
      <c r="G1137" s="12" t="s">
        <v>4918</v>
      </c>
      <c r="H1137" s="12" t="s">
        <v>4919</v>
      </c>
      <c r="I1137" s="10"/>
      <c r="J1137" s="10"/>
      <c r="K1137" s="12"/>
    </row>
    <row r="1138" ht="15.75" customHeight="1">
      <c r="A1138" s="3" t="s">
        <v>12</v>
      </c>
      <c r="B1138" s="3" t="s">
        <v>359</v>
      </c>
      <c r="C1138" s="3" t="s">
        <v>6202</v>
      </c>
      <c r="D1138" s="8" t="str">
        <f t="shared" si="1"/>
        <v>Abrir anúncio ↗</v>
      </c>
      <c r="E1138" s="9" t="s">
        <v>6204</v>
      </c>
      <c r="F1138" s="3" t="s">
        <v>29</v>
      </c>
      <c r="G1138" s="9" t="s">
        <v>4918</v>
      </c>
      <c r="H1138" s="9" t="s">
        <v>4919</v>
      </c>
      <c r="I1138" s="3"/>
      <c r="J1138" s="3"/>
      <c r="K1138" s="9"/>
    </row>
    <row r="1139" ht="15.75" customHeight="1">
      <c r="A1139" s="10" t="s">
        <v>12</v>
      </c>
      <c r="B1139" s="10" t="s">
        <v>359</v>
      </c>
      <c r="C1139" s="10" t="s">
        <v>6206</v>
      </c>
      <c r="D1139" s="11" t="str">
        <f t="shared" si="1"/>
        <v>Abrir anúncio ↗</v>
      </c>
      <c r="E1139" s="12" t="s">
        <v>6207</v>
      </c>
      <c r="F1139" s="10" t="s">
        <v>29</v>
      </c>
      <c r="G1139" s="12" t="s">
        <v>4918</v>
      </c>
      <c r="H1139" s="12" t="s">
        <v>4919</v>
      </c>
      <c r="I1139" s="10"/>
      <c r="J1139" s="10"/>
      <c r="K1139" s="12"/>
    </row>
    <row r="1140" ht="15.75" customHeight="1">
      <c r="A1140" s="3" t="s">
        <v>12</v>
      </c>
      <c r="B1140" s="3" t="s">
        <v>359</v>
      </c>
      <c r="C1140" s="3" t="s">
        <v>6211</v>
      </c>
      <c r="D1140" s="8" t="str">
        <f t="shared" si="1"/>
        <v>Abrir anúncio ↗</v>
      </c>
      <c r="E1140" s="9" t="s">
        <v>752</v>
      </c>
      <c r="F1140" s="3" t="s">
        <v>29</v>
      </c>
      <c r="G1140" s="9" t="s">
        <v>4918</v>
      </c>
      <c r="H1140" s="9" t="s">
        <v>4919</v>
      </c>
      <c r="I1140" s="3"/>
      <c r="J1140" s="3"/>
      <c r="K1140" s="9"/>
    </row>
    <row r="1141" ht="15.75" customHeight="1">
      <c r="A1141" s="10" t="s">
        <v>12</v>
      </c>
      <c r="B1141" s="10" t="s">
        <v>359</v>
      </c>
      <c r="C1141" s="10" t="s">
        <v>6213</v>
      </c>
      <c r="D1141" s="11" t="str">
        <f t="shared" si="1"/>
        <v>Abrir anúncio ↗</v>
      </c>
      <c r="E1141" s="12" t="s">
        <v>6216</v>
      </c>
      <c r="F1141" s="10" t="s">
        <v>29</v>
      </c>
      <c r="G1141" s="12" t="s">
        <v>4918</v>
      </c>
      <c r="H1141" s="12" t="s">
        <v>4919</v>
      </c>
      <c r="I1141" s="10"/>
      <c r="J1141" s="10"/>
      <c r="K1141" s="12"/>
    </row>
    <row r="1142" ht="15.75" customHeight="1">
      <c r="A1142" s="3" t="s">
        <v>12</v>
      </c>
      <c r="B1142" s="3" t="s">
        <v>359</v>
      </c>
      <c r="C1142" s="3" t="s">
        <v>6219</v>
      </c>
      <c r="D1142" s="8" t="str">
        <f t="shared" si="1"/>
        <v>Abrir anúncio ↗</v>
      </c>
      <c r="E1142" s="9" t="s">
        <v>6221</v>
      </c>
      <c r="F1142" s="3" t="s">
        <v>29</v>
      </c>
      <c r="G1142" s="9" t="s">
        <v>4918</v>
      </c>
      <c r="H1142" s="9" t="s">
        <v>4919</v>
      </c>
      <c r="I1142" s="3"/>
      <c r="J1142" s="3"/>
      <c r="K1142" s="9"/>
    </row>
    <row r="1143" ht="15.75" customHeight="1">
      <c r="A1143" s="10" t="s">
        <v>12</v>
      </c>
      <c r="B1143" s="10" t="s">
        <v>359</v>
      </c>
      <c r="C1143" s="10" t="s">
        <v>6225</v>
      </c>
      <c r="D1143" s="11" t="str">
        <f t="shared" si="1"/>
        <v>Abrir anúncio ↗</v>
      </c>
      <c r="E1143" s="12" t="s">
        <v>6226</v>
      </c>
      <c r="F1143" s="10" t="s">
        <v>29</v>
      </c>
      <c r="G1143" s="12" t="s">
        <v>4918</v>
      </c>
      <c r="H1143" s="12" t="s">
        <v>4919</v>
      </c>
      <c r="I1143" s="10"/>
      <c r="J1143" s="10"/>
      <c r="K1143" s="12"/>
    </row>
    <row r="1144" ht="15.75" customHeight="1">
      <c r="A1144" s="3" t="s">
        <v>12</v>
      </c>
      <c r="B1144" s="3" t="s">
        <v>359</v>
      </c>
      <c r="C1144" s="3" t="s">
        <v>6230</v>
      </c>
      <c r="D1144" s="8" t="str">
        <f t="shared" si="1"/>
        <v>Abrir anúncio ↗</v>
      </c>
      <c r="E1144" s="9" t="s">
        <v>6231</v>
      </c>
      <c r="F1144" s="3" t="s">
        <v>29</v>
      </c>
      <c r="G1144" s="9" t="s">
        <v>4918</v>
      </c>
      <c r="H1144" s="9" t="s">
        <v>4919</v>
      </c>
      <c r="I1144" s="3"/>
      <c r="J1144" s="3"/>
      <c r="K1144" s="9"/>
    </row>
    <row r="1145" ht="15.75" customHeight="1">
      <c r="A1145" s="10" t="s">
        <v>12</v>
      </c>
      <c r="B1145" s="10" t="s">
        <v>359</v>
      </c>
      <c r="C1145" s="10" t="s">
        <v>6235</v>
      </c>
      <c r="D1145" s="11" t="str">
        <f t="shared" si="1"/>
        <v>Abrir anúncio ↗</v>
      </c>
      <c r="E1145" s="12" t="s">
        <v>6237</v>
      </c>
      <c r="F1145" s="10" t="s">
        <v>29</v>
      </c>
      <c r="G1145" s="12" t="s">
        <v>4918</v>
      </c>
      <c r="H1145" s="12" t="s">
        <v>4919</v>
      </c>
      <c r="I1145" s="10"/>
      <c r="J1145" s="10"/>
      <c r="K1145" s="12"/>
    </row>
    <row r="1146" ht="15.75" customHeight="1">
      <c r="A1146" s="3" t="s">
        <v>12</v>
      </c>
      <c r="B1146" s="3" t="s">
        <v>359</v>
      </c>
      <c r="C1146" s="3" t="s">
        <v>6241</v>
      </c>
      <c r="D1146" s="8" t="str">
        <f t="shared" si="1"/>
        <v>Abrir anúncio ↗</v>
      </c>
      <c r="E1146" s="9" t="s">
        <v>6242</v>
      </c>
      <c r="F1146" s="3" t="s">
        <v>29</v>
      </c>
      <c r="G1146" s="9" t="s">
        <v>4918</v>
      </c>
      <c r="H1146" s="9" t="s">
        <v>4919</v>
      </c>
      <c r="I1146" s="3"/>
      <c r="J1146" s="3"/>
      <c r="K1146" s="9"/>
    </row>
    <row r="1147" ht="15.75" customHeight="1">
      <c r="A1147" s="10" t="s">
        <v>12</v>
      </c>
      <c r="B1147" s="10" t="s">
        <v>359</v>
      </c>
      <c r="C1147" s="10" t="s">
        <v>6244</v>
      </c>
      <c r="D1147" s="11" t="str">
        <f t="shared" si="1"/>
        <v>Abrir anúncio ↗</v>
      </c>
      <c r="E1147" s="12" t="s">
        <v>6246</v>
      </c>
      <c r="F1147" s="10" t="s">
        <v>29</v>
      </c>
      <c r="G1147" s="12" t="s">
        <v>4918</v>
      </c>
      <c r="H1147" s="12" t="s">
        <v>4919</v>
      </c>
      <c r="I1147" s="10"/>
      <c r="J1147" s="10"/>
      <c r="K1147" s="12"/>
    </row>
    <row r="1148" ht="15.75" customHeight="1">
      <c r="A1148" s="3" t="s">
        <v>12</v>
      </c>
      <c r="B1148" s="3" t="s">
        <v>359</v>
      </c>
      <c r="C1148" s="3" t="s">
        <v>6248</v>
      </c>
      <c r="D1148" s="8" t="str">
        <f t="shared" si="1"/>
        <v>Abrir anúncio ↗</v>
      </c>
      <c r="E1148" s="9" t="s">
        <v>6249</v>
      </c>
      <c r="F1148" s="3" t="s">
        <v>29</v>
      </c>
      <c r="G1148" s="9" t="s">
        <v>4918</v>
      </c>
      <c r="H1148" s="9" t="s">
        <v>4919</v>
      </c>
      <c r="I1148" s="3"/>
      <c r="J1148" s="3"/>
      <c r="K1148" s="9"/>
    </row>
    <row r="1149" ht="15.75" customHeight="1">
      <c r="A1149" s="10" t="s">
        <v>12</v>
      </c>
      <c r="B1149" s="10" t="s">
        <v>359</v>
      </c>
      <c r="C1149" s="10" t="s">
        <v>6252</v>
      </c>
      <c r="D1149" s="11" t="str">
        <f t="shared" si="1"/>
        <v>Abrir anúncio ↗</v>
      </c>
      <c r="E1149" s="12" t="s">
        <v>6254</v>
      </c>
      <c r="F1149" s="10" t="s">
        <v>29</v>
      </c>
      <c r="G1149" s="12" t="s">
        <v>4918</v>
      </c>
      <c r="H1149" s="12" t="s">
        <v>4919</v>
      </c>
      <c r="I1149" s="10"/>
      <c r="J1149" s="10"/>
      <c r="K1149" s="12"/>
    </row>
    <row r="1150" ht="15.75" customHeight="1">
      <c r="A1150" s="3" t="s">
        <v>12</v>
      </c>
      <c r="B1150" s="3" t="s">
        <v>359</v>
      </c>
      <c r="C1150" s="3" t="s">
        <v>6258</v>
      </c>
      <c r="D1150" s="8" t="str">
        <f t="shared" si="1"/>
        <v>Abrir anúncio ↗</v>
      </c>
      <c r="E1150" s="9" t="s">
        <v>6259</v>
      </c>
      <c r="F1150" s="3" t="s">
        <v>29</v>
      </c>
      <c r="G1150" s="9" t="s">
        <v>4918</v>
      </c>
      <c r="H1150" s="9" t="s">
        <v>4919</v>
      </c>
      <c r="I1150" s="3"/>
      <c r="J1150" s="3"/>
      <c r="K1150" s="9"/>
    </row>
    <row r="1151" ht="15.75" customHeight="1">
      <c r="A1151" s="10" t="s">
        <v>12</v>
      </c>
      <c r="B1151" s="10" t="s">
        <v>359</v>
      </c>
      <c r="C1151" s="10" t="s">
        <v>6263</v>
      </c>
      <c r="D1151" s="11" t="str">
        <f t="shared" si="1"/>
        <v>Abrir anúncio ↗</v>
      </c>
      <c r="E1151" s="12" t="s">
        <v>6264</v>
      </c>
      <c r="F1151" s="10" t="s">
        <v>29</v>
      </c>
      <c r="G1151" s="12" t="s">
        <v>4918</v>
      </c>
      <c r="H1151" s="12" t="s">
        <v>4919</v>
      </c>
      <c r="I1151" s="10"/>
      <c r="J1151" s="10"/>
      <c r="K1151" s="12"/>
    </row>
    <row r="1152" ht="15.75" customHeight="1">
      <c r="A1152" s="3" t="s">
        <v>12</v>
      </c>
      <c r="B1152" s="3" t="s">
        <v>359</v>
      </c>
      <c r="C1152" s="3" t="s">
        <v>6267</v>
      </c>
      <c r="D1152" s="8" t="str">
        <f t="shared" si="1"/>
        <v>Abrir anúncio ↗</v>
      </c>
      <c r="E1152" s="9" t="s">
        <v>6268</v>
      </c>
      <c r="F1152" s="3" t="s">
        <v>29</v>
      </c>
      <c r="G1152" s="9" t="s">
        <v>4918</v>
      </c>
      <c r="H1152" s="9" t="s">
        <v>4919</v>
      </c>
      <c r="I1152" s="3"/>
      <c r="J1152" s="3"/>
      <c r="K1152" s="9"/>
    </row>
    <row r="1153" ht="15.75" customHeight="1">
      <c r="A1153" s="10" t="s">
        <v>12</v>
      </c>
      <c r="B1153" s="10" t="s">
        <v>359</v>
      </c>
      <c r="C1153" s="10" t="s">
        <v>6270</v>
      </c>
      <c r="D1153" s="11" t="str">
        <f t="shared" si="1"/>
        <v>Abrir anúncio ↗</v>
      </c>
      <c r="E1153" s="12" t="s">
        <v>6271</v>
      </c>
      <c r="F1153" s="10" t="s">
        <v>29</v>
      </c>
      <c r="G1153" s="12" t="s">
        <v>4918</v>
      </c>
      <c r="H1153" s="12" t="s">
        <v>4919</v>
      </c>
      <c r="I1153" s="10"/>
      <c r="J1153" s="10"/>
      <c r="K1153" s="12"/>
    </row>
    <row r="1154" ht="15.75" customHeight="1">
      <c r="A1154" s="3" t="s">
        <v>12</v>
      </c>
      <c r="B1154" s="3" t="s">
        <v>359</v>
      </c>
      <c r="C1154" s="3" t="s">
        <v>6276</v>
      </c>
      <c r="D1154" s="8" t="str">
        <f t="shared" si="1"/>
        <v>Abrir anúncio ↗</v>
      </c>
      <c r="E1154" s="9" t="s">
        <v>6277</v>
      </c>
      <c r="F1154" s="3" t="s">
        <v>29</v>
      </c>
      <c r="G1154" s="9" t="s">
        <v>4918</v>
      </c>
      <c r="H1154" s="9" t="s">
        <v>4919</v>
      </c>
      <c r="I1154" s="3"/>
      <c r="J1154" s="3"/>
      <c r="K1154" s="9"/>
    </row>
    <row r="1155" ht="15.75" customHeight="1">
      <c r="A1155" s="10" t="s">
        <v>12</v>
      </c>
      <c r="B1155" s="10" t="s">
        <v>359</v>
      </c>
      <c r="C1155" s="10" t="s">
        <v>6279</v>
      </c>
      <c r="D1155" s="11" t="str">
        <f t="shared" si="1"/>
        <v>Abrir anúncio ↗</v>
      </c>
      <c r="E1155" s="12" t="s">
        <v>6281</v>
      </c>
      <c r="F1155" s="10" t="s">
        <v>29</v>
      </c>
      <c r="G1155" s="12" t="s">
        <v>4918</v>
      </c>
      <c r="H1155" s="12" t="s">
        <v>4919</v>
      </c>
      <c r="I1155" s="10"/>
      <c r="J1155" s="10"/>
      <c r="K1155" s="12"/>
    </row>
    <row r="1156" ht="15.75" customHeight="1">
      <c r="A1156" s="3" t="s">
        <v>12</v>
      </c>
      <c r="B1156" s="3" t="s">
        <v>359</v>
      </c>
      <c r="C1156" s="3" t="s">
        <v>6283</v>
      </c>
      <c r="D1156" s="8" t="str">
        <f t="shared" si="1"/>
        <v>Abrir anúncio ↗</v>
      </c>
      <c r="E1156" s="9" t="s">
        <v>911</v>
      </c>
      <c r="F1156" s="3" t="s">
        <v>29</v>
      </c>
      <c r="G1156" s="9" t="s">
        <v>4918</v>
      </c>
      <c r="H1156" s="9" t="s">
        <v>4919</v>
      </c>
      <c r="I1156" s="3"/>
      <c r="J1156" s="3"/>
      <c r="K1156" s="9"/>
    </row>
    <row r="1157" ht="15.75" customHeight="1">
      <c r="A1157" s="10" t="s">
        <v>12</v>
      </c>
      <c r="B1157" s="10" t="s">
        <v>359</v>
      </c>
      <c r="C1157" s="10" t="s">
        <v>6286</v>
      </c>
      <c r="D1157" s="11" t="str">
        <f t="shared" si="1"/>
        <v>Abrir anúncio ↗</v>
      </c>
      <c r="E1157" s="12" t="s">
        <v>6287</v>
      </c>
      <c r="F1157" s="10" t="s">
        <v>29</v>
      </c>
      <c r="G1157" s="12" t="s">
        <v>4918</v>
      </c>
      <c r="H1157" s="12" t="s">
        <v>4919</v>
      </c>
      <c r="I1157" s="10"/>
      <c r="J1157" s="10"/>
      <c r="K1157" s="12"/>
    </row>
    <row r="1158" ht="15.75" customHeight="1">
      <c r="A1158" s="3" t="s">
        <v>12</v>
      </c>
      <c r="B1158" s="3" t="s">
        <v>359</v>
      </c>
      <c r="C1158" s="3" t="s">
        <v>6288</v>
      </c>
      <c r="D1158" s="8" t="str">
        <f t="shared" si="1"/>
        <v>Abrir anúncio ↗</v>
      </c>
      <c r="E1158" s="9" t="s">
        <v>6290</v>
      </c>
      <c r="F1158" s="3" t="s">
        <v>29</v>
      </c>
      <c r="G1158" s="9" t="s">
        <v>4918</v>
      </c>
      <c r="H1158" s="9" t="s">
        <v>4919</v>
      </c>
      <c r="I1158" s="3"/>
      <c r="J1158" s="3"/>
      <c r="K1158" s="9"/>
    </row>
    <row r="1159" ht="15.75" customHeight="1">
      <c r="A1159" s="10" t="s">
        <v>12</v>
      </c>
      <c r="B1159" s="10" t="s">
        <v>359</v>
      </c>
      <c r="C1159" s="10" t="s">
        <v>6293</v>
      </c>
      <c r="D1159" s="11" t="str">
        <f t="shared" si="1"/>
        <v>Abrir anúncio ↗</v>
      </c>
      <c r="E1159" s="12" t="s">
        <v>3146</v>
      </c>
      <c r="F1159" s="10" t="s">
        <v>29</v>
      </c>
      <c r="G1159" s="12" t="s">
        <v>4918</v>
      </c>
      <c r="H1159" s="12" t="s">
        <v>4919</v>
      </c>
      <c r="I1159" s="10"/>
      <c r="J1159" s="10"/>
      <c r="K1159" s="12"/>
    </row>
    <row r="1160" ht="15.75" customHeight="1">
      <c r="A1160" s="3" t="s">
        <v>12</v>
      </c>
      <c r="B1160" s="3" t="s">
        <v>359</v>
      </c>
      <c r="C1160" s="3" t="s">
        <v>6295</v>
      </c>
      <c r="D1160" s="8" t="str">
        <f t="shared" si="1"/>
        <v>Abrir anúncio ↗</v>
      </c>
      <c r="E1160" s="9" t="s">
        <v>6297</v>
      </c>
      <c r="F1160" s="3" t="s">
        <v>29</v>
      </c>
      <c r="G1160" s="9" t="s">
        <v>4918</v>
      </c>
      <c r="H1160" s="9" t="s">
        <v>4919</v>
      </c>
      <c r="I1160" s="3"/>
      <c r="J1160" s="3"/>
      <c r="K1160" s="9"/>
    </row>
    <row r="1161" ht="15.75" customHeight="1">
      <c r="A1161" s="10" t="s">
        <v>12</v>
      </c>
      <c r="B1161" s="10" t="s">
        <v>359</v>
      </c>
      <c r="C1161" s="10" t="s">
        <v>6301</v>
      </c>
      <c r="D1161" s="11" t="str">
        <f t="shared" si="1"/>
        <v>Abrir anúncio ↗</v>
      </c>
      <c r="E1161" s="12" t="s">
        <v>6302</v>
      </c>
      <c r="F1161" s="10" t="s">
        <v>29</v>
      </c>
      <c r="G1161" s="12" t="s">
        <v>4918</v>
      </c>
      <c r="H1161" s="12" t="s">
        <v>4919</v>
      </c>
      <c r="I1161" s="10"/>
      <c r="J1161" s="10"/>
      <c r="K1161" s="12"/>
    </row>
    <row r="1162" ht="15.75" customHeight="1">
      <c r="A1162" s="3" t="s">
        <v>12</v>
      </c>
      <c r="B1162" s="3" t="s">
        <v>359</v>
      </c>
      <c r="C1162" s="3" t="s">
        <v>6303</v>
      </c>
      <c r="D1162" s="8" t="str">
        <f t="shared" si="1"/>
        <v>Abrir anúncio ↗</v>
      </c>
      <c r="E1162" s="9" t="s">
        <v>1971</v>
      </c>
      <c r="F1162" s="3" t="s">
        <v>29</v>
      </c>
      <c r="G1162" s="9" t="s">
        <v>4918</v>
      </c>
      <c r="H1162" s="9" t="s">
        <v>4919</v>
      </c>
      <c r="I1162" s="3"/>
      <c r="J1162" s="3"/>
      <c r="K1162" s="9"/>
    </row>
    <row r="1163" ht="15.75" customHeight="1">
      <c r="A1163" s="10" t="s">
        <v>12</v>
      </c>
      <c r="B1163" s="10" t="s">
        <v>359</v>
      </c>
      <c r="C1163" s="10" t="s">
        <v>6307</v>
      </c>
      <c r="D1163" s="11" t="str">
        <f t="shared" si="1"/>
        <v>Abrir anúncio ↗</v>
      </c>
      <c r="E1163" s="12" t="s">
        <v>6308</v>
      </c>
      <c r="F1163" s="10" t="s">
        <v>86</v>
      </c>
      <c r="G1163" s="12" t="s">
        <v>4918</v>
      </c>
      <c r="H1163" s="12" t="s">
        <v>4919</v>
      </c>
      <c r="I1163" s="10"/>
      <c r="J1163" s="10"/>
      <c r="K1163" s="12"/>
    </row>
    <row r="1164" ht="15.75" customHeight="1">
      <c r="A1164" s="3" t="s">
        <v>12</v>
      </c>
      <c r="B1164" s="3" t="s">
        <v>359</v>
      </c>
      <c r="C1164" s="3" t="s">
        <v>6310</v>
      </c>
      <c r="D1164" s="8" t="str">
        <f t="shared" si="1"/>
        <v>Abrir anúncio ↗</v>
      </c>
      <c r="E1164" s="9" t="s">
        <v>6311</v>
      </c>
      <c r="F1164" s="3" t="s">
        <v>29</v>
      </c>
      <c r="G1164" s="9" t="s">
        <v>4918</v>
      </c>
      <c r="H1164" s="9" t="s">
        <v>4919</v>
      </c>
      <c r="I1164" s="3"/>
      <c r="J1164" s="3"/>
      <c r="K1164" s="9"/>
    </row>
    <row r="1165" ht="15.75" customHeight="1">
      <c r="A1165" s="10" t="s">
        <v>12</v>
      </c>
      <c r="B1165" s="10" t="s">
        <v>359</v>
      </c>
      <c r="C1165" s="10" t="s">
        <v>6314</v>
      </c>
      <c r="D1165" s="11" t="str">
        <f t="shared" si="1"/>
        <v>Abrir anúncio ↗</v>
      </c>
      <c r="E1165" s="12" t="s">
        <v>6316</v>
      </c>
      <c r="F1165" s="10" t="s">
        <v>29</v>
      </c>
      <c r="G1165" s="12" t="s">
        <v>4918</v>
      </c>
      <c r="H1165" s="12" t="s">
        <v>4919</v>
      </c>
      <c r="I1165" s="10"/>
      <c r="J1165" s="10"/>
      <c r="K1165" s="12"/>
    </row>
    <row r="1166" ht="15.75" customHeight="1">
      <c r="A1166" s="3" t="s">
        <v>12</v>
      </c>
      <c r="B1166" s="3" t="s">
        <v>359</v>
      </c>
      <c r="C1166" s="3" t="s">
        <v>6317</v>
      </c>
      <c r="D1166" s="8" t="str">
        <f t="shared" si="1"/>
        <v>Abrir anúncio ↗</v>
      </c>
      <c r="E1166" s="9" t="s">
        <v>6318</v>
      </c>
      <c r="F1166" s="3" t="s">
        <v>29</v>
      </c>
      <c r="G1166" s="9" t="s">
        <v>4918</v>
      </c>
      <c r="H1166" s="9" t="s">
        <v>4919</v>
      </c>
      <c r="I1166" s="3"/>
      <c r="J1166" s="3"/>
      <c r="K1166" s="9"/>
    </row>
    <row r="1167" ht="15.75" customHeight="1">
      <c r="A1167" s="10" t="s">
        <v>12</v>
      </c>
      <c r="B1167" s="10" t="s">
        <v>359</v>
      </c>
      <c r="C1167" s="10" t="s">
        <v>6321</v>
      </c>
      <c r="D1167" s="11" t="str">
        <f t="shared" si="1"/>
        <v>Abrir anúncio ↗</v>
      </c>
      <c r="E1167" s="12" t="s">
        <v>6322</v>
      </c>
      <c r="F1167" s="10" t="s">
        <v>29</v>
      </c>
      <c r="G1167" s="12" t="s">
        <v>4918</v>
      </c>
      <c r="H1167" s="12" t="s">
        <v>4919</v>
      </c>
      <c r="I1167" s="10"/>
      <c r="J1167" s="10"/>
      <c r="K1167" s="12"/>
    </row>
    <row r="1168" ht="15.75" customHeight="1">
      <c r="A1168" s="3" t="s">
        <v>12</v>
      </c>
      <c r="B1168" s="3" t="s">
        <v>359</v>
      </c>
      <c r="C1168" s="3" t="s">
        <v>6324</v>
      </c>
      <c r="D1168" s="8" t="str">
        <f t="shared" si="1"/>
        <v>Abrir anúncio ↗</v>
      </c>
      <c r="E1168" s="9" t="s">
        <v>6326</v>
      </c>
      <c r="F1168" s="3" t="s">
        <v>29</v>
      </c>
      <c r="G1168" s="9" t="s">
        <v>4918</v>
      </c>
      <c r="H1168" s="9" t="s">
        <v>4919</v>
      </c>
      <c r="I1168" s="3"/>
      <c r="J1168" s="3"/>
      <c r="K1168" s="9"/>
    </row>
    <row r="1169" ht="15.75" customHeight="1">
      <c r="A1169" s="10" t="s">
        <v>12</v>
      </c>
      <c r="B1169" s="10" t="s">
        <v>359</v>
      </c>
      <c r="C1169" s="10" t="s">
        <v>6327</v>
      </c>
      <c r="D1169" s="11" t="str">
        <f t="shared" si="1"/>
        <v>Abrir anúncio ↗</v>
      </c>
      <c r="E1169" s="12" t="s">
        <v>6328</v>
      </c>
      <c r="F1169" s="10" t="s">
        <v>29</v>
      </c>
      <c r="G1169" s="12" t="s">
        <v>4918</v>
      </c>
      <c r="H1169" s="12" t="s">
        <v>4919</v>
      </c>
      <c r="I1169" s="10"/>
      <c r="J1169" s="10"/>
      <c r="K1169" s="12"/>
    </row>
    <row r="1170" ht="15.75" customHeight="1">
      <c r="A1170" s="3" t="s">
        <v>12</v>
      </c>
      <c r="B1170" s="3" t="s">
        <v>359</v>
      </c>
      <c r="C1170" s="3" t="s">
        <v>6332</v>
      </c>
      <c r="D1170" s="8" t="str">
        <f t="shared" si="1"/>
        <v>Abrir anúncio ↗</v>
      </c>
      <c r="E1170" s="9" t="s">
        <v>6333</v>
      </c>
      <c r="F1170" s="3" t="s">
        <v>29</v>
      </c>
      <c r="G1170" s="9" t="s">
        <v>4918</v>
      </c>
      <c r="H1170" s="9" t="s">
        <v>4919</v>
      </c>
      <c r="I1170" s="3"/>
      <c r="J1170" s="3"/>
      <c r="K1170" s="9"/>
    </row>
    <row r="1171" ht="15.75" customHeight="1">
      <c r="A1171" s="10" t="s">
        <v>12</v>
      </c>
      <c r="B1171" s="10" t="s">
        <v>359</v>
      </c>
      <c r="C1171" s="10" t="s">
        <v>6335</v>
      </c>
      <c r="D1171" s="11" t="str">
        <f t="shared" si="1"/>
        <v>Abrir anúncio ↗</v>
      </c>
      <c r="E1171" s="12" t="s">
        <v>6337</v>
      </c>
      <c r="F1171" s="10" t="s">
        <v>29</v>
      </c>
      <c r="G1171" s="12" t="s">
        <v>4918</v>
      </c>
      <c r="H1171" s="12" t="s">
        <v>4919</v>
      </c>
      <c r="I1171" s="10"/>
      <c r="J1171" s="10"/>
      <c r="K1171" s="12"/>
    </row>
    <row r="1172" ht="15.75" customHeight="1">
      <c r="A1172" s="3" t="s">
        <v>12</v>
      </c>
      <c r="B1172" s="3" t="s">
        <v>359</v>
      </c>
      <c r="C1172" s="3" t="s">
        <v>6339</v>
      </c>
      <c r="D1172" s="8" t="str">
        <f t="shared" si="1"/>
        <v>Abrir anúncio ↗</v>
      </c>
      <c r="E1172" s="9" t="s">
        <v>6341</v>
      </c>
      <c r="F1172" s="3" t="s">
        <v>29</v>
      </c>
      <c r="G1172" s="9" t="s">
        <v>4918</v>
      </c>
      <c r="H1172" s="9" t="s">
        <v>4919</v>
      </c>
      <c r="I1172" s="3"/>
      <c r="J1172" s="3"/>
      <c r="K1172" s="9"/>
    </row>
    <row r="1173" ht="15.75" customHeight="1">
      <c r="A1173" s="10" t="s">
        <v>12</v>
      </c>
      <c r="B1173" s="10" t="s">
        <v>359</v>
      </c>
      <c r="C1173" s="10" t="s">
        <v>6343</v>
      </c>
      <c r="D1173" s="11" t="str">
        <f t="shared" si="1"/>
        <v>Abrir anúncio ↗</v>
      </c>
      <c r="E1173" s="12" t="s">
        <v>6344</v>
      </c>
      <c r="F1173" s="10" t="s">
        <v>29</v>
      </c>
      <c r="G1173" s="12" t="s">
        <v>4918</v>
      </c>
      <c r="H1173" s="12" t="s">
        <v>4919</v>
      </c>
      <c r="I1173" s="10"/>
      <c r="J1173" s="10"/>
      <c r="K1173" s="12"/>
    </row>
    <row r="1174" ht="15.75" customHeight="1">
      <c r="A1174" s="3" t="s">
        <v>12</v>
      </c>
      <c r="B1174" s="3" t="s">
        <v>359</v>
      </c>
      <c r="C1174" s="3" t="s">
        <v>6346</v>
      </c>
      <c r="D1174" s="8" t="str">
        <f t="shared" si="1"/>
        <v>Abrir anúncio ↗</v>
      </c>
      <c r="E1174" s="9" t="s">
        <v>6347</v>
      </c>
      <c r="F1174" s="3" t="s">
        <v>29</v>
      </c>
      <c r="G1174" s="9" t="s">
        <v>4918</v>
      </c>
      <c r="H1174" s="9" t="s">
        <v>4919</v>
      </c>
      <c r="I1174" s="3"/>
      <c r="J1174" s="3"/>
      <c r="K1174" s="9"/>
    </row>
    <row r="1175" ht="15.75" customHeight="1">
      <c r="A1175" s="10" t="s">
        <v>12</v>
      </c>
      <c r="B1175" s="10" t="s">
        <v>359</v>
      </c>
      <c r="C1175" s="10" t="s">
        <v>6350</v>
      </c>
      <c r="D1175" s="11" t="str">
        <f t="shared" si="1"/>
        <v>Abrir anúncio ↗</v>
      </c>
      <c r="E1175" s="12" t="s">
        <v>6351</v>
      </c>
      <c r="F1175" s="10" t="s">
        <v>29</v>
      </c>
      <c r="G1175" s="12" t="s">
        <v>4918</v>
      </c>
      <c r="H1175" s="12" t="s">
        <v>4919</v>
      </c>
      <c r="I1175" s="10"/>
      <c r="J1175" s="10"/>
      <c r="K1175" s="12"/>
    </row>
    <row r="1176" ht="15.75" customHeight="1">
      <c r="A1176" s="3" t="s">
        <v>12</v>
      </c>
      <c r="B1176" s="3" t="s">
        <v>359</v>
      </c>
      <c r="C1176" s="3" t="s">
        <v>6352</v>
      </c>
      <c r="D1176" s="8" t="str">
        <f t="shared" si="1"/>
        <v>Abrir anúncio ↗</v>
      </c>
      <c r="E1176" s="9" t="s">
        <v>6354</v>
      </c>
      <c r="F1176" s="3" t="s">
        <v>29</v>
      </c>
      <c r="G1176" s="9" t="s">
        <v>4918</v>
      </c>
      <c r="H1176" s="9" t="s">
        <v>4919</v>
      </c>
      <c r="I1176" s="3"/>
      <c r="J1176" s="3"/>
      <c r="K1176" s="9"/>
    </row>
    <row r="1177" ht="15.75" customHeight="1">
      <c r="A1177" s="10" t="s">
        <v>12</v>
      </c>
      <c r="B1177" s="10" t="s">
        <v>359</v>
      </c>
      <c r="C1177" s="10" t="s">
        <v>6357</v>
      </c>
      <c r="D1177" s="11" t="str">
        <f t="shared" si="1"/>
        <v>Abrir anúncio ↗</v>
      </c>
      <c r="E1177" s="12" t="s">
        <v>6358</v>
      </c>
      <c r="F1177" s="10" t="s">
        <v>29</v>
      </c>
      <c r="G1177" s="12" t="s">
        <v>4918</v>
      </c>
      <c r="H1177" s="12" t="s">
        <v>4919</v>
      </c>
      <c r="I1177" s="10"/>
      <c r="J1177" s="10"/>
      <c r="K1177" s="12"/>
    </row>
    <row r="1178" ht="15.75" customHeight="1">
      <c r="A1178" s="3" t="s">
        <v>12</v>
      </c>
      <c r="B1178" s="3" t="s">
        <v>359</v>
      </c>
      <c r="C1178" s="3" t="s">
        <v>6359</v>
      </c>
      <c r="D1178" s="8" t="str">
        <f t="shared" si="1"/>
        <v>Abrir anúncio ↗</v>
      </c>
      <c r="E1178" s="9" t="s">
        <v>6362</v>
      </c>
      <c r="F1178" s="3" t="s">
        <v>29</v>
      </c>
      <c r="G1178" s="9" t="s">
        <v>4918</v>
      </c>
      <c r="H1178" s="9" t="s">
        <v>4919</v>
      </c>
      <c r="I1178" s="3"/>
      <c r="J1178" s="3"/>
      <c r="K1178" s="9"/>
    </row>
    <row r="1179" ht="15.75" customHeight="1">
      <c r="A1179" s="10" t="s">
        <v>12</v>
      </c>
      <c r="B1179" s="10" t="s">
        <v>359</v>
      </c>
      <c r="C1179" s="10" t="s">
        <v>6364</v>
      </c>
      <c r="D1179" s="11" t="str">
        <f t="shared" si="1"/>
        <v>Abrir anúncio ↗</v>
      </c>
      <c r="E1179" s="12" t="s">
        <v>6365</v>
      </c>
      <c r="F1179" s="10" t="s">
        <v>29</v>
      </c>
      <c r="G1179" s="12" t="s">
        <v>4918</v>
      </c>
      <c r="H1179" s="12" t="s">
        <v>4919</v>
      </c>
      <c r="I1179" s="10"/>
      <c r="J1179" s="10"/>
      <c r="K1179" s="12"/>
    </row>
    <row r="1180" ht="15.75" customHeight="1">
      <c r="A1180" s="3" t="s">
        <v>12</v>
      </c>
      <c r="B1180" s="3" t="s">
        <v>359</v>
      </c>
      <c r="C1180" s="3" t="s">
        <v>6366</v>
      </c>
      <c r="D1180" s="8" t="str">
        <f t="shared" si="1"/>
        <v>Abrir anúncio ↗</v>
      </c>
      <c r="E1180" s="9" t="s">
        <v>6368</v>
      </c>
      <c r="F1180" s="3" t="s">
        <v>29</v>
      </c>
      <c r="G1180" s="9" t="s">
        <v>4918</v>
      </c>
      <c r="H1180" s="9" t="s">
        <v>4919</v>
      </c>
      <c r="I1180" s="3"/>
      <c r="J1180" s="3"/>
      <c r="K1180" s="9"/>
    </row>
    <row r="1181" ht="15.75" customHeight="1">
      <c r="A1181" s="10" t="s">
        <v>12</v>
      </c>
      <c r="B1181" s="10" t="s">
        <v>359</v>
      </c>
      <c r="C1181" s="10" t="s">
        <v>6370</v>
      </c>
      <c r="D1181" s="11" t="str">
        <f t="shared" si="1"/>
        <v>Abrir anúncio ↗</v>
      </c>
      <c r="E1181" s="12" t="s">
        <v>6373</v>
      </c>
      <c r="F1181" s="10" t="s">
        <v>29</v>
      </c>
      <c r="G1181" s="12" t="s">
        <v>4918</v>
      </c>
      <c r="H1181" s="12" t="s">
        <v>4919</v>
      </c>
      <c r="I1181" s="10"/>
      <c r="J1181" s="10"/>
      <c r="K1181" s="12"/>
    </row>
    <row r="1182" ht="15.75" customHeight="1">
      <c r="A1182" s="3" t="s">
        <v>12</v>
      </c>
      <c r="B1182" s="3" t="s">
        <v>359</v>
      </c>
      <c r="C1182" s="3" t="s">
        <v>6374</v>
      </c>
      <c r="D1182" s="8" t="str">
        <f t="shared" si="1"/>
        <v>Abrir anúncio ↗</v>
      </c>
      <c r="E1182" s="9" t="s">
        <v>6376</v>
      </c>
      <c r="F1182" s="3" t="s">
        <v>29</v>
      </c>
      <c r="G1182" s="9" t="s">
        <v>4918</v>
      </c>
      <c r="H1182" s="9" t="s">
        <v>4919</v>
      </c>
      <c r="I1182" s="3"/>
      <c r="J1182" s="3"/>
      <c r="K1182" s="9"/>
    </row>
    <row r="1183" ht="15.75" customHeight="1">
      <c r="A1183" s="10" t="s">
        <v>12</v>
      </c>
      <c r="B1183" s="10" t="s">
        <v>359</v>
      </c>
      <c r="C1183" s="10" t="s">
        <v>6378</v>
      </c>
      <c r="D1183" s="11" t="str">
        <f t="shared" si="1"/>
        <v>Abrir anúncio ↗</v>
      </c>
      <c r="E1183" s="12" t="s">
        <v>6379</v>
      </c>
      <c r="F1183" s="10" t="s">
        <v>29</v>
      </c>
      <c r="G1183" s="12" t="s">
        <v>4918</v>
      </c>
      <c r="H1183" s="12" t="s">
        <v>4919</v>
      </c>
      <c r="I1183" s="10"/>
      <c r="J1183" s="10"/>
      <c r="K1183" s="12"/>
    </row>
    <row r="1184" ht="15.75" customHeight="1">
      <c r="A1184" s="3" t="s">
        <v>12</v>
      </c>
      <c r="B1184" s="3" t="s">
        <v>359</v>
      </c>
      <c r="C1184" s="3" t="s">
        <v>6380</v>
      </c>
      <c r="D1184" s="8" t="str">
        <f t="shared" si="1"/>
        <v>Abrir anúncio ↗</v>
      </c>
      <c r="E1184" s="9" t="s">
        <v>6382</v>
      </c>
      <c r="F1184" s="3" t="s">
        <v>29</v>
      </c>
      <c r="G1184" s="9" t="s">
        <v>4918</v>
      </c>
      <c r="H1184" s="9" t="s">
        <v>4919</v>
      </c>
      <c r="I1184" s="3"/>
      <c r="J1184" s="3"/>
      <c r="K1184" s="9"/>
    </row>
    <row r="1185" ht="15.75" customHeight="1">
      <c r="A1185" s="10" t="s">
        <v>12</v>
      </c>
      <c r="B1185" s="10" t="s">
        <v>359</v>
      </c>
      <c r="C1185" s="10" t="s">
        <v>6384</v>
      </c>
      <c r="D1185" s="11" t="str">
        <f t="shared" si="1"/>
        <v>Abrir anúncio ↗</v>
      </c>
      <c r="E1185" s="12" t="s">
        <v>6385</v>
      </c>
      <c r="F1185" s="10" t="s">
        <v>29</v>
      </c>
      <c r="G1185" s="12" t="s">
        <v>4918</v>
      </c>
      <c r="H1185" s="12" t="s">
        <v>4919</v>
      </c>
      <c r="I1185" s="10"/>
      <c r="J1185" s="10"/>
      <c r="K1185" s="12"/>
    </row>
    <row r="1186" ht="15.75" customHeight="1">
      <c r="A1186" s="3" t="s">
        <v>12</v>
      </c>
      <c r="B1186" s="3" t="s">
        <v>359</v>
      </c>
      <c r="C1186" s="3" t="s">
        <v>6386</v>
      </c>
      <c r="D1186" s="8" t="str">
        <f t="shared" si="1"/>
        <v>Abrir anúncio ↗</v>
      </c>
      <c r="E1186" s="9" t="s">
        <v>6388</v>
      </c>
      <c r="F1186" s="3" t="s">
        <v>29</v>
      </c>
      <c r="G1186" s="9" t="s">
        <v>4918</v>
      </c>
      <c r="H1186" s="9" t="s">
        <v>4919</v>
      </c>
      <c r="I1186" s="3"/>
      <c r="J1186" s="3"/>
      <c r="K1186" s="9"/>
    </row>
    <row r="1187" ht="15.75" customHeight="1">
      <c r="A1187" s="10" t="s">
        <v>12</v>
      </c>
      <c r="B1187" s="10" t="s">
        <v>359</v>
      </c>
      <c r="C1187" s="10" t="s">
        <v>6390</v>
      </c>
      <c r="D1187" s="11" t="str">
        <f t="shared" si="1"/>
        <v>Abrir anúncio ↗</v>
      </c>
      <c r="E1187" s="12" t="s">
        <v>6391</v>
      </c>
      <c r="F1187" s="10" t="s">
        <v>29</v>
      </c>
      <c r="G1187" s="12" t="s">
        <v>4918</v>
      </c>
      <c r="H1187" s="12" t="s">
        <v>4919</v>
      </c>
      <c r="I1187" s="10"/>
      <c r="J1187" s="10"/>
      <c r="K1187" s="12"/>
    </row>
    <row r="1188" ht="15.75" customHeight="1">
      <c r="A1188" s="3" t="s">
        <v>12</v>
      </c>
      <c r="B1188" s="3" t="s">
        <v>359</v>
      </c>
      <c r="C1188" s="3" t="s">
        <v>6392</v>
      </c>
      <c r="D1188" s="8" t="str">
        <f t="shared" si="1"/>
        <v>Abrir anúncio ↗</v>
      </c>
      <c r="E1188" s="9" t="s">
        <v>6393</v>
      </c>
      <c r="F1188" s="3" t="s">
        <v>29</v>
      </c>
      <c r="G1188" s="9" t="s">
        <v>4918</v>
      </c>
      <c r="H1188" s="9" t="s">
        <v>4919</v>
      </c>
      <c r="I1188" s="3"/>
      <c r="J1188" s="3"/>
      <c r="K1188" s="9"/>
    </row>
    <row r="1189" ht="15.75" customHeight="1">
      <c r="A1189" s="10" t="s">
        <v>12</v>
      </c>
      <c r="B1189" s="10" t="s">
        <v>359</v>
      </c>
      <c r="C1189" s="10" t="s">
        <v>6396</v>
      </c>
      <c r="D1189" s="11" t="str">
        <f t="shared" si="1"/>
        <v>Abrir anúncio ↗</v>
      </c>
      <c r="E1189" s="12" t="s">
        <v>6397</v>
      </c>
      <c r="F1189" s="10" t="s">
        <v>86</v>
      </c>
      <c r="G1189" s="12" t="s">
        <v>4918</v>
      </c>
      <c r="H1189" s="12" t="s">
        <v>4919</v>
      </c>
      <c r="I1189" s="10"/>
      <c r="J1189" s="10"/>
      <c r="K1189" s="12"/>
    </row>
    <row r="1190" ht="15.75" customHeight="1">
      <c r="A1190" s="3" t="s">
        <v>12</v>
      </c>
      <c r="B1190" s="3" t="s">
        <v>359</v>
      </c>
      <c r="C1190" s="3" t="s">
        <v>6398</v>
      </c>
      <c r="D1190" s="8" t="str">
        <f t="shared" si="1"/>
        <v>Abrir anúncio ↗</v>
      </c>
      <c r="E1190" s="9" t="s">
        <v>6400</v>
      </c>
      <c r="F1190" s="3" t="s">
        <v>29</v>
      </c>
      <c r="G1190" s="9" t="s">
        <v>4918</v>
      </c>
      <c r="H1190" s="9" t="s">
        <v>4919</v>
      </c>
      <c r="I1190" s="3"/>
      <c r="J1190" s="3"/>
      <c r="K1190" s="9"/>
    </row>
    <row r="1191" ht="15.75" customHeight="1">
      <c r="A1191" s="10" t="s">
        <v>12</v>
      </c>
      <c r="B1191" s="10" t="s">
        <v>359</v>
      </c>
      <c r="C1191" s="10" t="s">
        <v>6402</v>
      </c>
      <c r="D1191" s="11" t="str">
        <f t="shared" si="1"/>
        <v>Abrir anúncio ↗</v>
      </c>
      <c r="E1191" s="12" t="s">
        <v>6403</v>
      </c>
      <c r="F1191" s="10" t="s">
        <v>29</v>
      </c>
      <c r="G1191" s="12" t="s">
        <v>4918</v>
      </c>
      <c r="H1191" s="12" t="s">
        <v>4919</v>
      </c>
      <c r="I1191" s="10"/>
      <c r="J1191" s="10"/>
      <c r="K1191" s="12"/>
    </row>
    <row r="1192" ht="15.75" customHeight="1">
      <c r="A1192" s="3" t="s">
        <v>12</v>
      </c>
      <c r="B1192" s="3" t="s">
        <v>359</v>
      </c>
      <c r="C1192" s="3" t="s">
        <v>6404</v>
      </c>
      <c r="D1192" s="8" t="str">
        <f t="shared" si="1"/>
        <v>Abrir anúncio ↗</v>
      </c>
      <c r="E1192" s="9" t="s">
        <v>6405</v>
      </c>
      <c r="F1192" s="3" t="s">
        <v>29</v>
      </c>
      <c r="G1192" s="9" t="s">
        <v>4918</v>
      </c>
      <c r="H1192" s="9" t="s">
        <v>4919</v>
      </c>
      <c r="I1192" s="3"/>
      <c r="J1192" s="3"/>
      <c r="K1192" s="9"/>
    </row>
    <row r="1193" ht="15.75" customHeight="1">
      <c r="A1193" s="10" t="s">
        <v>12</v>
      </c>
      <c r="B1193" s="10" t="s">
        <v>359</v>
      </c>
      <c r="C1193" s="10" t="s">
        <v>6408</v>
      </c>
      <c r="D1193" s="11" t="str">
        <f t="shared" si="1"/>
        <v>Abrir anúncio ↗</v>
      </c>
      <c r="E1193" s="12" t="s">
        <v>6409</v>
      </c>
      <c r="F1193" s="10" t="s">
        <v>29</v>
      </c>
      <c r="G1193" s="12" t="s">
        <v>4918</v>
      </c>
      <c r="H1193" s="12" t="s">
        <v>4919</v>
      </c>
      <c r="I1193" s="10"/>
      <c r="J1193" s="10"/>
      <c r="K1193" s="12"/>
    </row>
    <row r="1194" ht="15.75" customHeight="1">
      <c r="A1194" s="3" t="s">
        <v>12</v>
      </c>
      <c r="B1194" s="3" t="s">
        <v>359</v>
      </c>
      <c r="C1194" s="3" t="s">
        <v>6412</v>
      </c>
      <c r="D1194" s="8" t="str">
        <f t="shared" si="1"/>
        <v>Abrir anúncio ↗</v>
      </c>
      <c r="E1194" s="9" t="s">
        <v>6414</v>
      </c>
      <c r="F1194" s="3" t="s">
        <v>29</v>
      </c>
      <c r="G1194" s="9" t="s">
        <v>4918</v>
      </c>
      <c r="H1194" s="9" t="s">
        <v>4919</v>
      </c>
      <c r="I1194" s="3"/>
      <c r="J1194" s="3"/>
      <c r="K1194" s="9"/>
    </row>
    <row r="1195" ht="15.75" customHeight="1">
      <c r="A1195" s="10" t="s">
        <v>12</v>
      </c>
      <c r="B1195" s="10" t="s">
        <v>359</v>
      </c>
      <c r="C1195" s="10" t="s">
        <v>6416</v>
      </c>
      <c r="D1195" s="11" t="str">
        <f t="shared" si="1"/>
        <v>Abrir anúncio ↗</v>
      </c>
      <c r="E1195" s="12" t="s">
        <v>6417</v>
      </c>
      <c r="F1195" s="10" t="s">
        <v>29</v>
      </c>
      <c r="G1195" s="12" t="s">
        <v>4918</v>
      </c>
      <c r="H1195" s="12" t="s">
        <v>4919</v>
      </c>
      <c r="I1195" s="10"/>
      <c r="J1195" s="10"/>
      <c r="K1195" s="12"/>
    </row>
    <row r="1196" ht="15.75" customHeight="1">
      <c r="A1196" s="3" t="s">
        <v>12</v>
      </c>
      <c r="B1196" s="3" t="s">
        <v>359</v>
      </c>
      <c r="C1196" s="3" t="s">
        <v>6418</v>
      </c>
      <c r="D1196" s="8" t="str">
        <f t="shared" si="1"/>
        <v>Abrir anúncio ↗</v>
      </c>
      <c r="E1196" s="9" t="s">
        <v>6419</v>
      </c>
      <c r="F1196" s="3" t="s">
        <v>29</v>
      </c>
      <c r="G1196" s="9" t="s">
        <v>4918</v>
      </c>
      <c r="H1196" s="9" t="s">
        <v>4919</v>
      </c>
      <c r="I1196" s="3"/>
      <c r="J1196" s="3"/>
      <c r="K1196" s="9"/>
    </row>
    <row r="1197" ht="15.75" customHeight="1">
      <c r="A1197" s="10" t="s">
        <v>12</v>
      </c>
      <c r="B1197" s="10" t="s">
        <v>359</v>
      </c>
      <c r="C1197" s="10" t="s">
        <v>6422</v>
      </c>
      <c r="D1197" s="11" t="str">
        <f t="shared" si="1"/>
        <v>Abrir anúncio ↗</v>
      </c>
      <c r="E1197" s="12" t="s">
        <v>6423</v>
      </c>
      <c r="F1197" s="10" t="s">
        <v>29</v>
      </c>
      <c r="G1197" s="12" t="s">
        <v>4918</v>
      </c>
      <c r="H1197" s="12" t="s">
        <v>4919</v>
      </c>
      <c r="I1197" s="10"/>
      <c r="J1197" s="10"/>
      <c r="K1197" s="12"/>
    </row>
    <row r="1198" ht="15.75" customHeight="1">
      <c r="A1198" s="3" t="s">
        <v>12</v>
      </c>
      <c r="B1198" s="3" t="s">
        <v>359</v>
      </c>
      <c r="C1198" s="3" t="s">
        <v>6424</v>
      </c>
      <c r="D1198" s="8" t="str">
        <f t="shared" si="1"/>
        <v>Abrir anúncio ↗</v>
      </c>
      <c r="E1198" s="9" t="s">
        <v>6425</v>
      </c>
      <c r="F1198" s="3" t="s">
        <v>29</v>
      </c>
      <c r="G1198" s="9" t="s">
        <v>4918</v>
      </c>
      <c r="H1198" s="9" t="s">
        <v>4919</v>
      </c>
      <c r="I1198" s="3"/>
      <c r="J1198" s="3"/>
      <c r="K1198" s="9"/>
    </row>
    <row r="1199" ht="15.75" customHeight="1">
      <c r="A1199" s="10" t="s">
        <v>12</v>
      </c>
      <c r="B1199" s="10" t="s">
        <v>359</v>
      </c>
      <c r="C1199" s="10" t="s">
        <v>6428</v>
      </c>
      <c r="D1199" s="11" t="str">
        <f t="shared" si="1"/>
        <v>Abrir anúncio ↗</v>
      </c>
      <c r="E1199" s="12" t="s">
        <v>6429</v>
      </c>
      <c r="F1199" s="10" t="s">
        <v>29</v>
      </c>
      <c r="G1199" s="12" t="s">
        <v>4918</v>
      </c>
      <c r="H1199" s="12" t="s">
        <v>4919</v>
      </c>
      <c r="I1199" s="10"/>
      <c r="J1199" s="10"/>
      <c r="K1199" s="12"/>
    </row>
    <row r="1200" ht="15.75" customHeight="1">
      <c r="A1200" s="3" t="s">
        <v>12</v>
      </c>
      <c r="B1200" s="3" t="s">
        <v>359</v>
      </c>
      <c r="C1200" s="3" t="s">
        <v>6432</v>
      </c>
      <c r="D1200" s="8" t="str">
        <f t="shared" si="1"/>
        <v>Abrir anúncio ↗</v>
      </c>
      <c r="E1200" s="9" t="s">
        <v>6433</v>
      </c>
      <c r="F1200" s="3" t="s">
        <v>29</v>
      </c>
      <c r="G1200" s="9" t="s">
        <v>4918</v>
      </c>
      <c r="H1200" s="9" t="s">
        <v>4919</v>
      </c>
      <c r="I1200" s="3"/>
      <c r="J1200" s="3"/>
      <c r="K1200" s="9"/>
    </row>
    <row r="1201" ht="15.75" customHeight="1">
      <c r="A1201" s="10" t="s">
        <v>12</v>
      </c>
      <c r="B1201" s="10" t="s">
        <v>359</v>
      </c>
      <c r="C1201" s="10" t="s">
        <v>6435</v>
      </c>
      <c r="D1201" s="11" t="str">
        <f t="shared" si="1"/>
        <v>Abrir anúncio ↗</v>
      </c>
      <c r="E1201" s="12" t="s">
        <v>6437</v>
      </c>
      <c r="F1201" s="10" t="s">
        <v>29</v>
      </c>
      <c r="G1201" s="12" t="s">
        <v>4918</v>
      </c>
      <c r="H1201" s="12" t="s">
        <v>4919</v>
      </c>
      <c r="I1201" s="10"/>
      <c r="J1201" s="10"/>
      <c r="K1201" s="12"/>
    </row>
    <row r="1202" ht="15.75" customHeight="1">
      <c r="A1202" s="3" t="s">
        <v>12</v>
      </c>
      <c r="B1202" s="3" t="s">
        <v>359</v>
      </c>
      <c r="C1202" s="3" t="s">
        <v>6439</v>
      </c>
      <c r="D1202" s="8" t="str">
        <f t="shared" si="1"/>
        <v>Abrir anúncio ↗</v>
      </c>
      <c r="E1202" s="9" t="s">
        <v>1596</v>
      </c>
      <c r="F1202" s="3" t="s">
        <v>29</v>
      </c>
      <c r="G1202" s="9" t="s">
        <v>4918</v>
      </c>
      <c r="H1202" s="9" t="s">
        <v>4919</v>
      </c>
      <c r="I1202" s="3"/>
      <c r="J1202" s="3"/>
      <c r="K1202" s="9"/>
    </row>
    <row r="1203" ht="15.75" customHeight="1">
      <c r="A1203" s="10" t="s">
        <v>12</v>
      </c>
      <c r="B1203" s="10" t="s">
        <v>359</v>
      </c>
      <c r="C1203" s="10" t="s">
        <v>6441</v>
      </c>
      <c r="D1203" s="11" t="str">
        <f t="shared" si="1"/>
        <v>Abrir anúncio ↗</v>
      </c>
      <c r="E1203" s="12" t="s">
        <v>6443</v>
      </c>
      <c r="F1203" s="10" t="s">
        <v>29</v>
      </c>
      <c r="G1203" s="12" t="s">
        <v>4918</v>
      </c>
      <c r="H1203" s="12" t="s">
        <v>4919</v>
      </c>
      <c r="I1203" s="10"/>
      <c r="J1203" s="10"/>
      <c r="K1203" s="12"/>
    </row>
    <row r="1204" ht="15.75" customHeight="1">
      <c r="A1204" s="3" t="s">
        <v>12</v>
      </c>
      <c r="B1204" s="3" t="s">
        <v>359</v>
      </c>
      <c r="C1204" s="3" t="s">
        <v>6444</v>
      </c>
      <c r="D1204" s="8" t="str">
        <f t="shared" si="1"/>
        <v>Abrir anúncio ↗</v>
      </c>
      <c r="E1204" s="9" t="s">
        <v>6445</v>
      </c>
      <c r="F1204" s="3" t="s">
        <v>29</v>
      </c>
      <c r="G1204" s="9" t="s">
        <v>4918</v>
      </c>
      <c r="H1204" s="9" t="s">
        <v>4919</v>
      </c>
      <c r="I1204" s="3"/>
      <c r="J1204" s="3"/>
      <c r="K1204" s="9"/>
    </row>
    <row r="1205" ht="15.75" customHeight="1">
      <c r="A1205" s="10" t="s">
        <v>12</v>
      </c>
      <c r="B1205" s="10" t="s">
        <v>359</v>
      </c>
      <c r="C1205" s="10" t="s">
        <v>6447</v>
      </c>
      <c r="D1205" s="11" t="str">
        <f t="shared" si="1"/>
        <v>Abrir anúncio ↗</v>
      </c>
      <c r="E1205" s="12" t="s">
        <v>6448</v>
      </c>
      <c r="F1205" s="10" t="s">
        <v>29</v>
      </c>
      <c r="G1205" s="12" t="s">
        <v>4918</v>
      </c>
      <c r="H1205" s="12" t="s">
        <v>4919</v>
      </c>
      <c r="I1205" s="10"/>
      <c r="J1205" s="10"/>
      <c r="K1205" s="12"/>
    </row>
    <row r="1206" ht="15.75" customHeight="1">
      <c r="A1206" s="3" t="s">
        <v>12</v>
      </c>
      <c r="B1206" s="3" t="s">
        <v>359</v>
      </c>
      <c r="C1206" s="3" t="s">
        <v>6452</v>
      </c>
      <c r="D1206" s="8" t="str">
        <f t="shared" si="1"/>
        <v>Abrir anúncio ↗</v>
      </c>
      <c r="E1206" s="9" t="s">
        <v>6454</v>
      </c>
      <c r="F1206" s="3" t="s">
        <v>29</v>
      </c>
      <c r="G1206" s="9" t="s">
        <v>4918</v>
      </c>
      <c r="H1206" s="9" t="s">
        <v>4919</v>
      </c>
      <c r="I1206" s="3"/>
      <c r="J1206" s="3"/>
      <c r="K1206" s="9"/>
    </row>
    <row r="1207" ht="15.75" customHeight="1">
      <c r="A1207" s="10" t="s">
        <v>12</v>
      </c>
      <c r="B1207" s="10" t="s">
        <v>359</v>
      </c>
      <c r="C1207" s="10" t="s">
        <v>6455</v>
      </c>
      <c r="D1207" s="11" t="str">
        <f t="shared" si="1"/>
        <v>Abrir anúncio ↗</v>
      </c>
      <c r="E1207" s="12" t="s">
        <v>6457</v>
      </c>
      <c r="F1207" s="10" t="s">
        <v>29</v>
      </c>
      <c r="G1207" s="12" t="s">
        <v>4918</v>
      </c>
      <c r="H1207" s="12" t="s">
        <v>4919</v>
      </c>
      <c r="I1207" s="10"/>
      <c r="J1207" s="10"/>
      <c r="K1207" s="12"/>
    </row>
    <row r="1208" ht="15.75" customHeight="1">
      <c r="A1208" s="3" t="s">
        <v>12</v>
      </c>
      <c r="B1208" s="3" t="s">
        <v>359</v>
      </c>
      <c r="C1208" s="3" t="s">
        <v>6460</v>
      </c>
      <c r="D1208" s="8" t="str">
        <f t="shared" si="1"/>
        <v>Abrir anúncio ↗</v>
      </c>
      <c r="E1208" s="9" t="s">
        <v>6461</v>
      </c>
      <c r="F1208" s="3" t="s">
        <v>29</v>
      </c>
      <c r="G1208" s="9" t="s">
        <v>4918</v>
      </c>
      <c r="H1208" s="9" t="s">
        <v>4919</v>
      </c>
      <c r="I1208" s="3"/>
      <c r="J1208" s="3"/>
      <c r="K1208" s="9"/>
    </row>
    <row r="1209" ht="15.75" customHeight="1">
      <c r="A1209" s="10" t="s">
        <v>12</v>
      </c>
      <c r="B1209" s="10" t="s">
        <v>359</v>
      </c>
      <c r="C1209" s="10" t="s">
        <v>6462</v>
      </c>
      <c r="D1209" s="11" t="str">
        <f t="shared" si="1"/>
        <v>Abrir anúncio ↗</v>
      </c>
      <c r="E1209" s="12" t="s">
        <v>6464</v>
      </c>
      <c r="F1209" s="10" t="s">
        <v>86</v>
      </c>
      <c r="G1209" s="12" t="s">
        <v>4918</v>
      </c>
      <c r="H1209" s="12" t="s">
        <v>4919</v>
      </c>
      <c r="I1209" s="10"/>
      <c r="J1209" s="10"/>
      <c r="K1209" s="12"/>
    </row>
    <row r="1210" ht="15.75" customHeight="1">
      <c r="A1210" s="3" t="s">
        <v>12</v>
      </c>
      <c r="B1210" s="3" t="s">
        <v>359</v>
      </c>
      <c r="C1210" s="3" t="s">
        <v>6466</v>
      </c>
      <c r="D1210" s="8" t="str">
        <f t="shared" si="1"/>
        <v>Abrir anúncio ↗</v>
      </c>
      <c r="E1210" s="9" t="s">
        <v>6467</v>
      </c>
      <c r="F1210" s="3" t="s">
        <v>29</v>
      </c>
      <c r="G1210" s="9" t="s">
        <v>4918</v>
      </c>
      <c r="H1210" s="9" t="s">
        <v>4919</v>
      </c>
      <c r="I1210" s="3"/>
      <c r="J1210" s="3"/>
      <c r="K1210" s="9"/>
    </row>
    <row r="1211" ht="15.75" customHeight="1">
      <c r="A1211" s="10" t="s">
        <v>12</v>
      </c>
      <c r="B1211" s="10" t="s">
        <v>359</v>
      </c>
      <c r="C1211" s="10" t="s">
        <v>6468</v>
      </c>
      <c r="D1211" s="11" t="str">
        <f t="shared" si="1"/>
        <v>Abrir anúncio ↗</v>
      </c>
      <c r="E1211" s="12" t="s">
        <v>6470</v>
      </c>
      <c r="F1211" s="10" t="s">
        <v>29</v>
      </c>
      <c r="G1211" s="12" t="s">
        <v>4918</v>
      </c>
      <c r="H1211" s="12" t="s">
        <v>4919</v>
      </c>
      <c r="I1211" s="10"/>
      <c r="J1211" s="10"/>
      <c r="K1211" s="12"/>
    </row>
    <row r="1212" ht="15.75" customHeight="1">
      <c r="A1212" s="3" t="s">
        <v>12</v>
      </c>
      <c r="B1212" s="3" t="s">
        <v>359</v>
      </c>
      <c r="C1212" s="3" t="s">
        <v>6473</v>
      </c>
      <c r="D1212" s="8" t="str">
        <f t="shared" si="1"/>
        <v>Abrir anúncio ↗</v>
      </c>
      <c r="E1212" s="9" t="s">
        <v>6477</v>
      </c>
      <c r="F1212" s="3" t="s">
        <v>29</v>
      </c>
      <c r="G1212" s="9" t="s">
        <v>4918</v>
      </c>
      <c r="H1212" s="9" t="s">
        <v>4919</v>
      </c>
      <c r="I1212" s="3"/>
      <c r="J1212" s="3"/>
      <c r="K1212" s="9"/>
    </row>
    <row r="1213" ht="15.75" customHeight="1">
      <c r="A1213" s="10" t="s">
        <v>12</v>
      </c>
      <c r="B1213" s="10" t="s">
        <v>359</v>
      </c>
      <c r="C1213" s="10" t="s">
        <v>6478</v>
      </c>
      <c r="D1213" s="11" t="str">
        <f t="shared" si="1"/>
        <v>Abrir anúncio ↗</v>
      </c>
      <c r="E1213" s="12" t="s">
        <v>6480</v>
      </c>
      <c r="F1213" s="10" t="s">
        <v>29</v>
      </c>
      <c r="G1213" s="12" t="s">
        <v>4918</v>
      </c>
      <c r="H1213" s="12" t="s">
        <v>4919</v>
      </c>
      <c r="I1213" s="10"/>
      <c r="J1213" s="10"/>
      <c r="K1213" s="12"/>
    </row>
    <row r="1214" ht="15.75" customHeight="1">
      <c r="A1214" s="3" t="s">
        <v>12</v>
      </c>
      <c r="B1214" s="3" t="s">
        <v>359</v>
      </c>
      <c r="C1214" s="3" t="s">
        <v>6483</v>
      </c>
      <c r="D1214" s="8" t="str">
        <f t="shared" si="1"/>
        <v>Abrir anúncio ↗</v>
      </c>
      <c r="E1214" s="9" t="s">
        <v>6484</v>
      </c>
      <c r="F1214" s="3" t="s">
        <v>29</v>
      </c>
      <c r="G1214" s="9" t="s">
        <v>4918</v>
      </c>
      <c r="H1214" s="9" t="s">
        <v>4919</v>
      </c>
      <c r="I1214" s="3"/>
      <c r="J1214" s="3"/>
      <c r="K1214" s="9"/>
    </row>
    <row r="1215" ht="15.75" customHeight="1">
      <c r="A1215" s="10" t="s">
        <v>12</v>
      </c>
      <c r="B1215" s="10" t="s">
        <v>359</v>
      </c>
      <c r="C1215" s="10" t="s">
        <v>6486</v>
      </c>
      <c r="D1215" s="11" t="str">
        <f t="shared" si="1"/>
        <v>Abrir anúncio ↗</v>
      </c>
      <c r="E1215" s="12" t="s">
        <v>1038</v>
      </c>
      <c r="F1215" s="10" t="s">
        <v>86</v>
      </c>
      <c r="G1215" s="12" t="s">
        <v>4918</v>
      </c>
      <c r="H1215" s="12" t="s">
        <v>4919</v>
      </c>
      <c r="I1215" s="10"/>
      <c r="J1215" s="10"/>
      <c r="K1215" s="12"/>
    </row>
    <row r="1216" ht="15.75" customHeight="1">
      <c r="A1216" s="3" t="s">
        <v>12</v>
      </c>
      <c r="B1216" s="3" t="s">
        <v>359</v>
      </c>
      <c r="C1216" s="3" t="s">
        <v>6490</v>
      </c>
      <c r="D1216" s="8" t="str">
        <f t="shared" si="1"/>
        <v>Abrir anúncio ↗</v>
      </c>
      <c r="E1216" s="9" t="s">
        <v>6491</v>
      </c>
      <c r="F1216" s="3" t="s">
        <v>29</v>
      </c>
      <c r="G1216" s="9" t="s">
        <v>4918</v>
      </c>
      <c r="H1216" s="9" t="s">
        <v>4919</v>
      </c>
      <c r="I1216" s="3"/>
      <c r="J1216" s="3"/>
      <c r="K1216" s="9"/>
    </row>
    <row r="1217" ht="15.75" customHeight="1">
      <c r="A1217" s="10" t="s">
        <v>12</v>
      </c>
      <c r="B1217" s="10" t="s">
        <v>359</v>
      </c>
      <c r="C1217" s="10" t="s">
        <v>6492</v>
      </c>
      <c r="D1217" s="11" t="str">
        <f t="shared" si="1"/>
        <v>Abrir anúncio ↗</v>
      </c>
      <c r="E1217" s="12" t="s">
        <v>6494</v>
      </c>
      <c r="F1217" s="10" t="s">
        <v>29</v>
      </c>
      <c r="G1217" s="12" t="s">
        <v>4918</v>
      </c>
      <c r="H1217" s="12" t="s">
        <v>4919</v>
      </c>
      <c r="I1217" s="10"/>
      <c r="J1217" s="10"/>
      <c r="K1217" s="12"/>
    </row>
    <row r="1218" ht="15.75" customHeight="1">
      <c r="A1218" s="3" t="s">
        <v>12</v>
      </c>
      <c r="B1218" s="3" t="s">
        <v>359</v>
      </c>
      <c r="C1218" s="3" t="s">
        <v>6496</v>
      </c>
      <c r="D1218" s="8" t="str">
        <f t="shared" si="1"/>
        <v>Abrir anúncio ↗</v>
      </c>
      <c r="E1218" s="9" t="s">
        <v>6497</v>
      </c>
      <c r="F1218" s="3" t="s">
        <v>29</v>
      </c>
      <c r="G1218" s="9" t="s">
        <v>4918</v>
      </c>
      <c r="H1218" s="9" t="s">
        <v>4919</v>
      </c>
      <c r="I1218" s="3"/>
      <c r="J1218" s="3"/>
      <c r="K1218" s="9"/>
    </row>
    <row r="1219" ht="15.75" customHeight="1">
      <c r="A1219" s="10" t="s">
        <v>12</v>
      </c>
      <c r="B1219" s="10" t="s">
        <v>359</v>
      </c>
      <c r="C1219" s="10" t="s">
        <v>6500</v>
      </c>
      <c r="D1219" s="11" t="str">
        <f t="shared" si="1"/>
        <v>Abrir anúncio ↗</v>
      </c>
      <c r="E1219" s="12" t="s">
        <v>6501</v>
      </c>
      <c r="F1219" s="10" t="s">
        <v>29</v>
      </c>
      <c r="G1219" s="12" t="s">
        <v>4918</v>
      </c>
      <c r="H1219" s="12" t="s">
        <v>4919</v>
      </c>
      <c r="I1219" s="10"/>
      <c r="J1219" s="10"/>
      <c r="K1219" s="12"/>
    </row>
    <row r="1220" ht="15.75" customHeight="1">
      <c r="A1220" s="3" t="s">
        <v>12</v>
      </c>
      <c r="B1220" s="3" t="s">
        <v>359</v>
      </c>
      <c r="C1220" s="3" t="s">
        <v>6504</v>
      </c>
      <c r="D1220" s="8" t="str">
        <f t="shared" si="1"/>
        <v>Abrir anúncio ↗</v>
      </c>
      <c r="E1220" s="9" t="s">
        <v>6506</v>
      </c>
      <c r="F1220" s="3" t="s">
        <v>29</v>
      </c>
      <c r="G1220" s="9" t="s">
        <v>4918</v>
      </c>
      <c r="H1220" s="9" t="s">
        <v>4919</v>
      </c>
      <c r="I1220" s="3"/>
      <c r="J1220" s="3"/>
      <c r="K1220" s="9"/>
    </row>
    <row r="1221" ht="15.75" customHeight="1">
      <c r="A1221" s="10" t="s">
        <v>12</v>
      </c>
      <c r="B1221" s="10" t="s">
        <v>359</v>
      </c>
      <c r="C1221" s="10" t="s">
        <v>6510</v>
      </c>
      <c r="D1221" s="11" t="str">
        <f t="shared" si="1"/>
        <v>Abrir anúncio ↗</v>
      </c>
      <c r="E1221" s="12" t="s">
        <v>6511</v>
      </c>
      <c r="F1221" s="10" t="s">
        <v>29</v>
      </c>
      <c r="G1221" s="12" t="s">
        <v>4918</v>
      </c>
      <c r="H1221" s="12" t="s">
        <v>4919</v>
      </c>
      <c r="I1221" s="10"/>
      <c r="J1221" s="10"/>
      <c r="K1221" s="12"/>
    </row>
    <row r="1222" ht="15.75" customHeight="1">
      <c r="A1222" s="3" t="s">
        <v>12</v>
      </c>
      <c r="B1222" s="3" t="s">
        <v>359</v>
      </c>
      <c r="C1222" s="3" t="s">
        <v>6516</v>
      </c>
      <c r="D1222" s="8" t="str">
        <f t="shared" si="1"/>
        <v>Abrir anúncio ↗</v>
      </c>
      <c r="E1222" s="9" t="s">
        <v>6517</v>
      </c>
      <c r="F1222" s="3" t="s">
        <v>29</v>
      </c>
      <c r="G1222" s="9" t="s">
        <v>4918</v>
      </c>
      <c r="H1222" s="9" t="s">
        <v>4919</v>
      </c>
      <c r="I1222" s="3"/>
      <c r="J1222" s="3"/>
      <c r="K1222" s="9"/>
    </row>
    <row r="1223" ht="15.75" customHeight="1">
      <c r="A1223" s="10" t="s">
        <v>12</v>
      </c>
      <c r="B1223" s="10" t="s">
        <v>359</v>
      </c>
      <c r="C1223" s="10" t="s">
        <v>6521</v>
      </c>
      <c r="D1223" s="11" t="str">
        <f t="shared" si="1"/>
        <v>Abrir anúncio ↗</v>
      </c>
      <c r="E1223" s="12" t="s">
        <v>6523</v>
      </c>
      <c r="F1223" s="10" t="s">
        <v>29</v>
      </c>
      <c r="G1223" s="12" t="s">
        <v>4918</v>
      </c>
      <c r="H1223" s="12" t="s">
        <v>4919</v>
      </c>
      <c r="I1223" s="10"/>
      <c r="J1223" s="10"/>
      <c r="K1223" s="12"/>
    </row>
    <row r="1224" ht="15.75" customHeight="1">
      <c r="A1224" s="3" t="s">
        <v>12</v>
      </c>
      <c r="B1224" s="3" t="s">
        <v>359</v>
      </c>
      <c r="C1224" s="3" t="s">
        <v>6526</v>
      </c>
      <c r="D1224" s="8" t="str">
        <f t="shared" si="1"/>
        <v>Abrir anúncio ↗</v>
      </c>
      <c r="E1224" s="9" t="s">
        <v>6528</v>
      </c>
      <c r="F1224" s="3" t="s">
        <v>29</v>
      </c>
      <c r="G1224" s="9" t="s">
        <v>4918</v>
      </c>
      <c r="H1224" s="9" t="s">
        <v>4919</v>
      </c>
      <c r="I1224" s="3"/>
      <c r="J1224" s="3"/>
      <c r="K1224" s="9"/>
    </row>
    <row r="1225" ht="15.75" customHeight="1">
      <c r="A1225" s="10" t="s">
        <v>12</v>
      </c>
      <c r="B1225" s="10" t="s">
        <v>359</v>
      </c>
      <c r="C1225" s="10" t="s">
        <v>6529</v>
      </c>
      <c r="D1225" s="11" t="str">
        <f t="shared" si="1"/>
        <v>Abrir anúncio ↗</v>
      </c>
      <c r="E1225" s="12" t="s">
        <v>6531</v>
      </c>
      <c r="F1225" s="10" t="s">
        <v>29</v>
      </c>
      <c r="G1225" s="12" t="s">
        <v>4918</v>
      </c>
      <c r="H1225" s="12" t="s">
        <v>4919</v>
      </c>
      <c r="I1225" s="10"/>
      <c r="J1225" s="10"/>
      <c r="K1225" s="12"/>
    </row>
    <row r="1226" ht="15.75" customHeight="1">
      <c r="A1226" s="3" t="s">
        <v>12</v>
      </c>
      <c r="B1226" s="3" t="s">
        <v>359</v>
      </c>
      <c r="C1226" s="3" t="s">
        <v>6533</v>
      </c>
      <c r="D1226" s="8" t="str">
        <f t="shared" si="1"/>
        <v>Abrir anúncio ↗</v>
      </c>
      <c r="E1226" s="9" t="s">
        <v>6534</v>
      </c>
      <c r="F1226" s="3" t="s">
        <v>29</v>
      </c>
      <c r="G1226" s="9" t="s">
        <v>4918</v>
      </c>
      <c r="H1226" s="9" t="s">
        <v>4919</v>
      </c>
      <c r="I1226" s="3"/>
      <c r="J1226" s="3"/>
      <c r="K1226" s="9"/>
    </row>
    <row r="1227" ht="15.75" customHeight="1">
      <c r="A1227" s="10" t="s">
        <v>12</v>
      </c>
      <c r="B1227" s="10" t="s">
        <v>359</v>
      </c>
      <c r="C1227" s="10" t="s">
        <v>6538</v>
      </c>
      <c r="D1227" s="11" t="str">
        <f t="shared" si="1"/>
        <v>Abrir anúncio ↗</v>
      </c>
      <c r="E1227" s="12" t="s">
        <v>6539</v>
      </c>
      <c r="F1227" s="10" t="s">
        <v>29</v>
      </c>
      <c r="G1227" s="12" t="s">
        <v>4918</v>
      </c>
      <c r="H1227" s="12" t="s">
        <v>4919</v>
      </c>
      <c r="I1227" s="10"/>
      <c r="J1227" s="10"/>
      <c r="K1227" s="12"/>
    </row>
    <row r="1228" ht="15.75" customHeight="1">
      <c r="A1228" s="3" t="s">
        <v>12</v>
      </c>
      <c r="B1228" s="3" t="s">
        <v>359</v>
      </c>
      <c r="C1228" s="3" t="s">
        <v>6540</v>
      </c>
      <c r="D1228" s="8" t="str">
        <f t="shared" si="1"/>
        <v>Abrir anúncio ↗</v>
      </c>
      <c r="E1228" s="9" t="s">
        <v>6542</v>
      </c>
      <c r="F1228" s="3" t="s">
        <v>29</v>
      </c>
      <c r="G1228" s="9" t="s">
        <v>4918</v>
      </c>
      <c r="H1228" s="9" t="s">
        <v>4919</v>
      </c>
      <c r="I1228" s="3"/>
      <c r="J1228" s="3"/>
      <c r="K1228" s="9"/>
    </row>
    <row r="1229" ht="15.75" customHeight="1">
      <c r="A1229" s="10" t="s">
        <v>12</v>
      </c>
      <c r="B1229" s="10" t="s">
        <v>359</v>
      </c>
      <c r="C1229" s="10" t="s">
        <v>6545</v>
      </c>
      <c r="D1229" s="11" t="str">
        <f t="shared" si="1"/>
        <v>Abrir anúncio ↗</v>
      </c>
      <c r="E1229" s="12" t="s">
        <v>6546</v>
      </c>
      <c r="F1229" s="10" t="s">
        <v>29</v>
      </c>
      <c r="G1229" s="12" t="s">
        <v>4918</v>
      </c>
      <c r="H1229" s="12" t="s">
        <v>4919</v>
      </c>
      <c r="I1229" s="10"/>
      <c r="J1229" s="10"/>
      <c r="K1229" s="12"/>
    </row>
    <row r="1230" ht="15.75" customHeight="1">
      <c r="A1230" s="3" t="s">
        <v>12</v>
      </c>
      <c r="B1230" s="3" t="s">
        <v>359</v>
      </c>
      <c r="C1230" s="3" t="s">
        <v>6550</v>
      </c>
      <c r="D1230" s="8" t="str">
        <f t="shared" si="1"/>
        <v>Abrir anúncio ↗</v>
      </c>
      <c r="E1230" s="9" t="s">
        <v>6551</v>
      </c>
      <c r="F1230" s="3" t="s">
        <v>29</v>
      </c>
      <c r="G1230" s="9" t="s">
        <v>4918</v>
      </c>
      <c r="H1230" s="9" t="s">
        <v>4919</v>
      </c>
      <c r="I1230" s="3"/>
      <c r="J1230" s="3"/>
      <c r="K1230" s="9"/>
    </row>
    <row r="1231" ht="15.75" customHeight="1">
      <c r="A1231" s="10" t="s">
        <v>12</v>
      </c>
      <c r="B1231" s="10" t="s">
        <v>359</v>
      </c>
      <c r="C1231" s="10" t="s">
        <v>6552</v>
      </c>
      <c r="D1231" s="11" t="str">
        <f t="shared" si="1"/>
        <v>Abrir anúncio ↗</v>
      </c>
      <c r="E1231" s="12" t="s">
        <v>6553</v>
      </c>
      <c r="F1231" s="10" t="s">
        <v>29</v>
      </c>
      <c r="G1231" s="12" t="s">
        <v>4918</v>
      </c>
      <c r="H1231" s="12" t="s">
        <v>4919</v>
      </c>
      <c r="I1231" s="10"/>
      <c r="J1231" s="10"/>
      <c r="K1231" s="12"/>
    </row>
    <row r="1232" ht="15.75" customHeight="1">
      <c r="A1232" s="3" t="s">
        <v>12</v>
      </c>
      <c r="B1232" s="3" t="s">
        <v>359</v>
      </c>
      <c r="C1232" s="3" t="s">
        <v>6556</v>
      </c>
      <c r="D1232" s="8" t="str">
        <f t="shared" si="1"/>
        <v>Abrir anúncio ↗</v>
      </c>
      <c r="E1232" s="9" t="s">
        <v>6557</v>
      </c>
      <c r="F1232" s="3" t="s">
        <v>29</v>
      </c>
      <c r="G1232" s="9" t="s">
        <v>4918</v>
      </c>
      <c r="H1232" s="9" t="s">
        <v>4919</v>
      </c>
      <c r="I1232" s="3"/>
      <c r="J1232" s="3"/>
      <c r="K1232" s="9"/>
    </row>
    <row r="1233" ht="15.75" customHeight="1">
      <c r="A1233" s="10" t="s">
        <v>12</v>
      </c>
      <c r="B1233" s="10" t="s">
        <v>359</v>
      </c>
      <c r="C1233" s="10" t="s">
        <v>6559</v>
      </c>
      <c r="D1233" s="11" t="str">
        <f t="shared" si="1"/>
        <v>Abrir anúncio ↗</v>
      </c>
      <c r="E1233" s="12" t="s">
        <v>6560</v>
      </c>
      <c r="F1233" s="10" t="s">
        <v>86</v>
      </c>
      <c r="G1233" s="12" t="s">
        <v>4918</v>
      </c>
      <c r="H1233" s="12" t="s">
        <v>4919</v>
      </c>
      <c r="I1233" s="10"/>
      <c r="J1233" s="10"/>
      <c r="K1233" s="12"/>
    </row>
    <row r="1234" ht="15.75" customHeight="1">
      <c r="A1234" s="3" t="s">
        <v>12</v>
      </c>
      <c r="B1234" s="3" t="s">
        <v>359</v>
      </c>
      <c r="C1234" s="3" t="s">
        <v>6564</v>
      </c>
      <c r="D1234" s="8" t="str">
        <f t="shared" si="1"/>
        <v>Abrir anúncio ↗</v>
      </c>
      <c r="E1234" s="9" t="s">
        <v>6566</v>
      </c>
      <c r="F1234" s="3" t="s">
        <v>29</v>
      </c>
      <c r="G1234" s="9" t="s">
        <v>4918</v>
      </c>
      <c r="H1234" s="9" t="s">
        <v>4919</v>
      </c>
      <c r="I1234" s="3"/>
      <c r="J1234" s="3"/>
      <c r="K1234" s="9"/>
    </row>
    <row r="1235" ht="15.75" customHeight="1">
      <c r="A1235" s="10" t="s">
        <v>12</v>
      </c>
      <c r="B1235" s="10" t="s">
        <v>359</v>
      </c>
      <c r="C1235" s="10" t="s">
        <v>6571</v>
      </c>
      <c r="D1235" s="11" t="str">
        <f t="shared" si="1"/>
        <v>Abrir anúncio ↗</v>
      </c>
      <c r="E1235" s="12" t="s">
        <v>6574</v>
      </c>
      <c r="F1235" s="10" t="s">
        <v>29</v>
      </c>
      <c r="G1235" s="12" t="s">
        <v>4918</v>
      </c>
      <c r="H1235" s="12" t="s">
        <v>4919</v>
      </c>
      <c r="I1235" s="10"/>
      <c r="J1235" s="10"/>
      <c r="K1235" s="12"/>
    </row>
    <row r="1236" ht="15.75" customHeight="1">
      <c r="A1236" s="3" t="s">
        <v>12</v>
      </c>
      <c r="B1236" s="3" t="s">
        <v>359</v>
      </c>
      <c r="C1236" s="3" t="s">
        <v>6577</v>
      </c>
      <c r="D1236" s="8" t="str">
        <f t="shared" si="1"/>
        <v>Abrir anúncio ↗</v>
      </c>
      <c r="E1236" s="9" t="s">
        <v>6579</v>
      </c>
      <c r="F1236" s="3" t="s">
        <v>29</v>
      </c>
      <c r="G1236" s="9" t="s">
        <v>4918</v>
      </c>
      <c r="H1236" s="9" t="s">
        <v>4919</v>
      </c>
      <c r="I1236" s="3"/>
      <c r="J1236" s="3"/>
      <c r="K1236" s="9"/>
    </row>
    <row r="1237" ht="15.75" customHeight="1">
      <c r="A1237" s="10" t="s">
        <v>12</v>
      </c>
      <c r="B1237" s="10" t="s">
        <v>359</v>
      </c>
      <c r="C1237" s="10" t="s">
        <v>6582</v>
      </c>
      <c r="D1237" s="11" t="str">
        <f t="shared" si="1"/>
        <v>Abrir anúncio ↗</v>
      </c>
      <c r="E1237" s="12" t="s">
        <v>6583</v>
      </c>
      <c r="F1237" s="10" t="s">
        <v>29</v>
      </c>
      <c r="G1237" s="12" t="s">
        <v>4918</v>
      </c>
      <c r="H1237" s="12" t="s">
        <v>4919</v>
      </c>
      <c r="I1237" s="10"/>
      <c r="J1237" s="10"/>
      <c r="K1237" s="12"/>
    </row>
    <row r="1238" ht="15.75" customHeight="1">
      <c r="A1238" s="3" t="s">
        <v>12</v>
      </c>
      <c r="B1238" s="3" t="s">
        <v>359</v>
      </c>
      <c r="C1238" s="3" t="s">
        <v>6586</v>
      </c>
      <c r="D1238" s="8" t="str">
        <f t="shared" si="1"/>
        <v>Abrir anúncio ↗</v>
      </c>
      <c r="E1238" s="9" t="s">
        <v>6587</v>
      </c>
      <c r="F1238" s="3" t="s">
        <v>29</v>
      </c>
      <c r="G1238" s="9" t="s">
        <v>4918</v>
      </c>
      <c r="H1238" s="9" t="s">
        <v>4919</v>
      </c>
      <c r="I1238" s="3"/>
      <c r="J1238" s="3"/>
      <c r="K1238" s="9"/>
    </row>
    <row r="1239" ht="15.75" customHeight="1">
      <c r="A1239" s="10" t="s">
        <v>12</v>
      </c>
      <c r="B1239" s="10" t="s">
        <v>359</v>
      </c>
      <c r="C1239" s="10" t="s">
        <v>6591</v>
      </c>
      <c r="D1239" s="11" t="str">
        <f t="shared" si="1"/>
        <v>Abrir anúncio ↗</v>
      </c>
      <c r="E1239" s="12" t="s">
        <v>6592</v>
      </c>
      <c r="F1239" s="10" t="s">
        <v>29</v>
      </c>
      <c r="G1239" s="12" t="s">
        <v>4918</v>
      </c>
      <c r="H1239" s="12" t="s">
        <v>4919</v>
      </c>
      <c r="I1239" s="10"/>
      <c r="J1239" s="10"/>
      <c r="K1239" s="12"/>
    </row>
    <row r="1240" ht="15.75" customHeight="1">
      <c r="A1240" s="3" t="s">
        <v>12</v>
      </c>
      <c r="B1240" s="3" t="s">
        <v>359</v>
      </c>
      <c r="C1240" s="3" t="s">
        <v>6596</v>
      </c>
      <c r="D1240" s="8" t="str">
        <f t="shared" si="1"/>
        <v>Abrir anúncio ↗</v>
      </c>
      <c r="E1240" s="9" t="s">
        <v>6597</v>
      </c>
      <c r="F1240" s="3" t="s">
        <v>29</v>
      </c>
      <c r="G1240" s="9" t="s">
        <v>4918</v>
      </c>
      <c r="H1240" s="9" t="s">
        <v>4919</v>
      </c>
      <c r="I1240" s="3"/>
      <c r="J1240" s="3"/>
      <c r="K1240" s="9"/>
    </row>
    <row r="1241" ht="15.75" customHeight="1">
      <c r="A1241" s="10" t="s">
        <v>12</v>
      </c>
      <c r="B1241" s="10" t="s">
        <v>359</v>
      </c>
      <c r="C1241" s="10" t="s">
        <v>6600</v>
      </c>
      <c r="D1241" s="11" t="str">
        <f t="shared" si="1"/>
        <v>Abrir anúncio ↗</v>
      </c>
      <c r="E1241" s="12" t="s">
        <v>6602</v>
      </c>
      <c r="F1241" s="10" t="s">
        <v>29</v>
      </c>
      <c r="G1241" s="12" t="s">
        <v>4918</v>
      </c>
      <c r="H1241" s="12" t="s">
        <v>4919</v>
      </c>
      <c r="I1241" s="10"/>
      <c r="J1241" s="10"/>
      <c r="K1241" s="12"/>
    </row>
    <row r="1242" ht="15.75" customHeight="1">
      <c r="A1242" s="3" t="s">
        <v>12</v>
      </c>
      <c r="B1242" s="3" t="s">
        <v>359</v>
      </c>
      <c r="C1242" s="3" t="s">
        <v>6604</v>
      </c>
      <c r="D1242" s="8" t="str">
        <f t="shared" si="1"/>
        <v>Abrir anúncio ↗</v>
      </c>
      <c r="E1242" s="9" t="s">
        <v>6605</v>
      </c>
      <c r="F1242" s="3" t="s">
        <v>29</v>
      </c>
      <c r="G1242" s="9" t="s">
        <v>4918</v>
      </c>
      <c r="H1242" s="9" t="s">
        <v>4919</v>
      </c>
      <c r="I1242" s="3"/>
      <c r="J1242" s="3"/>
      <c r="K1242" s="9"/>
    </row>
    <row r="1243" ht="15.75" customHeight="1">
      <c r="A1243" s="10" t="s">
        <v>12</v>
      </c>
      <c r="B1243" s="10" t="s">
        <v>359</v>
      </c>
      <c r="C1243" s="10" t="s">
        <v>6608</v>
      </c>
      <c r="D1243" s="11" t="str">
        <f t="shared" si="1"/>
        <v>Abrir anúncio ↗</v>
      </c>
      <c r="E1243" s="12" t="s">
        <v>6609</v>
      </c>
      <c r="F1243" s="10" t="s">
        <v>29</v>
      </c>
      <c r="G1243" s="12" t="s">
        <v>4918</v>
      </c>
      <c r="H1243" s="12" t="s">
        <v>4919</v>
      </c>
      <c r="I1243" s="10"/>
      <c r="J1243" s="10"/>
      <c r="K1243" s="12"/>
    </row>
    <row r="1244" ht="15.75" customHeight="1">
      <c r="A1244" s="3" t="s">
        <v>12</v>
      </c>
      <c r="B1244" s="3" t="s">
        <v>359</v>
      </c>
      <c r="C1244" s="3" t="s">
        <v>6611</v>
      </c>
      <c r="D1244" s="8" t="str">
        <f t="shared" si="1"/>
        <v>Abrir anúncio ↗</v>
      </c>
      <c r="E1244" s="9" t="s">
        <v>6612</v>
      </c>
      <c r="F1244" s="3" t="s">
        <v>29</v>
      </c>
      <c r="G1244" s="9" t="s">
        <v>4918</v>
      </c>
      <c r="H1244" s="9" t="s">
        <v>4919</v>
      </c>
      <c r="I1244" s="3"/>
      <c r="J1244" s="3"/>
      <c r="K1244" s="9"/>
    </row>
    <row r="1245" ht="15.75" customHeight="1">
      <c r="A1245" s="10" t="s">
        <v>12</v>
      </c>
      <c r="B1245" s="10" t="s">
        <v>359</v>
      </c>
      <c r="C1245" s="10" t="s">
        <v>6614</v>
      </c>
      <c r="D1245" s="11" t="str">
        <f t="shared" si="1"/>
        <v>Abrir anúncio ↗</v>
      </c>
      <c r="E1245" s="12" t="s">
        <v>6615</v>
      </c>
      <c r="F1245" s="10" t="s">
        <v>29</v>
      </c>
      <c r="G1245" s="12" t="s">
        <v>4918</v>
      </c>
      <c r="H1245" s="12" t="s">
        <v>4919</v>
      </c>
      <c r="I1245" s="10"/>
      <c r="J1245" s="10"/>
      <c r="K1245" s="12"/>
    </row>
    <row r="1246" ht="15.75" customHeight="1">
      <c r="A1246" s="3" t="s">
        <v>12</v>
      </c>
      <c r="B1246" s="3" t="s">
        <v>359</v>
      </c>
      <c r="C1246" s="3" t="s">
        <v>6618</v>
      </c>
      <c r="D1246" s="8" t="str">
        <f t="shared" si="1"/>
        <v>Abrir anúncio ↗</v>
      </c>
      <c r="E1246" s="9" t="s">
        <v>6619</v>
      </c>
      <c r="F1246" s="3" t="s">
        <v>29</v>
      </c>
      <c r="G1246" s="9" t="s">
        <v>4918</v>
      </c>
      <c r="H1246" s="9" t="s">
        <v>4919</v>
      </c>
      <c r="I1246" s="3"/>
      <c r="J1246" s="3"/>
      <c r="K1246" s="9"/>
    </row>
    <row r="1247" ht="15.75" customHeight="1">
      <c r="A1247" s="10" t="s">
        <v>12</v>
      </c>
      <c r="B1247" s="10" t="s">
        <v>359</v>
      </c>
      <c r="C1247" s="10" t="s">
        <v>6498</v>
      </c>
      <c r="D1247" s="11" t="str">
        <f t="shared" si="1"/>
        <v>Abrir anúncio ↗</v>
      </c>
      <c r="E1247" s="12" t="s">
        <v>6485</v>
      </c>
      <c r="F1247" s="10" t="s">
        <v>29</v>
      </c>
      <c r="G1247" s="12" t="s">
        <v>4918</v>
      </c>
      <c r="H1247" s="12" t="s">
        <v>4919</v>
      </c>
      <c r="I1247" s="10"/>
      <c r="J1247" s="10"/>
      <c r="K1247" s="12"/>
    </row>
    <row r="1248" ht="15.75" customHeight="1">
      <c r="A1248" s="3" t="s">
        <v>12</v>
      </c>
      <c r="B1248" s="3" t="s">
        <v>359</v>
      </c>
      <c r="C1248" s="3" t="s">
        <v>6622</v>
      </c>
      <c r="D1248" s="8" t="str">
        <f t="shared" si="1"/>
        <v>Abrir anúncio ↗</v>
      </c>
      <c r="E1248" s="9" t="s">
        <v>6623</v>
      </c>
      <c r="F1248" s="3" t="s">
        <v>29</v>
      </c>
      <c r="G1248" s="9" t="s">
        <v>4918</v>
      </c>
      <c r="H1248" s="9" t="s">
        <v>4919</v>
      </c>
      <c r="I1248" s="3"/>
      <c r="J1248" s="3"/>
      <c r="K1248" s="9"/>
    </row>
    <row r="1249" ht="15.75" customHeight="1">
      <c r="A1249" s="10" t="s">
        <v>12</v>
      </c>
      <c r="B1249" s="10" t="s">
        <v>359</v>
      </c>
      <c r="C1249" s="10" t="s">
        <v>6627</v>
      </c>
      <c r="D1249" s="11" t="str">
        <f t="shared" si="1"/>
        <v>Abrir anúncio ↗</v>
      </c>
      <c r="E1249" s="12" t="s">
        <v>6628</v>
      </c>
      <c r="F1249" s="10" t="s">
        <v>29</v>
      </c>
      <c r="G1249" s="12" t="s">
        <v>4918</v>
      </c>
      <c r="H1249" s="12" t="s">
        <v>4919</v>
      </c>
      <c r="I1249" s="10"/>
      <c r="J1249" s="10"/>
      <c r="K1249" s="12"/>
    </row>
    <row r="1250" ht="15.75" customHeight="1">
      <c r="A1250" s="3" t="s">
        <v>12</v>
      </c>
      <c r="B1250" s="3" t="s">
        <v>359</v>
      </c>
      <c r="C1250" s="3" t="s">
        <v>6631</v>
      </c>
      <c r="D1250" s="8" t="str">
        <f t="shared" si="1"/>
        <v>Abrir anúncio ↗</v>
      </c>
      <c r="E1250" s="9" t="s">
        <v>6633</v>
      </c>
      <c r="F1250" s="3" t="s">
        <v>29</v>
      </c>
      <c r="G1250" s="9" t="s">
        <v>4918</v>
      </c>
      <c r="H1250" s="9" t="s">
        <v>4919</v>
      </c>
      <c r="I1250" s="3"/>
      <c r="J1250" s="3"/>
      <c r="K1250" s="9"/>
    </row>
    <row r="1251" ht="15.75" customHeight="1">
      <c r="A1251" s="10" t="s">
        <v>12</v>
      </c>
      <c r="B1251" s="10" t="s">
        <v>359</v>
      </c>
      <c r="C1251" s="10" t="s">
        <v>6636</v>
      </c>
      <c r="D1251" s="11" t="str">
        <f t="shared" si="1"/>
        <v>Abrir anúncio ↗</v>
      </c>
      <c r="E1251" s="12" t="s">
        <v>6637</v>
      </c>
      <c r="F1251" s="10" t="s">
        <v>29</v>
      </c>
      <c r="G1251" s="12" t="s">
        <v>4918</v>
      </c>
      <c r="H1251" s="12" t="s">
        <v>4919</v>
      </c>
      <c r="I1251" s="10"/>
      <c r="J1251" s="10"/>
      <c r="K1251" s="12"/>
    </row>
    <row r="1252" ht="15.75" customHeight="1">
      <c r="A1252" s="3" t="s">
        <v>12</v>
      </c>
      <c r="B1252" s="3" t="s">
        <v>359</v>
      </c>
      <c r="C1252" s="3" t="s">
        <v>6640</v>
      </c>
      <c r="D1252" s="8" t="str">
        <f t="shared" si="1"/>
        <v>Abrir anúncio ↗</v>
      </c>
      <c r="E1252" s="9" t="s">
        <v>6641</v>
      </c>
      <c r="F1252" s="3" t="s">
        <v>29</v>
      </c>
      <c r="G1252" s="9" t="s">
        <v>4918</v>
      </c>
      <c r="H1252" s="9" t="s">
        <v>4919</v>
      </c>
      <c r="I1252" s="3"/>
      <c r="J1252" s="3"/>
      <c r="K1252" s="9"/>
    </row>
    <row r="1253" ht="15.75" customHeight="1">
      <c r="A1253" s="10" t="s">
        <v>12</v>
      </c>
      <c r="B1253" s="10" t="s">
        <v>359</v>
      </c>
      <c r="C1253" s="10" t="s">
        <v>6642</v>
      </c>
      <c r="D1253" s="11" t="str">
        <f t="shared" si="1"/>
        <v>Abrir anúncio ↗</v>
      </c>
      <c r="E1253" s="12" t="s">
        <v>6644</v>
      </c>
      <c r="F1253" s="10" t="s">
        <v>86</v>
      </c>
      <c r="G1253" s="12" t="s">
        <v>4918</v>
      </c>
      <c r="H1253" s="12" t="s">
        <v>4919</v>
      </c>
      <c r="I1253" s="10"/>
      <c r="J1253" s="10"/>
      <c r="K1253" s="12"/>
    </row>
    <row r="1254" ht="15.75" customHeight="1">
      <c r="A1254" s="3" t="s">
        <v>12</v>
      </c>
      <c r="B1254" s="3" t="s">
        <v>359</v>
      </c>
      <c r="C1254" s="3" t="s">
        <v>6646</v>
      </c>
      <c r="D1254" s="8" t="str">
        <f t="shared" si="1"/>
        <v>Abrir anúncio ↗</v>
      </c>
      <c r="E1254" s="9" t="s">
        <v>6647</v>
      </c>
      <c r="F1254" s="3" t="s">
        <v>29</v>
      </c>
      <c r="G1254" s="9" t="s">
        <v>4918</v>
      </c>
      <c r="H1254" s="9" t="s">
        <v>4919</v>
      </c>
      <c r="I1254" s="3"/>
      <c r="J1254" s="3"/>
      <c r="K1254" s="9"/>
    </row>
    <row r="1255" ht="15.75" customHeight="1">
      <c r="A1255" s="10" t="s">
        <v>12</v>
      </c>
      <c r="B1255" s="10" t="s">
        <v>359</v>
      </c>
      <c r="C1255" s="10" t="s">
        <v>6650</v>
      </c>
      <c r="D1255" s="11" t="str">
        <f t="shared" si="1"/>
        <v>Abrir anúncio ↗</v>
      </c>
      <c r="E1255" s="12" t="s">
        <v>6652</v>
      </c>
      <c r="F1255" s="10" t="s">
        <v>29</v>
      </c>
      <c r="G1255" s="12" t="s">
        <v>4918</v>
      </c>
      <c r="H1255" s="12" t="s">
        <v>4919</v>
      </c>
      <c r="I1255" s="10"/>
      <c r="J1255" s="10"/>
      <c r="K1255" s="12"/>
    </row>
    <row r="1256" ht="15.75" customHeight="1">
      <c r="A1256" s="3" t="s">
        <v>12</v>
      </c>
      <c r="B1256" s="3" t="s">
        <v>359</v>
      </c>
      <c r="C1256" s="3" t="s">
        <v>6653</v>
      </c>
      <c r="D1256" s="8" t="str">
        <f t="shared" si="1"/>
        <v>Abrir anúncio ↗</v>
      </c>
      <c r="E1256" s="9" t="s">
        <v>6654</v>
      </c>
      <c r="F1256" s="3" t="s">
        <v>86</v>
      </c>
      <c r="G1256" s="9" t="s">
        <v>4918</v>
      </c>
      <c r="H1256" s="9" t="s">
        <v>4919</v>
      </c>
      <c r="I1256" s="3"/>
      <c r="J1256" s="3"/>
      <c r="K1256" s="9"/>
    </row>
    <row r="1257" ht="15.75" customHeight="1">
      <c r="A1257" s="10" t="s">
        <v>12</v>
      </c>
      <c r="B1257" s="10" t="s">
        <v>359</v>
      </c>
      <c r="C1257" s="10" t="s">
        <v>6657</v>
      </c>
      <c r="D1257" s="11" t="str">
        <f t="shared" si="1"/>
        <v>Abrir anúncio ↗</v>
      </c>
      <c r="E1257" s="12" t="s">
        <v>6658</v>
      </c>
      <c r="F1257" s="10" t="s">
        <v>29</v>
      </c>
      <c r="G1257" s="12" t="s">
        <v>4918</v>
      </c>
      <c r="H1257" s="12" t="s">
        <v>4919</v>
      </c>
      <c r="I1257" s="10"/>
      <c r="J1257" s="10"/>
      <c r="K1257" s="12"/>
    </row>
    <row r="1258" ht="15.75" customHeight="1">
      <c r="A1258" s="3" t="s">
        <v>12</v>
      </c>
      <c r="B1258" s="3" t="s">
        <v>359</v>
      </c>
      <c r="C1258" s="3" t="s">
        <v>6660</v>
      </c>
      <c r="D1258" s="8" t="str">
        <f t="shared" si="1"/>
        <v>Abrir anúncio ↗</v>
      </c>
      <c r="E1258" s="9" t="s">
        <v>6662</v>
      </c>
      <c r="F1258" s="3" t="s">
        <v>29</v>
      </c>
      <c r="G1258" s="9" t="s">
        <v>4918</v>
      </c>
      <c r="H1258" s="9" t="s">
        <v>4919</v>
      </c>
      <c r="I1258" s="3"/>
      <c r="J1258" s="3"/>
      <c r="K1258" s="9"/>
    </row>
    <row r="1259" ht="15.75" customHeight="1">
      <c r="A1259" s="10" t="s">
        <v>12</v>
      </c>
      <c r="B1259" s="10" t="s">
        <v>359</v>
      </c>
      <c r="C1259" s="10" t="s">
        <v>6664</v>
      </c>
      <c r="D1259" s="11" t="str">
        <f t="shared" si="1"/>
        <v>Abrir anúncio ↗</v>
      </c>
      <c r="E1259" s="12" t="s">
        <v>6665</v>
      </c>
      <c r="F1259" s="10" t="s">
        <v>29</v>
      </c>
      <c r="G1259" s="12" t="s">
        <v>4918</v>
      </c>
      <c r="H1259" s="12" t="s">
        <v>4919</v>
      </c>
      <c r="I1259" s="10"/>
      <c r="J1259" s="10"/>
      <c r="K1259" s="12"/>
    </row>
    <row r="1260" ht="15.75" customHeight="1">
      <c r="A1260" s="3" t="s">
        <v>12</v>
      </c>
      <c r="B1260" s="3" t="s">
        <v>359</v>
      </c>
      <c r="C1260" s="3" t="s">
        <v>6668</v>
      </c>
      <c r="D1260" s="8" t="str">
        <f t="shared" si="1"/>
        <v>Abrir anúncio ↗</v>
      </c>
      <c r="E1260" s="9" t="s">
        <v>6669</v>
      </c>
      <c r="F1260" s="3" t="s">
        <v>29</v>
      </c>
      <c r="G1260" s="9" t="s">
        <v>4918</v>
      </c>
      <c r="H1260" s="9" t="s">
        <v>4919</v>
      </c>
      <c r="I1260" s="3"/>
      <c r="J1260" s="3"/>
      <c r="K1260" s="9"/>
    </row>
    <row r="1261" ht="15.75" customHeight="1">
      <c r="A1261" s="10" t="s">
        <v>12</v>
      </c>
      <c r="B1261" s="10" t="s">
        <v>359</v>
      </c>
      <c r="C1261" s="10" t="s">
        <v>6672</v>
      </c>
      <c r="D1261" s="11" t="str">
        <f t="shared" si="1"/>
        <v>Abrir anúncio ↗</v>
      </c>
      <c r="E1261" s="12" t="s">
        <v>6674</v>
      </c>
      <c r="F1261" s="10" t="s">
        <v>29</v>
      </c>
      <c r="G1261" s="12" t="s">
        <v>4918</v>
      </c>
      <c r="H1261" s="12" t="s">
        <v>4919</v>
      </c>
      <c r="I1261" s="10"/>
      <c r="J1261" s="10"/>
      <c r="K1261" s="12"/>
    </row>
    <row r="1262" ht="15.75" customHeight="1">
      <c r="A1262" s="3" t="s">
        <v>12</v>
      </c>
      <c r="B1262" s="3" t="s">
        <v>359</v>
      </c>
      <c r="C1262" s="3" t="s">
        <v>6675</v>
      </c>
      <c r="D1262" s="8" t="str">
        <f t="shared" si="1"/>
        <v>Abrir anúncio ↗</v>
      </c>
      <c r="E1262" s="9" t="s">
        <v>6676</v>
      </c>
      <c r="F1262" s="3" t="s">
        <v>29</v>
      </c>
      <c r="G1262" s="9" t="s">
        <v>4918</v>
      </c>
      <c r="H1262" s="9" t="s">
        <v>4919</v>
      </c>
      <c r="I1262" s="3"/>
      <c r="J1262" s="3"/>
      <c r="K1262" s="9"/>
    </row>
    <row r="1263" ht="15.75" customHeight="1">
      <c r="A1263" s="10" t="s">
        <v>12</v>
      </c>
      <c r="B1263" s="10" t="s">
        <v>359</v>
      </c>
      <c r="C1263" s="10" t="s">
        <v>6678</v>
      </c>
      <c r="D1263" s="11" t="str">
        <f t="shared" si="1"/>
        <v>Abrir anúncio ↗</v>
      </c>
      <c r="E1263" s="12" t="s">
        <v>6680</v>
      </c>
      <c r="F1263" s="10" t="s">
        <v>29</v>
      </c>
      <c r="G1263" s="12" t="s">
        <v>4918</v>
      </c>
      <c r="H1263" s="12" t="s">
        <v>4919</v>
      </c>
      <c r="I1263" s="10"/>
      <c r="J1263" s="10"/>
      <c r="K1263" s="12"/>
    </row>
    <row r="1264" ht="15.75" customHeight="1">
      <c r="A1264" s="3" t="s">
        <v>12</v>
      </c>
      <c r="B1264" s="3" t="s">
        <v>359</v>
      </c>
      <c r="C1264" s="3" t="s">
        <v>6681</v>
      </c>
      <c r="D1264" s="8" t="str">
        <f t="shared" si="1"/>
        <v>Abrir anúncio ↗</v>
      </c>
      <c r="E1264" s="9" t="s">
        <v>6682</v>
      </c>
      <c r="F1264" s="3" t="s">
        <v>29</v>
      </c>
      <c r="G1264" s="9" t="s">
        <v>4918</v>
      </c>
      <c r="H1264" s="9" t="s">
        <v>4919</v>
      </c>
      <c r="I1264" s="3"/>
      <c r="J1264" s="3"/>
      <c r="K1264" s="9"/>
    </row>
    <row r="1265" ht="15.75" customHeight="1">
      <c r="A1265" s="10" t="s">
        <v>12</v>
      </c>
      <c r="B1265" s="10" t="s">
        <v>359</v>
      </c>
      <c r="C1265" s="10" t="s">
        <v>6685</v>
      </c>
      <c r="D1265" s="11" t="str">
        <f t="shared" si="1"/>
        <v>Abrir anúncio ↗</v>
      </c>
      <c r="E1265" s="12" t="s">
        <v>6686</v>
      </c>
      <c r="F1265" s="10" t="s">
        <v>29</v>
      </c>
      <c r="G1265" s="12" t="s">
        <v>4918</v>
      </c>
      <c r="H1265" s="12" t="s">
        <v>4919</v>
      </c>
      <c r="I1265" s="10"/>
      <c r="J1265" s="10"/>
      <c r="K1265" s="12"/>
    </row>
    <row r="1266" ht="15.75" customHeight="1">
      <c r="A1266" s="3" t="s">
        <v>12</v>
      </c>
      <c r="B1266" s="3" t="s">
        <v>359</v>
      </c>
      <c r="C1266" s="3" t="s">
        <v>6688</v>
      </c>
      <c r="D1266" s="8" t="str">
        <f t="shared" si="1"/>
        <v>Abrir anúncio ↗</v>
      </c>
      <c r="E1266" s="9" t="s">
        <v>6690</v>
      </c>
      <c r="F1266" s="3" t="s">
        <v>29</v>
      </c>
      <c r="G1266" s="9" t="s">
        <v>4918</v>
      </c>
      <c r="H1266" s="9" t="s">
        <v>4919</v>
      </c>
      <c r="I1266" s="3"/>
      <c r="J1266" s="3"/>
      <c r="K1266" s="9"/>
    </row>
    <row r="1267" ht="15.75" customHeight="1">
      <c r="A1267" s="10" t="s">
        <v>12</v>
      </c>
      <c r="B1267" s="10" t="s">
        <v>359</v>
      </c>
      <c r="C1267" s="10" t="s">
        <v>6671</v>
      </c>
      <c r="D1267" s="11" t="str">
        <f t="shared" si="1"/>
        <v>Abrir anúncio ↗</v>
      </c>
      <c r="E1267" s="12" t="s">
        <v>6557</v>
      </c>
      <c r="F1267" s="10" t="s">
        <v>29</v>
      </c>
      <c r="G1267" s="12" t="s">
        <v>4918</v>
      </c>
      <c r="H1267" s="12" t="s">
        <v>4919</v>
      </c>
      <c r="I1267" s="10"/>
      <c r="J1267" s="10"/>
      <c r="K1267" s="12"/>
    </row>
    <row r="1268" ht="15.75" customHeight="1">
      <c r="A1268" s="3" t="s">
        <v>12</v>
      </c>
      <c r="B1268" s="3" t="s">
        <v>359</v>
      </c>
      <c r="C1268" s="3" t="s">
        <v>6696</v>
      </c>
      <c r="D1268" s="8" t="str">
        <f t="shared" si="1"/>
        <v>Abrir anúncio ↗</v>
      </c>
      <c r="E1268" s="9" t="s">
        <v>6112</v>
      </c>
      <c r="F1268" s="3" t="s">
        <v>29</v>
      </c>
      <c r="G1268" s="9" t="s">
        <v>4918</v>
      </c>
      <c r="H1268" s="9" t="s">
        <v>4919</v>
      </c>
      <c r="I1268" s="3"/>
      <c r="J1268" s="3"/>
      <c r="K1268" s="9"/>
    </row>
    <row r="1269" ht="15.75" customHeight="1">
      <c r="A1269" s="10" t="s">
        <v>12</v>
      </c>
      <c r="B1269" s="10" t="s">
        <v>359</v>
      </c>
      <c r="C1269" s="10" t="s">
        <v>6699</v>
      </c>
      <c r="D1269" s="11" t="str">
        <f t="shared" si="1"/>
        <v>Abrir anúncio ↗</v>
      </c>
      <c r="E1269" s="12" t="s">
        <v>6700</v>
      </c>
      <c r="F1269" s="10" t="s">
        <v>29</v>
      </c>
      <c r="G1269" s="12" t="s">
        <v>4918</v>
      </c>
      <c r="H1269" s="12" t="s">
        <v>4919</v>
      </c>
      <c r="I1269" s="10"/>
      <c r="J1269" s="10"/>
      <c r="K1269" s="12"/>
    </row>
    <row r="1270" ht="15.75" customHeight="1">
      <c r="A1270" s="3" t="s">
        <v>12</v>
      </c>
      <c r="B1270" s="3" t="s">
        <v>359</v>
      </c>
      <c r="C1270" s="3" t="s">
        <v>6488</v>
      </c>
      <c r="D1270" s="8" t="str">
        <f t="shared" si="1"/>
        <v>Abrir anúncio ↗</v>
      </c>
      <c r="E1270" s="9" t="s">
        <v>6485</v>
      </c>
      <c r="F1270" s="3" t="s">
        <v>29</v>
      </c>
      <c r="G1270" s="9" t="s">
        <v>4918</v>
      </c>
      <c r="H1270" s="9" t="s">
        <v>4919</v>
      </c>
      <c r="I1270" s="3"/>
      <c r="J1270" s="3"/>
      <c r="K1270" s="9"/>
    </row>
    <row r="1271" ht="15.75" customHeight="1">
      <c r="A1271" s="10" t="s">
        <v>12</v>
      </c>
      <c r="B1271" s="10" t="s">
        <v>359</v>
      </c>
      <c r="C1271" s="10" t="s">
        <v>6706</v>
      </c>
      <c r="D1271" s="11" t="str">
        <f t="shared" si="1"/>
        <v>Abrir anúncio ↗</v>
      </c>
      <c r="E1271" s="12" t="s">
        <v>6128</v>
      </c>
      <c r="F1271" s="10" t="s">
        <v>29</v>
      </c>
      <c r="G1271" s="12" t="s">
        <v>4918</v>
      </c>
      <c r="H1271" s="12" t="s">
        <v>4919</v>
      </c>
      <c r="I1271" s="10"/>
      <c r="J1271" s="10"/>
      <c r="K1271" s="12"/>
    </row>
    <row r="1272" ht="15.75" customHeight="1">
      <c r="A1272" s="3" t="s">
        <v>12</v>
      </c>
      <c r="B1272" s="3" t="s">
        <v>359</v>
      </c>
      <c r="C1272" s="3" t="s">
        <v>6708</v>
      </c>
      <c r="D1272" s="8" t="str">
        <f t="shared" si="1"/>
        <v>Abrir anúncio ↗</v>
      </c>
      <c r="E1272" s="9" t="s">
        <v>6710</v>
      </c>
      <c r="F1272" s="3" t="s">
        <v>29</v>
      </c>
      <c r="G1272" s="9" t="s">
        <v>4918</v>
      </c>
      <c r="H1272" s="9" t="s">
        <v>4919</v>
      </c>
      <c r="I1272" s="3"/>
      <c r="J1272" s="3"/>
      <c r="K1272" s="9"/>
    </row>
    <row r="1273" ht="15.75" customHeight="1">
      <c r="A1273" s="10" t="s">
        <v>12</v>
      </c>
      <c r="B1273" s="10" t="s">
        <v>359</v>
      </c>
      <c r="C1273" s="10" t="s">
        <v>6714</v>
      </c>
      <c r="D1273" s="11" t="str">
        <f t="shared" si="1"/>
        <v>Abrir anúncio ↗</v>
      </c>
      <c r="E1273" s="12" t="s">
        <v>6647</v>
      </c>
      <c r="F1273" s="10" t="s">
        <v>29</v>
      </c>
      <c r="G1273" s="12" t="s">
        <v>4918</v>
      </c>
      <c r="H1273" s="12" t="s">
        <v>4919</v>
      </c>
      <c r="I1273" s="10"/>
      <c r="J1273" s="10"/>
      <c r="K1273" s="12"/>
    </row>
    <row r="1274" ht="15.75" customHeight="1">
      <c r="A1274" s="3" t="s">
        <v>12</v>
      </c>
      <c r="B1274" s="3" t="s">
        <v>359</v>
      </c>
      <c r="C1274" s="3" t="s">
        <v>6718</v>
      </c>
      <c r="D1274" s="8" t="str">
        <f t="shared" si="1"/>
        <v>Abrir anúncio ↗</v>
      </c>
      <c r="E1274" s="9" t="s">
        <v>5187</v>
      </c>
      <c r="F1274" s="3" t="s">
        <v>29</v>
      </c>
      <c r="G1274" s="9" t="s">
        <v>4918</v>
      </c>
      <c r="H1274" s="9" t="s">
        <v>4919</v>
      </c>
      <c r="I1274" s="3"/>
      <c r="J1274" s="3"/>
      <c r="K1274" s="9"/>
    </row>
    <row r="1275" ht="15.75" customHeight="1">
      <c r="A1275" s="10" t="s">
        <v>12</v>
      </c>
      <c r="B1275" s="10" t="s">
        <v>359</v>
      </c>
      <c r="C1275" s="10" t="s">
        <v>6720</v>
      </c>
      <c r="D1275" s="11" t="str">
        <f t="shared" si="1"/>
        <v>Abrir anúncio ↗</v>
      </c>
      <c r="E1275" s="12" t="s">
        <v>6277</v>
      </c>
      <c r="F1275" s="10" t="s">
        <v>29</v>
      </c>
      <c r="G1275" s="12" t="s">
        <v>4918</v>
      </c>
      <c r="H1275" s="12" t="s">
        <v>4919</v>
      </c>
      <c r="I1275" s="10"/>
      <c r="J1275" s="10"/>
      <c r="K1275" s="12"/>
    </row>
    <row r="1276" ht="15.75" customHeight="1">
      <c r="A1276" s="3" t="s">
        <v>12</v>
      </c>
      <c r="B1276" s="3" t="s">
        <v>359</v>
      </c>
      <c r="C1276" s="3" t="s">
        <v>6723</v>
      </c>
      <c r="D1276" s="8" t="str">
        <f t="shared" si="1"/>
        <v>Abrir anúncio ↗</v>
      </c>
      <c r="E1276" s="9" t="s">
        <v>6132</v>
      </c>
      <c r="F1276" s="3" t="s">
        <v>29</v>
      </c>
      <c r="G1276" s="9" t="s">
        <v>4918</v>
      </c>
      <c r="H1276" s="9" t="s">
        <v>4919</v>
      </c>
      <c r="I1276" s="3"/>
      <c r="J1276" s="3"/>
      <c r="K1276" s="9"/>
    </row>
    <row r="1277" ht="15.75" customHeight="1">
      <c r="A1277" s="10" t="s">
        <v>12</v>
      </c>
      <c r="B1277" s="10" t="s">
        <v>359</v>
      </c>
      <c r="C1277" s="10" t="s">
        <v>6726</v>
      </c>
      <c r="D1277" s="11" t="str">
        <f t="shared" si="1"/>
        <v>Abrir anúncio ↗</v>
      </c>
      <c r="E1277" s="12" t="s">
        <v>6644</v>
      </c>
      <c r="F1277" s="10" t="s">
        <v>86</v>
      </c>
      <c r="G1277" s="12" t="s">
        <v>4918</v>
      </c>
      <c r="H1277" s="12" t="s">
        <v>4919</v>
      </c>
      <c r="I1277" s="10"/>
      <c r="J1277" s="10"/>
      <c r="K1277" s="12"/>
    </row>
    <row r="1278" ht="15.75" customHeight="1">
      <c r="A1278" s="3" t="s">
        <v>12</v>
      </c>
      <c r="B1278" s="3" t="s">
        <v>359</v>
      </c>
      <c r="C1278" s="3" t="s">
        <v>6728</v>
      </c>
      <c r="D1278" s="8" t="str">
        <f t="shared" si="1"/>
        <v>Abrir anúncio ↗</v>
      </c>
      <c r="E1278" s="9" t="s">
        <v>5112</v>
      </c>
      <c r="F1278" s="3" t="s">
        <v>29</v>
      </c>
      <c r="G1278" s="9" t="s">
        <v>4918</v>
      </c>
      <c r="H1278" s="9" t="s">
        <v>4919</v>
      </c>
      <c r="I1278" s="3"/>
      <c r="J1278" s="3"/>
      <c r="K1278" s="9"/>
    </row>
    <row r="1279" ht="15.75" customHeight="1">
      <c r="A1279" s="10" t="s">
        <v>12</v>
      </c>
      <c r="B1279" s="10" t="s">
        <v>359</v>
      </c>
      <c r="C1279" s="10" t="s">
        <v>6733</v>
      </c>
      <c r="D1279" s="11" t="str">
        <f t="shared" si="1"/>
        <v>Abrir anúncio ↗</v>
      </c>
      <c r="E1279" s="12" t="s">
        <v>6633</v>
      </c>
      <c r="F1279" s="10" t="s">
        <v>29</v>
      </c>
      <c r="G1279" s="12" t="s">
        <v>4918</v>
      </c>
      <c r="H1279" s="12" t="s">
        <v>4919</v>
      </c>
      <c r="I1279" s="10"/>
      <c r="J1279" s="10"/>
      <c r="K1279" s="12"/>
    </row>
    <row r="1280" ht="15.75" customHeight="1">
      <c r="A1280" s="3" t="s">
        <v>12</v>
      </c>
      <c r="B1280" s="3" t="s">
        <v>359</v>
      </c>
      <c r="C1280" s="3" t="s">
        <v>6503</v>
      </c>
      <c r="D1280" s="8" t="str">
        <f t="shared" si="1"/>
        <v>Abrir anúncio ↗</v>
      </c>
      <c r="E1280" s="9" t="s">
        <v>5548</v>
      </c>
      <c r="F1280" s="3" t="s">
        <v>29</v>
      </c>
      <c r="G1280" s="9" t="s">
        <v>4918</v>
      </c>
      <c r="H1280" s="9" t="s">
        <v>4919</v>
      </c>
      <c r="I1280" s="3"/>
      <c r="J1280" s="3"/>
      <c r="K1280" s="9"/>
    </row>
    <row r="1281" ht="15.75" customHeight="1">
      <c r="A1281" s="10" t="s">
        <v>12</v>
      </c>
      <c r="B1281" s="10" t="s">
        <v>359</v>
      </c>
      <c r="C1281" s="10" t="s">
        <v>6740</v>
      </c>
      <c r="D1281" s="11" t="str">
        <f t="shared" si="1"/>
        <v>Abrir anúncio ↗</v>
      </c>
      <c r="E1281" s="12" t="s">
        <v>6741</v>
      </c>
      <c r="F1281" s="10" t="s">
        <v>29</v>
      </c>
      <c r="G1281" s="12" t="s">
        <v>4918</v>
      </c>
      <c r="H1281" s="12" t="s">
        <v>4919</v>
      </c>
      <c r="I1281" s="10"/>
      <c r="J1281" s="10"/>
      <c r="K1281" s="12"/>
    </row>
    <row r="1282" ht="15.75" customHeight="1">
      <c r="A1282" s="3" t="s">
        <v>12</v>
      </c>
      <c r="B1282" s="3" t="s">
        <v>359</v>
      </c>
      <c r="C1282" s="3" t="s">
        <v>6745</v>
      </c>
      <c r="D1282" s="8" t="str">
        <f t="shared" si="1"/>
        <v>Abrir anúncio ↗</v>
      </c>
      <c r="E1282" s="9" t="s">
        <v>6747</v>
      </c>
      <c r="F1282" s="3" t="s">
        <v>29</v>
      </c>
      <c r="G1282" s="9" t="s">
        <v>4918</v>
      </c>
      <c r="H1282" s="9" t="s">
        <v>4919</v>
      </c>
      <c r="I1282" s="3"/>
      <c r="J1282" s="3"/>
      <c r="K1282" s="9"/>
    </row>
    <row r="1283" ht="15.75" customHeight="1">
      <c r="A1283" s="10" t="s">
        <v>12</v>
      </c>
      <c r="B1283" s="10" t="s">
        <v>359</v>
      </c>
      <c r="C1283" s="10" t="s">
        <v>6750</v>
      </c>
      <c r="D1283" s="11" t="str">
        <f t="shared" si="1"/>
        <v>Abrir anúncio ↗</v>
      </c>
      <c r="E1283" s="12" t="s">
        <v>6484</v>
      </c>
      <c r="F1283" s="10" t="s">
        <v>29</v>
      </c>
      <c r="G1283" s="12" t="s">
        <v>4918</v>
      </c>
      <c r="H1283" s="12" t="s">
        <v>4919</v>
      </c>
      <c r="I1283" s="10"/>
      <c r="J1283" s="10"/>
      <c r="K1283" s="12"/>
    </row>
    <row r="1284" ht="15.75" customHeight="1">
      <c r="A1284" s="3" t="s">
        <v>12</v>
      </c>
      <c r="B1284" s="3" t="s">
        <v>359</v>
      </c>
      <c r="C1284" s="3" t="s">
        <v>6754</v>
      </c>
      <c r="D1284" s="8" t="str">
        <f t="shared" si="1"/>
        <v>Abrir anúncio ↗</v>
      </c>
      <c r="E1284" s="9" t="s">
        <v>3585</v>
      </c>
      <c r="F1284" s="3" t="s">
        <v>29</v>
      </c>
      <c r="G1284" s="9" t="s">
        <v>4918</v>
      </c>
      <c r="H1284" s="9" t="s">
        <v>4919</v>
      </c>
      <c r="I1284" s="3"/>
      <c r="J1284" s="3"/>
      <c r="K1284" s="9"/>
    </row>
    <row r="1285" ht="15.75" customHeight="1">
      <c r="A1285" s="10" t="s">
        <v>12</v>
      </c>
      <c r="B1285" s="10" t="s">
        <v>359</v>
      </c>
      <c r="C1285" s="10" t="s">
        <v>6759</v>
      </c>
      <c r="D1285" s="11" t="str">
        <f t="shared" si="1"/>
        <v>Abrir anúncio ↗</v>
      </c>
      <c r="E1285" s="12" t="s">
        <v>6761</v>
      </c>
      <c r="F1285" s="10" t="s">
        <v>29</v>
      </c>
      <c r="G1285" s="12" t="s">
        <v>4918</v>
      </c>
      <c r="H1285" s="12" t="s">
        <v>4919</v>
      </c>
      <c r="I1285" s="10"/>
      <c r="J1285" s="10"/>
      <c r="K1285" s="12"/>
    </row>
    <row r="1286" ht="15.75" customHeight="1">
      <c r="A1286" s="3" t="s">
        <v>12</v>
      </c>
      <c r="B1286" s="3" t="s">
        <v>359</v>
      </c>
      <c r="C1286" s="3" t="s">
        <v>6763</v>
      </c>
      <c r="D1286" s="8" t="str">
        <f t="shared" si="1"/>
        <v>Abrir anúncio ↗</v>
      </c>
      <c r="E1286" s="9" t="s">
        <v>6012</v>
      </c>
      <c r="F1286" s="3" t="s">
        <v>29</v>
      </c>
      <c r="G1286" s="9" t="s">
        <v>4918</v>
      </c>
      <c r="H1286" s="9" t="s">
        <v>4919</v>
      </c>
      <c r="I1286" s="3"/>
      <c r="J1286" s="3"/>
      <c r="K1286" s="9"/>
    </row>
    <row r="1287" ht="15.75" customHeight="1">
      <c r="A1287" s="10" t="s">
        <v>12</v>
      </c>
      <c r="B1287" s="10" t="s">
        <v>359</v>
      </c>
      <c r="C1287" s="10" t="s">
        <v>6764</v>
      </c>
      <c r="D1287" s="11" t="str">
        <f t="shared" si="1"/>
        <v>Abrir anúncio ↗</v>
      </c>
      <c r="E1287" s="12" t="s">
        <v>6766</v>
      </c>
      <c r="F1287" s="10" t="s">
        <v>29</v>
      </c>
      <c r="G1287" s="12" t="s">
        <v>4918</v>
      </c>
      <c r="H1287" s="12" t="s">
        <v>4919</v>
      </c>
      <c r="I1287" s="10"/>
      <c r="J1287" s="10"/>
      <c r="K1287" s="12"/>
    </row>
    <row r="1288" ht="15.75" customHeight="1">
      <c r="A1288" s="3" t="s">
        <v>12</v>
      </c>
      <c r="B1288" s="3" t="s">
        <v>359</v>
      </c>
      <c r="C1288" s="3" t="s">
        <v>6768</v>
      </c>
      <c r="D1288" s="8" t="str">
        <f t="shared" si="1"/>
        <v>Abrir anúncio ↗</v>
      </c>
      <c r="E1288" s="9" t="s">
        <v>6517</v>
      </c>
      <c r="F1288" s="3" t="s">
        <v>29</v>
      </c>
      <c r="G1288" s="9" t="s">
        <v>4918</v>
      </c>
      <c r="H1288" s="9" t="s">
        <v>4919</v>
      </c>
      <c r="I1288" s="3"/>
      <c r="J1288" s="3"/>
      <c r="K1288" s="9"/>
    </row>
    <row r="1289" ht="15.75" customHeight="1">
      <c r="A1289" s="10" t="s">
        <v>12</v>
      </c>
      <c r="B1289" s="10" t="s">
        <v>359</v>
      </c>
      <c r="C1289" s="10" t="s">
        <v>6771</v>
      </c>
      <c r="D1289" s="11" t="str">
        <f t="shared" si="1"/>
        <v>Abrir anúncio ↗</v>
      </c>
      <c r="E1289" s="12" t="s">
        <v>6501</v>
      </c>
      <c r="F1289" s="10" t="s">
        <v>29</v>
      </c>
      <c r="G1289" s="12" t="s">
        <v>4918</v>
      </c>
      <c r="H1289" s="12" t="s">
        <v>4919</v>
      </c>
      <c r="I1289" s="10"/>
      <c r="J1289" s="10"/>
      <c r="K1289" s="12"/>
    </row>
    <row r="1290" ht="15.75" customHeight="1">
      <c r="A1290" s="3" t="s">
        <v>12</v>
      </c>
      <c r="B1290" s="3" t="s">
        <v>359</v>
      </c>
      <c r="C1290" s="3" t="s">
        <v>6775</v>
      </c>
      <c r="D1290" s="8" t="str">
        <f t="shared" si="1"/>
        <v>Abrir anúncio ↗</v>
      </c>
      <c r="E1290" s="9" t="s">
        <v>5359</v>
      </c>
      <c r="F1290" s="3" t="s">
        <v>29</v>
      </c>
      <c r="G1290" s="9" t="s">
        <v>4918</v>
      </c>
      <c r="H1290" s="9" t="s">
        <v>4919</v>
      </c>
      <c r="I1290" s="3"/>
      <c r="J1290" s="3"/>
      <c r="K1290" s="9"/>
    </row>
    <row r="1291" ht="15.75" customHeight="1">
      <c r="A1291" s="10" t="s">
        <v>12</v>
      </c>
      <c r="B1291" s="10" t="s">
        <v>359</v>
      </c>
      <c r="C1291" s="10" t="s">
        <v>6778</v>
      </c>
      <c r="D1291" s="11" t="str">
        <f t="shared" si="1"/>
        <v>Abrir anúncio ↗</v>
      </c>
      <c r="E1291" s="12" t="s">
        <v>6106</v>
      </c>
      <c r="F1291" s="10" t="s">
        <v>29</v>
      </c>
      <c r="G1291" s="12" t="s">
        <v>4918</v>
      </c>
      <c r="H1291" s="12" t="s">
        <v>4919</v>
      </c>
      <c r="I1291" s="10"/>
      <c r="J1291" s="10"/>
      <c r="K1291" s="12"/>
    </row>
    <row r="1292" ht="15.75" customHeight="1">
      <c r="A1292" s="3" t="s">
        <v>12</v>
      </c>
      <c r="B1292" s="3" t="s">
        <v>359</v>
      </c>
      <c r="C1292" s="3" t="s">
        <v>6782</v>
      </c>
      <c r="D1292" s="8" t="str">
        <f t="shared" si="1"/>
        <v>Abrir anúncio ↗</v>
      </c>
      <c r="E1292" s="9" t="s">
        <v>6467</v>
      </c>
      <c r="F1292" s="3" t="s">
        <v>29</v>
      </c>
      <c r="G1292" s="9" t="s">
        <v>4918</v>
      </c>
      <c r="H1292" s="9" t="s">
        <v>4919</v>
      </c>
      <c r="I1292" s="3"/>
      <c r="J1292" s="3"/>
      <c r="K1292" s="9"/>
    </row>
    <row r="1293" ht="15.75" customHeight="1">
      <c r="A1293" s="10" t="s">
        <v>12</v>
      </c>
      <c r="B1293" s="10" t="s">
        <v>359</v>
      </c>
      <c r="C1293" s="10" t="s">
        <v>6785</v>
      </c>
      <c r="D1293" s="11" t="str">
        <f t="shared" si="1"/>
        <v>Abrir anúncio ↗</v>
      </c>
      <c r="E1293" s="12" t="s">
        <v>5835</v>
      </c>
      <c r="F1293" s="10" t="s">
        <v>29</v>
      </c>
      <c r="G1293" s="12" t="s">
        <v>4918</v>
      </c>
      <c r="H1293" s="12" t="s">
        <v>4919</v>
      </c>
      <c r="I1293" s="10"/>
      <c r="J1293" s="10"/>
      <c r="K1293" s="12"/>
    </row>
    <row r="1294" ht="15.75" customHeight="1">
      <c r="A1294" s="3" t="s">
        <v>12</v>
      </c>
      <c r="B1294" s="3" t="s">
        <v>359</v>
      </c>
      <c r="C1294" s="3" t="s">
        <v>6791</v>
      </c>
      <c r="D1294" s="8" t="str">
        <f t="shared" si="1"/>
        <v>Abrir anúncio ↗</v>
      </c>
      <c r="E1294" s="9" t="s">
        <v>5998</v>
      </c>
      <c r="F1294" s="3" t="s">
        <v>29</v>
      </c>
      <c r="G1294" s="9" t="s">
        <v>4918</v>
      </c>
      <c r="H1294" s="9" t="s">
        <v>4919</v>
      </c>
      <c r="I1294" s="3"/>
      <c r="J1294" s="3"/>
      <c r="K1294" s="9"/>
    </row>
    <row r="1295" ht="15.75" customHeight="1">
      <c r="A1295" s="10" t="s">
        <v>12</v>
      </c>
      <c r="B1295" s="10" t="s">
        <v>359</v>
      </c>
      <c r="C1295" s="10" t="s">
        <v>6794</v>
      </c>
      <c r="D1295" s="11" t="str">
        <f t="shared" si="1"/>
        <v>Abrir anúncio ↗</v>
      </c>
      <c r="E1295" s="12" t="s">
        <v>6623</v>
      </c>
      <c r="F1295" s="10" t="s">
        <v>29</v>
      </c>
      <c r="G1295" s="12" t="s">
        <v>4918</v>
      </c>
      <c r="H1295" s="12" t="s">
        <v>4919</v>
      </c>
      <c r="I1295" s="10"/>
      <c r="J1295" s="10"/>
      <c r="K1295" s="12"/>
    </row>
    <row r="1296" ht="15.75" customHeight="1">
      <c r="A1296" s="3" t="s">
        <v>12</v>
      </c>
      <c r="B1296" s="3" t="s">
        <v>359</v>
      </c>
      <c r="C1296" s="3" t="s">
        <v>6797</v>
      </c>
      <c r="D1296" s="8" t="str">
        <f t="shared" si="1"/>
        <v>Abrir anúncio ↗</v>
      </c>
      <c r="E1296" s="9" t="s">
        <v>6579</v>
      </c>
      <c r="F1296" s="3" t="s">
        <v>29</v>
      </c>
      <c r="G1296" s="9" t="s">
        <v>4918</v>
      </c>
      <c r="H1296" s="9" t="s">
        <v>4919</v>
      </c>
      <c r="I1296" s="3"/>
      <c r="J1296" s="3"/>
      <c r="K1296" s="9"/>
    </row>
    <row r="1297" ht="15.75" customHeight="1">
      <c r="A1297" s="10" t="s">
        <v>12</v>
      </c>
      <c r="B1297" s="10" t="s">
        <v>359</v>
      </c>
      <c r="C1297" s="10" t="s">
        <v>6581</v>
      </c>
      <c r="D1297" s="11" t="str">
        <f t="shared" si="1"/>
        <v>Abrir anúncio ↗</v>
      </c>
      <c r="E1297" s="12" t="s">
        <v>6162</v>
      </c>
      <c r="F1297" s="10" t="s">
        <v>29</v>
      </c>
      <c r="G1297" s="12" t="s">
        <v>4918</v>
      </c>
      <c r="H1297" s="12" t="s">
        <v>4919</v>
      </c>
      <c r="I1297" s="10"/>
      <c r="J1297" s="10"/>
      <c r="K1297" s="12"/>
    </row>
    <row r="1298" ht="15.75" customHeight="1">
      <c r="A1298" s="3" t="s">
        <v>12</v>
      </c>
      <c r="B1298" s="3" t="s">
        <v>359</v>
      </c>
      <c r="C1298" s="3" t="s">
        <v>6802</v>
      </c>
      <c r="D1298" s="8" t="str">
        <f t="shared" si="1"/>
        <v>Abrir anúncio ↗</v>
      </c>
      <c r="E1298" s="9" t="s">
        <v>5587</v>
      </c>
      <c r="F1298" s="3" t="s">
        <v>29</v>
      </c>
      <c r="G1298" s="9" t="s">
        <v>4918</v>
      </c>
      <c r="H1298" s="9" t="s">
        <v>4919</v>
      </c>
      <c r="I1298" s="3"/>
      <c r="J1298" s="3"/>
      <c r="K1298" s="9"/>
    </row>
    <row r="1299" ht="15.75" customHeight="1">
      <c r="A1299" s="10" t="s">
        <v>12</v>
      </c>
      <c r="B1299" s="10" t="s">
        <v>359</v>
      </c>
      <c r="C1299" s="10" t="s">
        <v>6807</v>
      </c>
      <c r="D1299" s="11" t="str">
        <f t="shared" si="1"/>
        <v>Abrir anúncio ↗</v>
      </c>
      <c r="E1299" s="12" t="s">
        <v>6809</v>
      </c>
      <c r="F1299" s="10" t="s">
        <v>86</v>
      </c>
      <c r="G1299" s="12" t="s">
        <v>4918</v>
      </c>
      <c r="H1299" s="12" t="s">
        <v>4919</v>
      </c>
      <c r="I1299" s="10"/>
      <c r="J1299" s="10"/>
      <c r="K1299" s="12"/>
    </row>
    <row r="1300" ht="15.75" customHeight="1">
      <c r="A1300" s="3" t="s">
        <v>12</v>
      </c>
      <c r="B1300" s="3" t="s">
        <v>359</v>
      </c>
      <c r="C1300" s="3" t="s">
        <v>6812</v>
      </c>
      <c r="D1300" s="8" t="str">
        <f t="shared" si="1"/>
        <v>Abrir anúncio ↗</v>
      </c>
      <c r="E1300" s="9" t="s">
        <v>6813</v>
      </c>
      <c r="F1300" s="3" t="s">
        <v>86</v>
      </c>
      <c r="G1300" s="9" t="s">
        <v>4918</v>
      </c>
      <c r="H1300" s="9" t="s">
        <v>4919</v>
      </c>
      <c r="I1300" s="3"/>
      <c r="J1300" s="3"/>
      <c r="K1300" s="9"/>
    </row>
    <row r="1301" ht="15.75" customHeight="1">
      <c r="A1301" s="10" t="s">
        <v>12</v>
      </c>
      <c r="B1301" s="10" t="s">
        <v>359</v>
      </c>
      <c r="C1301" s="10" t="s">
        <v>6816</v>
      </c>
      <c r="D1301" s="11" t="str">
        <f t="shared" si="1"/>
        <v>Abrir anúncio ↗</v>
      </c>
      <c r="E1301" s="12" t="s">
        <v>6817</v>
      </c>
      <c r="F1301" s="10" t="s">
        <v>86</v>
      </c>
      <c r="G1301" s="12" t="s">
        <v>4918</v>
      </c>
      <c r="H1301" s="12" t="s">
        <v>4919</v>
      </c>
      <c r="I1301" s="10"/>
      <c r="J1301" s="10"/>
      <c r="K1301" s="12"/>
    </row>
    <row r="1302" ht="15.75" customHeight="1">
      <c r="A1302" s="3" t="s">
        <v>12</v>
      </c>
      <c r="B1302" s="3" t="s">
        <v>359</v>
      </c>
      <c r="C1302" s="3" t="s">
        <v>6820</v>
      </c>
      <c r="D1302" s="8" t="str">
        <f t="shared" si="1"/>
        <v>Abrir anúncio ↗</v>
      </c>
      <c r="E1302" s="9" t="s">
        <v>6823</v>
      </c>
      <c r="F1302" s="3" t="s">
        <v>86</v>
      </c>
      <c r="G1302" s="9" t="s">
        <v>4955</v>
      </c>
      <c r="H1302" s="9" t="s">
        <v>6825</v>
      </c>
      <c r="I1302" s="3"/>
      <c r="J1302" s="3"/>
      <c r="K1302" s="9"/>
    </row>
    <row r="1303" ht="15.75" customHeight="1">
      <c r="A1303" s="10" t="s">
        <v>12</v>
      </c>
      <c r="B1303" s="10" t="s">
        <v>359</v>
      </c>
      <c r="C1303" s="10" t="s">
        <v>6336</v>
      </c>
      <c r="D1303" s="11" t="str">
        <f t="shared" si="1"/>
        <v>Abrir anúncio ↗</v>
      </c>
      <c r="E1303" s="12" t="s">
        <v>5965</v>
      </c>
      <c r="F1303" s="10" t="s">
        <v>29</v>
      </c>
      <c r="G1303" s="12" t="s">
        <v>4918</v>
      </c>
      <c r="H1303" s="12" t="s">
        <v>4919</v>
      </c>
      <c r="I1303" s="10"/>
      <c r="J1303" s="10"/>
      <c r="K1303" s="12"/>
    </row>
    <row r="1304" ht="15.75" customHeight="1">
      <c r="A1304" s="3" t="s">
        <v>12</v>
      </c>
      <c r="B1304" s="3" t="s">
        <v>359</v>
      </c>
      <c r="C1304" s="3" t="s">
        <v>6830</v>
      </c>
      <c r="D1304" s="8" t="str">
        <f t="shared" si="1"/>
        <v>Abrir anúncio ↗</v>
      </c>
      <c r="E1304" s="9" t="s">
        <v>6832</v>
      </c>
      <c r="F1304" s="3" t="s">
        <v>29</v>
      </c>
      <c r="G1304" s="9" t="s">
        <v>4918</v>
      </c>
      <c r="H1304" s="9" t="s">
        <v>4919</v>
      </c>
      <c r="I1304" s="3"/>
      <c r="J1304" s="3"/>
      <c r="K1304" s="9"/>
    </row>
    <row r="1305" ht="15.75" customHeight="1">
      <c r="A1305" s="10" t="s">
        <v>12</v>
      </c>
      <c r="B1305" s="10" t="s">
        <v>359</v>
      </c>
      <c r="C1305" s="10" t="s">
        <v>6599</v>
      </c>
      <c r="D1305" s="11" t="str">
        <f t="shared" si="1"/>
        <v>Abrir anúncio ↗</v>
      </c>
      <c r="E1305" s="12" t="s">
        <v>6242</v>
      </c>
      <c r="F1305" s="10" t="s">
        <v>29</v>
      </c>
      <c r="G1305" s="12" t="s">
        <v>4918</v>
      </c>
      <c r="H1305" s="12" t="s">
        <v>4919</v>
      </c>
      <c r="I1305" s="10"/>
      <c r="J1305" s="10"/>
      <c r="K1305" s="12"/>
    </row>
    <row r="1306" ht="15.75" customHeight="1">
      <c r="A1306" s="3" t="s">
        <v>12</v>
      </c>
      <c r="B1306" s="3" t="s">
        <v>359</v>
      </c>
      <c r="C1306" s="3" t="s">
        <v>6837</v>
      </c>
      <c r="D1306" s="8" t="str">
        <f t="shared" si="1"/>
        <v>Abrir anúncio ↗</v>
      </c>
      <c r="E1306" s="9" t="s">
        <v>6605</v>
      </c>
      <c r="F1306" s="3" t="s">
        <v>29</v>
      </c>
      <c r="G1306" s="9" t="s">
        <v>4918</v>
      </c>
      <c r="H1306" s="9" t="s">
        <v>4919</v>
      </c>
      <c r="I1306" s="3"/>
      <c r="J1306" s="3"/>
      <c r="K1306" s="9"/>
    </row>
    <row r="1307" ht="15.75" customHeight="1">
      <c r="A1307" s="10" t="s">
        <v>12</v>
      </c>
      <c r="B1307" s="10" t="s">
        <v>359</v>
      </c>
      <c r="C1307" s="10" t="s">
        <v>6840</v>
      </c>
      <c r="D1307" s="11" t="str">
        <f t="shared" si="1"/>
        <v>Abrir anúncio ↗</v>
      </c>
      <c r="E1307" s="12" t="s">
        <v>6842</v>
      </c>
      <c r="F1307" s="10" t="s">
        <v>29</v>
      </c>
      <c r="G1307" s="12" t="s">
        <v>4918</v>
      </c>
      <c r="H1307" s="12" t="s">
        <v>4919</v>
      </c>
      <c r="I1307" s="10"/>
      <c r="J1307" s="10"/>
      <c r="K1307" s="12"/>
    </row>
    <row r="1308" ht="15.75" customHeight="1">
      <c r="A1308" s="3" t="s">
        <v>12</v>
      </c>
      <c r="B1308" s="3" t="s">
        <v>359</v>
      </c>
      <c r="C1308" s="3" t="s">
        <v>6844</v>
      </c>
      <c r="D1308" s="8" t="str">
        <f t="shared" si="1"/>
        <v>Abrir anúncio ↗</v>
      </c>
      <c r="E1308" s="9" t="s">
        <v>6089</v>
      </c>
      <c r="F1308" s="3" t="s">
        <v>29</v>
      </c>
      <c r="G1308" s="9" t="s">
        <v>4918</v>
      </c>
      <c r="H1308" s="9" t="s">
        <v>4919</v>
      </c>
      <c r="I1308" s="3"/>
      <c r="J1308" s="3"/>
      <c r="K1308" s="9"/>
    </row>
    <row r="1309" ht="15.75" customHeight="1">
      <c r="A1309" s="10" t="s">
        <v>12</v>
      </c>
      <c r="B1309" s="10" t="s">
        <v>359</v>
      </c>
      <c r="C1309" s="10" t="s">
        <v>6848</v>
      </c>
      <c r="D1309" s="11" t="str">
        <f t="shared" si="1"/>
        <v>Abrir anúncio ↗</v>
      </c>
      <c r="E1309" s="12" t="s">
        <v>6850</v>
      </c>
      <c r="F1309" s="10" t="s">
        <v>29</v>
      </c>
      <c r="G1309" s="12" t="s">
        <v>4918</v>
      </c>
      <c r="H1309" s="12" t="s">
        <v>4919</v>
      </c>
      <c r="I1309" s="10"/>
      <c r="J1309" s="10"/>
      <c r="K1309" s="12"/>
    </row>
    <row r="1310" ht="15.75" customHeight="1">
      <c r="A1310" s="3" t="s">
        <v>12</v>
      </c>
      <c r="B1310" s="3" t="s">
        <v>359</v>
      </c>
      <c r="C1310" s="3" t="s">
        <v>6854</v>
      </c>
      <c r="D1310" s="8" t="str">
        <f t="shared" si="1"/>
        <v>Abrir anúncio ↗</v>
      </c>
      <c r="E1310" s="9" t="s">
        <v>6597</v>
      </c>
      <c r="F1310" s="3" t="s">
        <v>29</v>
      </c>
      <c r="G1310" s="9" t="s">
        <v>4918</v>
      </c>
      <c r="H1310" s="9" t="s">
        <v>4919</v>
      </c>
      <c r="I1310" s="3"/>
      <c r="J1310" s="3"/>
      <c r="K1310" s="9"/>
    </row>
    <row r="1311" ht="15.75" customHeight="1">
      <c r="A1311" s="10" t="s">
        <v>12</v>
      </c>
      <c r="B1311" s="10" t="s">
        <v>359</v>
      </c>
      <c r="C1311" s="10" t="s">
        <v>6857</v>
      </c>
      <c r="D1311" s="11" t="str">
        <f t="shared" si="1"/>
        <v>Abrir anúncio ↗</v>
      </c>
      <c r="E1311" s="12" t="s">
        <v>6373</v>
      </c>
      <c r="F1311" s="10" t="s">
        <v>29</v>
      </c>
      <c r="G1311" s="12" t="s">
        <v>4918</v>
      </c>
      <c r="H1311" s="12" t="s">
        <v>4919</v>
      </c>
      <c r="I1311" s="10"/>
      <c r="J1311" s="10"/>
      <c r="K1311" s="12"/>
    </row>
    <row r="1312" ht="15.75" customHeight="1">
      <c r="A1312" s="3" t="s">
        <v>12</v>
      </c>
      <c r="B1312" s="3" t="s">
        <v>359</v>
      </c>
      <c r="C1312" s="3" t="s">
        <v>6859</v>
      </c>
      <c r="D1312" s="8" t="str">
        <f t="shared" si="1"/>
        <v>Abrir anúncio ↗</v>
      </c>
      <c r="E1312" s="9" t="s">
        <v>5994</v>
      </c>
      <c r="F1312" s="3" t="s">
        <v>29</v>
      </c>
      <c r="G1312" s="9" t="s">
        <v>4918</v>
      </c>
      <c r="H1312" s="9" t="s">
        <v>4919</v>
      </c>
      <c r="I1312" s="3"/>
      <c r="J1312" s="3"/>
      <c r="K1312" s="9"/>
    </row>
    <row r="1313" ht="15.75" customHeight="1">
      <c r="A1313" s="10" t="s">
        <v>12</v>
      </c>
      <c r="B1313" s="10" t="s">
        <v>359</v>
      </c>
      <c r="C1313" s="10" t="s">
        <v>6864</v>
      </c>
      <c r="D1313" s="11" t="str">
        <f t="shared" si="1"/>
        <v>Abrir anúncio ↗</v>
      </c>
      <c r="E1313" s="12" t="s">
        <v>6866</v>
      </c>
      <c r="F1313" s="10" t="s">
        <v>29</v>
      </c>
      <c r="G1313" s="12" t="s">
        <v>4918</v>
      </c>
      <c r="H1313" s="12" t="s">
        <v>4919</v>
      </c>
      <c r="I1313" s="10"/>
      <c r="J1313" s="10"/>
      <c r="K1313" s="12"/>
    </row>
    <row r="1314" ht="15.75" customHeight="1">
      <c r="A1314" s="3" t="s">
        <v>12</v>
      </c>
      <c r="B1314" s="3" t="s">
        <v>359</v>
      </c>
      <c r="C1314" s="3" t="s">
        <v>6868</v>
      </c>
      <c r="D1314" s="8" t="str">
        <f t="shared" si="1"/>
        <v>Abrir anúncio ↗</v>
      </c>
      <c r="E1314" s="9" t="s">
        <v>6870</v>
      </c>
      <c r="F1314" s="3" t="s">
        <v>29</v>
      </c>
      <c r="G1314" s="9" t="s">
        <v>4918</v>
      </c>
      <c r="H1314" s="9" t="s">
        <v>4919</v>
      </c>
      <c r="I1314" s="3"/>
      <c r="J1314" s="3"/>
      <c r="K1314" s="9"/>
    </row>
    <row r="1315" ht="15.75" customHeight="1">
      <c r="A1315" s="10" t="s">
        <v>12</v>
      </c>
      <c r="B1315" s="10" t="s">
        <v>359</v>
      </c>
      <c r="C1315" s="10" t="s">
        <v>6874</v>
      </c>
      <c r="D1315" s="11" t="str">
        <f t="shared" si="1"/>
        <v>Abrir anúncio ↗</v>
      </c>
      <c r="E1315" s="12" t="s">
        <v>6876</v>
      </c>
      <c r="F1315" s="10" t="s">
        <v>29</v>
      </c>
      <c r="G1315" s="12" t="s">
        <v>4918</v>
      </c>
      <c r="H1315" s="12" t="s">
        <v>4919</v>
      </c>
      <c r="I1315" s="10"/>
      <c r="J1315" s="10"/>
      <c r="K1315" s="12"/>
    </row>
    <row r="1316" ht="15.75" customHeight="1">
      <c r="A1316" s="3" t="s">
        <v>12</v>
      </c>
      <c r="B1316" s="3" t="s">
        <v>359</v>
      </c>
      <c r="C1316" s="3" t="s">
        <v>6878</v>
      </c>
      <c r="D1316" s="8" t="str">
        <f t="shared" si="1"/>
        <v>Abrir anúncio ↗</v>
      </c>
      <c r="E1316" s="9" t="s">
        <v>6880</v>
      </c>
      <c r="F1316" s="3" t="s">
        <v>29</v>
      </c>
      <c r="G1316" s="9" t="s">
        <v>4918</v>
      </c>
      <c r="H1316" s="9" t="s">
        <v>4919</v>
      </c>
      <c r="I1316" s="3"/>
      <c r="J1316" s="3"/>
      <c r="K1316" s="9"/>
    </row>
    <row r="1317" ht="15.75" customHeight="1">
      <c r="A1317" s="10" t="s">
        <v>12</v>
      </c>
      <c r="B1317" s="10" t="s">
        <v>359</v>
      </c>
      <c r="C1317" s="10" t="s">
        <v>6882</v>
      </c>
      <c r="D1317" s="11" t="str">
        <f t="shared" si="1"/>
        <v>Abrir anúncio ↗</v>
      </c>
      <c r="E1317" s="12" t="s">
        <v>6883</v>
      </c>
      <c r="F1317" s="10" t="s">
        <v>29</v>
      </c>
      <c r="G1317" s="12" t="s">
        <v>4918</v>
      </c>
      <c r="H1317" s="12" t="s">
        <v>4919</v>
      </c>
      <c r="I1317" s="10"/>
      <c r="J1317" s="10"/>
      <c r="K1317" s="12"/>
    </row>
    <row r="1318" ht="15.75" customHeight="1">
      <c r="A1318" s="3" t="s">
        <v>12</v>
      </c>
      <c r="B1318" s="3" t="s">
        <v>359</v>
      </c>
      <c r="C1318" s="3" t="s">
        <v>6886</v>
      </c>
      <c r="D1318" s="8" t="str">
        <f t="shared" si="1"/>
        <v>Abrir anúncio ↗</v>
      </c>
      <c r="E1318" s="9" t="s">
        <v>6888</v>
      </c>
      <c r="F1318" s="3" t="s">
        <v>29</v>
      </c>
      <c r="G1318" s="9" t="s">
        <v>4918</v>
      </c>
      <c r="H1318" s="9" t="s">
        <v>4919</v>
      </c>
      <c r="I1318" s="3"/>
      <c r="J1318" s="3"/>
      <c r="K1318" s="9"/>
    </row>
    <row r="1319" ht="15.75" customHeight="1">
      <c r="A1319" s="10" t="s">
        <v>12</v>
      </c>
      <c r="B1319" s="10" t="s">
        <v>359</v>
      </c>
      <c r="C1319" s="10" t="s">
        <v>6891</v>
      </c>
      <c r="D1319" s="11" t="str">
        <f t="shared" si="1"/>
        <v>Abrir anúncio ↗</v>
      </c>
      <c r="E1319" s="12" t="s">
        <v>6892</v>
      </c>
      <c r="F1319" s="10" t="s">
        <v>29</v>
      </c>
      <c r="G1319" s="12" t="s">
        <v>4918</v>
      </c>
      <c r="H1319" s="12" t="s">
        <v>4919</v>
      </c>
      <c r="I1319" s="10"/>
      <c r="J1319" s="10"/>
      <c r="K1319" s="12"/>
    </row>
    <row r="1320" ht="15.75" customHeight="1">
      <c r="A1320" s="3" t="s">
        <v>12</v>
      </c>
      <c r="B1320" s="3" t="s">
        <v>359</v>
      </c>
      <c r="C1320" s="3" t="s">
        <v>6894</v>
      </c>
      <c r="D1320" s="8" t="str">
        <f t="shared" si="1"/>
        <v>Abrir anúncio ↗</v>
      </c>
      <c r="E1320" s="9" t="s">
        <v>6896</v>
      </c>
      <c r="F1320" s="3" t="s">
        <v>29</v>
      </c>
      <c r="G1320" s="9" t="s">
        <v>4918</v>
      </c>
      <c r="H1320" s="9" t="s">
        <v>4919</v>
      </c>
      <c r="I1320" s="3"/>
      <c r="J1320" s="3"/>
      <c r="K1320" s="9"/>
    </row>
    <row r="1321" ht="15.75" customHeight="1">
      <c r="A1321" s="10" t="s">
        <v>12</v>
      </c>
      <c r="B1321" s="10" t="s">
        <v>359</v>
      </c>
      <c r="C1321" s="10" t="s">
        <v>6899</v>
      </c>
      <c r="D1321" s="11" t="str">
        <f t="shared" si="1"/>
        <v>Abrir anúncio ↗</v>
      </c>
      <c r="E1321" s="12" t="s">
        <v>6901</v>
      </c>
      <c r="F1321" s="10" t="s">
        <v>29</v>
      </c>
      <c r="G1321" s="12" t="s">
        <v>4918</v>
      </c>
      <c r="H1321" s="12" t="s">
        <v>4919</v>
      </c>
      <c r="I1321" s="10"/>
      <c r="J1321" s="10"/>
      <c r="K1321" s="12"/>
    </row>
    <row r="1322" ht="15.75" customHeight="1">
      <c r="A1322" s="3" t="s">
        <v>12</v>
      </c>
      <c r="B1322" s="3" t="s">
        <v>359</v>
      </c>
      <c r="C1322" s="3" t="s">
        <v>6904</v>
      </c>
      <c r="D1322" s="8" t="str">
        <f t="shared" si="1"/>
        <v>Abrir anúncio ↗</v>
      </c>
      <c r="E1322" s="9" t="s">
        <v>6905</v>
      </c>
      <c r="F1322" s="3" t="s">
        <v>29</v>
      </c>
      <c r="G1322" s="9" t="s">
        <v>4918</v>
      </c>
      <c r="H1322" s="9" t="s">
        <v>4919</v>
      </c>
      <c r="I1322" s="3"/>
      <c r="J1322" s="3"/>
      <c r="K1322" s="9"/>
    </row>
    <row r="1323" ht="15.75" customHeight="1">
      <c r="A1323" s="10" t="s">
        <v>12</v>
      </c>
      <c r="B1323" s="10" t="s">
        <v>359</v>
      </c>
      <c r="C1323" s="10" t="s">
        <v>6908</v>
      </c>
      <c r="D1323" s="11" t="str">
        <f t="shared" si="1"/>
        <v>Abrir anúncio ↗</v>
      </c>
      <c r="E1323" s="12" t="s">
        <v>4571</v>
      </c>
      <c r="F1323" s="10" t="s">
        <v>29</v>
      </c>
      <c r="G1323" s="12" t="s">
        <v>4918</v>
      </c>
      <c r="H1323" s="12" t="s">
        <v>4919</v>
      </c>
      <c r="I1323" s="10"/>
      <c r="J1323" s="10"/>
      <c r="K1323" s="12"/>
    </row>
    <row r="1324" ht="15.75" customHeight="1">
      <c r="A1324" s="3" t="s">
        <v>12</v>
      </c>
      <c r="B1324" s="3" t="s">
        <v>359</v>
      </c>
      <c r="C1324" s="3" t="s">
        <v>6910</v>
      </c>
      <c r="D1324" s="8" t="str">
        <f t="shared" si="1"/>
        <v>Abrir anúncio ↗</v>
      </c>
      <c r="E1324" s="9" t="s">
        <v>6913</v>
      </c>
      <c r="F1324" s="3" t="s">
        <v>29</v>
      </c>
      <c r="G1324" s="9" t="s">
        <v>4918</v>
      </c>
      <c r="H1324" s="9" t="s">
        <v>4919</v>
      </c>
      <c r="I1324" s="3"/>
      <c r="J1324" s="3"/>
      <c r="K1324" s="9"/>
    </row>
    <row r="1325" ht="15.75" customHeight="1">
      <c r="A1325" s="10" t="s">
        <v>12</v>
      </c>
      <c r="B1325" s="10" t="s">
        <v>359</v>
      </c>
      <c r="C1325" s="10" t="s">
        <v>6914</v>
      </c>
      <c r="D1325" s="11" t="str">
        <f t="shared" si="1"/>
        <v>Abrir anúncio ↗</v>
      </c>
      <c r="E1325" s="12" t="s">
        <v>6916</v>
      </c>
      <c r="F1325" s="10" t="s">
        <v>29</v>
      </c>
      <c r="G1325" s="12" t="s">
        <v>4918</v>
      </c>
      <c r="H1325" s="12" t="s">
        <v>4919</v>
      </c>
      <c r="I1325" s="10"/>
      <c r="J1325" s="10"/>
      <c r="K1325" s="12"/>
    </row>
    <row r="1326" ht="15.75" customHeight="1">
      <c r="A1326" s="3" t="s">
        <v>12</v>
      </c>
      <c r="B1326" s="3" t="s">
        <v>359</v>
      </c>
      <c r="C1326" s="3" t="s">
        <v>6918</v>
      </c>
      <c r="D1326" s="8" t="str">
        <f t="shared" si="1"/>
        <v>Abrir anúncio ↗</v>
      </c>
      <c r="E1326" s="9" t="s">
        <v>6919</v>
      </c>
      <c r="F1326" s="3" t="s">
        <v>29</v>
      </c>
      <c r="G1326" s="9" t="s">
        <v>4918</v>
      </c>
      <c r="H1326" s="9" t="s">
        <v>4919</v>
      </c>
      <c r="I1326" s="3"/>
      <c r="J1326" s="3"/>
      <c r="K1326" s="9"/>
    </row>
    <row r="1327" ht="15.75" customHeight="1">
      <c r="A1327" s="10" t="s">
        <v>12</v>
      </c>
      <c r="B1327" s="10" t="s">
        <v>359</v>
      </c>
      <c r="C1327" s="10" t="s">
        <v>6922</v>
      </c>
      <c r="D1327" s="11" t="str">
        <f t="shared" si="1"/>
        <v>Abrir anúncio ↗</v>
      </c>
      <c r="E1327" s="12" t="s">
        <v>6923</v>
      </c>
      <c r="F1327" s="10" t="s">
        <v>29</v>
      </c>
      <c r="G1327" s="12" t="s">
        <v>4918</v>
      </c>
      <c r="H1327" s="12" t="s">
        <v>4919</v>
      </c>
      <c r="I1327" s="10"/>
      <c r="J1327" s="10"/>
      <c r="K1327" s="12"/>
    </row>
    <row r="1328" ht="15.75" customHeight="1">
      <c r="A1328" s="3" t="s">
        <v>12</v>
      </c>
      <c r="B1328" s="3" t="s">
        <v>359</v>
      </c>
      <c r="C1328" s="3" t="s">
        <v>6926</v>
      </c>
      <c r="D1328" s="8" t="str">
        <f t="shared" si="1"/>
        <v>Abrir anúncio ↗</v>
      </c>
      <c r="E1328" s="9" t="s">
        <v>6928</v>
      </c>
      <c r="F1328" s="3" t="s">
        <v>29</v>
      </c>
      <c r="G1328" s="9" t="s">
        <v>4918</v>
      </c>
      <c r="H1328" s="9" t="s">
        <v>4919</v>
      </c>
      <c r="I1328" s="3"/>
      <c r="J1328" s="3"/>
      <c r="K1328" s="9"/>
    </row>
    <row r="1329" ht="15.75" customHeight="1">
      <c r="A1329" s="10" t="s">
        <v>12</v>
      </c>
      <c r="B1329" s="10" t="s">
        <v>359</v>
      </c>
      <c r="C1329" s="10" t="s">
        <v>6931</v>
      </c>
      <c r="D1329" s="11" t="str">
        <f t="shared" si="1"/>
        <v>Abrir anúncio ↗</v>
      </c>
      <c r="E1329" s="12" t="s">
        <v>6932</v>
      </c>
      <c r="F1329" s="10" t="s">
        <v>29</v>
      </c>
      <c r="G1329" s="12" t="s">
        <v>4918</v>
      </c>
      <c r="H1329" s="12" t="s">
        <v>4919</v>
      </c>
      <c r="I1329" s="10"/>
      <c r="J1329" s="10"/>
      <c r="K1329" s="12"/>
    </row>
    <row r="1330" ht="15.75" customHeight="1">
      <c r="A1330" s="3" t="s">
        <v>12</v>
      </c>
      <c r="B1330" s="3" t="s">
        <v>359</v>
      </c>
      <c r="C1330" s="3" t="s">
        <v>6934</v>
      </c>
      <c r="D1330" s="8" t="str">
        <f t="shared" si="1"/>
        <v>Abrir anúncio ↗</v>
      </c>
      <c r="E1330" s="9" t="s">
        <v>4109</v>
      </c>
      <c r="F1330" s="3" t="s">
        <v>29</v>
      </c>
      <c r="G1330" s="9" t="s">
        <v>4918</v>
      </c>
      <c r="H1330" s="9" t="s">
        <v>4919</v>
      </c>
      <c r="I1330" s="3"/>
      <c r="J1330" s="3"/>
      <c r="K1330" s="9"/>
    </row>
    <row r="1331" ht="15.75" customHeight="1">
      <c r="A1331" s="10" t="s">
        <v>12</v>
      </c>
      <c r="B1331" s="10" t="s">
        <v>359</v>
      </c>
      <c r="C1331" s="10" t="s">
        <v>6938</v>
      </c>
      <c r="D1331" s="11" t="str">
        <f t="shared" si="1"/>
        <v>Abrir anúncio ↗</v>
      </c>
      <c r="E1331" s="12" t="s">
        <v>4156</v>
      </c>
      <c r="F1331" s="10" t="s">
        <v>29</v>
      </c>
      <c r="G1331" s="12" t="s">
        <v>4918</v>
      </c>
      <c r="H1331" s="12" t="s">
        <v>4919</v>
      </c>
      <c r="I1331" s="10"/>
      <c r="J1331" s="10"/>
      <c r="K1331" s="12"/>
    </row>
    <row r="1332" ht="15.75" customHeight="1">
      <c r="A1332" s="3" t="s">
        <v>12</v>
      </c>
      <c r="B1332" s="3" t="s">
        <v>359</v>
      </c>
      <c r="C1332" s="3" t="s">
        <v>6941</v>
      </c>
      <c r="D1332" s="8" t="str">
        <f t="shared" si="1"/>
        <v>Abrir anúncio ↗</v>
      </c>
      <c r="E1332" s="9" t="s">
        <v>6944</v>
      </c>
      <c r="F1332" s="3" t="s">
        <v>29</v>
      </c>
      <c r="G1332" s="9" t="s">
        <v>4918</v>
      </c>
      <c r="H1332" s="9" t="s">
        <v>4919</v>
      </c>
      <c r="I1332" s="3"/>
      <c r="J1332" s="3"/>
      <c r="K1332" s="9"/>
    </row>
    <row r="1333" ht="15.75" customHeight="1">
      <c r="A1333" s="10" t="s">
        <v>12</v>
      </c>
      <c r="B1333" s="10" t="s">
        <v>359</v>
      </c>
      <c r="C1333" s="10" t="s">
        <v>6949</v>
      </c>
      <c r="D1333" s="11" t="str">
        <f t="shared" si="1"/>
        <v>Abrir anúncio ↗</v>
      </c>
      <c r="E1333" s="12" t="s">
        <v>6950</v>
      </c>
      <c r="F1333" s="10" t="s">
        <v>29</v>
      </c>
      <c r="G1333" s="12" t="s">
        <v>4918</v>
      </c>
      <c r="H1333" s="12" t="s">
        <v>4919</v>
      </c>
      <c r="I1333" s="10"/>
      <c r="J1333" s="10"/>
      <c r="K1333" s="12"/>
    </row>
    <row r="1334" ht="15.75" customHeight="1">
      <c r="A1334" s="3" t="s">
        <v>12</v>
      </c>
      <c r="B1334" s="3" t="s">
        <v>359</v>
      </c>
      <c r="C1334" s="3" t="s">
        <v>6955</v>
      </c>
      <c r="D1334" s="8" t="str">
        <f t="shared" si="1"/>
        <v>Abrir anúncio ↗</v>
      </c>
      <c r="E1334" s="9" t="s">
        <v>6956</v>
      </c>
      <c r="F1334" s="3" t="s">
        <v>29</v>
      </c>
      <c r="G1334" s="9" t="s">
        <v>4918</v>
      </c>
      <c r="H1334" s="9" t="s">
        <v>4919</v>
      </c>
      <c r="I1334" s="3"/>
      <c r="J1334" s="3"/>
      <c r="K1334" s="9"/>
    </row>
    <row r="1335" ht="15.75" customHeight="1">
      <c r="A1335" s="10" t="s">
        <v>12</v>
      </c>
      <c r="B1335" s="10" t="s">
        <v>359</v>
      </c>
      <c r="C1335" s="10" t="s">
        <v>6960</v>
      </c>
      <c r="D1335" s="11" t="str">
        <f t="shared" si="1"/>
        <v>Abrir anúncio ↗</v>
      </c>
      <c r="E1335" s="12" t="s">
        <v>6962</v>
      </c>
      <c r="F1335" s="10" t="s">
        <v>29</v>
      </c>
      <c r="G1335" s="12" t="s">
        <v>4918</v>
      </c>
      <c r="H1335" s="12" t="s">
        <v>4919</v>
      </c>
      <c r="I1335" s="10"/>
      <c r="J1335" s="10"/>
      <c r="K1335" s="12"/>
    </row>
    <row r="1336" ht="15.75" customHeight="1">
      <c r="A1336" s="3" t="s">
        <v>12</v>
      </c>
      <c r="B1336" s="3" t="s">
        <v>359</v>
      </c>
      <c r="C1336" s="3" t="s">
        <v>6965</v>
      </c>
      <c r="D1336" s="8" t="str">
        <f t="shared" si="1"/>
        <v>Abrir anúncio ↗</v>
      </c>
      <c r="E1336" s="9" t="s">
        <v>6966</v>
      </c>
      <c r="F1336" s="3" t="s">
        <v>29</v>
      </c>
      <c r="G1336" s="9" t="s">
        <v>4918</v>
      </c>
      <c r="H1336" s="9" t="s">
        <v>4919</v>
      </c>
      <c r="I1336" s="3"/>
      <c r="J1336" s="3"/>
      <c r="K1336" s="9"/>
    </row>
    <row r="1337" ht="15.75" customHeight="1">
      <c r="A1337" s="10" t="s">
        <v>12</v>
      </c>
      <c r="B1337" s="10" t="s">
        <v>359</v>
      </c>
      <c r="C1337" s="10" t="s">
        <v>6969</v>
      </c>
      <c r="D1337" s="11" t="str">
        <f t="shared" si="1"/>
        <v>Abrir anúncio ↗</v>
      </c>
      <c r="E1337" s="12" t="s">
        <v>6970</v>
      </c>
      <c r="F1337" s="10" t="s">
        <v>29</v>
      </c>
      <c r="G1337" s="12" t="s">
        <v>4918</v>
      </c>
      <c r="H1337" s="12" t="s">
        <v>4919</v>
      </c>
      <c r="I1337" s="10"/>
      <c r="J1337" s="10"/>
      <c r="K1337" s="12"/>
    </row>
    <row r="1338" ht="15.75" customHeight="1">
      <c r="A1338" s="3" t="s">
        <v>12</v>
      </c>
      <c r="B1338" s="3" t="s">
        <v>359</v>
      </c>
      <c r="C1338" s="3" t="s">
        <v>6972</v>
      </c>
      <c r="D1338" s="8" t="str">
        <f t="shared" si="1"/>
        <v>Abrir anúncio ↗</v>
      </c>
      <c r="E1338" s="9" t="s">
        <v>6974</v>
      </c>
      <c r="F1338" s="3" t="s">
        <v>29</v>
      </c>
      <c r="G1338" s="9" t="s">
        <v>4918</v>
      </c>
      <c r="H1338" s="9" t="s">
        <v>4919</v>
      </c>
      <c r="I1338" s="3"/>
      <c r="J1338" s="3"/>
      <c r="K1338" s="9"/>
    </row>
    <row r="1339" ht="15.75" customHeight="1">
      <c r="A1339" s="10" t="s">
        <v>12</v>
      </c>
      <c r="B1339" s="10" t="s">
        <v>359</v>
      </c>
      <c r="C1339" s="10" t="s">
        <v>6978</v>
      </c>
      <c r="D1339" s="11" t="str">
        <f t="shared" si="1"/>
        <v>Abrir anúncio ↗</v>
      </c>
      <c r="E1339" s="12" t="s">
        <v>6980</v>
      </c>
      <c r="F1339" s="10" t="s">
        <v>29</v>
      </c>
      <c r="G1339" s="12" t="s">
        <v>4918</v>
      </c>
      <c r="H1339" s="12" t="s">
        <v>4919</v>
      </c>
      <c r="I1339" s="10"/>
      <c r="J1339" s="10"/>
      <c r="K1339" s="12"/>
    </row>
    <row r="1340" ht="15.75" customHeight="1">
      <c r="A1340" s="3" t="s">
        <v>12</v>
      </c>
      <c r="B1340" s="3" t="s">
        <v>359</v>
      </c>
      <c r="C1340" s="3" t="s">
        <v>6983</v>
      </c>
      <c r="D1340" s="8" t="str">
        <f t="shared" si="1"/>
        <v>Abrir anúncio ↗</v>
      </c>
      <c r="E1340" s="9" t="s">
        <v>4606</v>
      </c>
      <c r="F1340" s="3" t="s">
        <v>29</v>
      </c>
      <c r="G1340" s="9" t="s">
        <v>4918</v>
      </c>
      <c r="H1340" s="9" t="s">
        <v>4919</v>
      </c>
      <c r="I1340" s="3"/>
      <c r="J1340" s="3"/>
      <c r="K1340" s="9"/>
    </row>
    <row r="1341" ht="15.75" customHeight="1">
      <c r="A1341" s="10" t="s">
        <v>12</v>
      </c>
      <c r="B1341" s="10" t="s">
        <v>359</v>
      </c>
      <c r="C1341" s="10" t="s">
        <v>6986</v>
      </c>
      <c r="D1341" s="11" t="str">
        <f t="shared" si="1"/>
        <v>Abrir anúncio ↗</v>
      </c>
      <c r="E1341" s="12" t="s">
        <v>6987</v>
      </c>
      <c r="F1341" s="10" t="s">
        <v>29</v>
      </c>
      <c r="G1341" s="12" t="s">
        <v>4918</v>
      </c>
      <c r="H1341" s="12" t="s">
        <v>4919</v>
      </c>
      <c r="I1341" s="10"/>
      <c r="J1341" s="10"/>
      <c r="K1341" s="12"/>
    </row>
    <row r="1342" ht="15.75" customHeight="1">
      <c r="A1342" s="3" t="s">
        <v>12</v>
      </c>
      <c r="B1342" s="3" t="s">
        <v>359</v>
      </c>
      <c r="C1342" s="3" t="s">
        <v>6991</v>
      </c>
      <c r="D1342" s="8" t="str">
        <f t="shared" si="1"/>
        <v>Abrir anúncio ↗</v>
      </c>
      <c r="E1342" s="9" t="s">
        <v>6992</v>
      </c>
      <c r="F1342" s="3" t="s">
        <v>29</v>
      </c>
      <c r="G1342" s="9" t="s">
        <v>4918</v>
      </c>
      <c r="H1342" s="9" t="s">
        <v>4919</v>
      </c>
      <c r="I1342" s="3"/>
      <c r="J1342" s="3"/>
      <c r="K1342" s="9"/>
    </row>
    <row r="1343" ht="15.75" customHeight="1">
      <c r="A1343" s="10" t="s">
        <v>12</v>
      </c>
      <c r="B1343" s="10" t="s">
        <v>359</v>
      </c>
      <c r="C1343" s="10" t="s">
        <v>6997</v>
      </c>
      <c r="D1343" s="11" t="str">
        <f t="shared" si="1"/>
        <v>Abrir anúncio ↗</v>
      </c>
      <c r="E1343" s="12" t="s">
        <v>6998</v>
      </c>
      <c r="F1343" s="10" t="s">
        <v>29</v>
      </c>
      <c r="G1343" s="12" t="s">
        <v>4918</v>
      </c>
      <c r="H1343" s="12" t="s">
        <v>4919</v>
      </c>
      <c r="I1343" s="10"/>
      <c r="J1343" s="10"/>
      <c r="K1343" s="12"/>
    </row>
    <row r="1344" ht="15.75" customHeight="1">
      <c r="A1344" s="3" t="s">
        <v>12</v>
      </c>
      <c r="B1344" s="3" t="s">
        <v>359</v>
      </c>
      <c r="C1344" s="3" t="s">
        <v>7003</v>
      </c>
      <c r="D1344" s="8" t="str">
        <f t="shared" si="1"/>
        <v>Abrir anúncio ↗</v>
      </c>
      <c r="E1344" s="9" t="s">
        <v>4150</v>
      </c>
      <c r="F1344" s="3" t="s">
        <v>29</v>
      </c>
      <c r="G1344" s="9" t="s">
        <v>4918</v>
      </c>
      <c r="H1344" s="9" t="s">
        <v>4919</v>
      </c>
      <c r="I1344" s="3"/>
      <c r="J1344" s="3"/>
      <c r="K1344" s="9"/>
    </row>
    <row r="1345" ht="15.75" customHeight="1">
      <c r="A1345" s="10" t="s">
        <v>12</v>
      </c>
      <c r="B1345" s="10" t="s">
        <v>359</v>
      </c>
      <c r="C1345" s="10" t="s">
        <v>7009</v>
      </c>
      <c r="D1345" s="11" t="str">
        <f t="shared" si="1"/>
        <v>Abrir anúncio ↗</v>
      </c>
      <c r="E1345" s="12" t="s">
        <v>7010</v>
      </c>
      <c r="F1345" s="10" t="s">
        <v>29</v>
      </c>
      <c r="G1345" s="12" t="s">
        <v>4918</v>
      </c>
      <c r="H1345" s="12" t="s">
        <v>4919</v>
      </c>
      <c r="I1345" s="10"/>
      <c r="J1345" s="10"/>
      <c r="K1345" s="12"/>
    </row>
    <row r="1346" ht="15.75" customHeight="1">
      <c r="A1346" s="3" t="s">
        <v>12</v>
      </c>
      <c r="B1346" s="3" t="s">
        <v>359</v>
      </c>
      <c r="C1346" s="3" t="s">
        <v>7013</v>
      </c>
      <c r="D1346" s="8" t="str">
        <f t="shared" si="1"/>
        <v>Abrir anúncio ↗</v>
      </c>
      <c r="E1346" s="9" t="s">
        <v>7015</v>
      </c>
      <c r="F1346" s="3" t="s">
        <v>29</v>
      </c>
      <c r="G1346" s="9" t="s">
        <v>4918</v>
      </c>
      <c r="H1346" s="9" t="s">
        <v>4919</v>
      </c>
      <c r="I1346" s="3"/>
      <c r="J1346" s="3"/>
      <c r="K1346" s="9"/>
    </row>
    <row r="1347" ht="15.75" customHeight="1">
      <c r="A1347" s="10" t="s">
        <v>12</v>
      </c>
      <c r="B1347" s="10" t="s">
        <v>359</v>
      </c>
      <c r="C1347" s="10" t="s">
        <v>7017</v>
      </c>
      <c r="D1347" s="11" t="str">
        <f t="shared" si="1"/>
        <v>Abrir anúncio ↗</v>
      </c>
      <c r="E1347" s="12" t="s">
        <v>4677</v>
      </c>
      <c r="F1347" s="10" t="s">
        <v>29</v>
      </c>
      <c r="G1347" s="12" t="s">
        <v>4918</v>
      </c>
      <c r="H1347" s="12" t="s">
        <v>4919</v>
      </c>
      <c r="I1347" s="10"/>
      <c r="J1347" s="10"/>
      <c r="K1347" s="12"/>
    </row>
    <row r="1348" ht="15.75" customHeight="1">
      <c r="A1348" s="3" t="s">
        <v>12</v>
      </c>
      <c r="B1348" s="3" t="s">
        <v>359</v>
      </c>
      <c r="C1348" s="3" t="s">
        <v>7021</v>
      </c>
      <c r="D1348" s="8" t="str">
        <f t="shared" si="1"/>
        <v>Abrir anúncio ↗</v>
      </c>
      <c r="E1348" s="9" t="s">
        <v>7023</v>
      </c>
      <c r="F1348" s="3" t="s">
        <v>29</v>
      </c>
      <c r="G1348" s="9" t="s">
        <v>4918</v>
      </c>
      <c r="H1348" s="9" t="s">
        <v>4919</v>
      </c>
      <c r="I1348" s="3"/>
      <c r="J1348" s="3"/>
      <c r="K1348" s="9"/>
    </row>
    <row r="1349" ht="15.75" customHeight="1">
      <c r="A1349" s="10" t="s">
        <v>12</v>
      </c>
      <c r="B1349" s="10" t="s">
        <v>359</v>
      </c>
      <c r="C1349" s="10" t="s">
        <v>7026</v>
      </c>
      <c r="D1349" s="11" t="str">
        <f t="shared" si="1"/>
        <v>Abrir anúncio ↗</v>
      </c>
      <c r="E1349" s="12" t="s">
        <v>7027</v>
      </c>
      <c r="F1349" s="10" t="s">
        <v>29</v>
      </c>
      <c r="G1349" s="12" t="s">
        <v>4918</v>
      </c>
      <c r="H1349" s="12" t="s">
        <v>4919</v>
      </c>
      <c r="I1349" s="10"/>
      <c r="J1349" s="10"/>
      <c r="K1349" s="12"/>
    </row>
    <row r="1350" ht="15.75" customHeight="1">
      <c r="A1350" s="3" t="s">
        <v>12</v>
      </c>
      <c r="B1350" s="3" t="s">
        <v>359</v>
      </c>
      <c r="C1350" s="3" t="s">
        <v>7031</v>
      </c>
      <c r="D1350" s="8" t="str">
        <f t="shared" si="1"/>
        <v>Abrir anúncio ↗</v>
      </c>
      <c r="E1350" s="9" t="s">
        <v>7032</v>
      </c>
      <c r="F1350" s="3" t="s">
        <v>29</v>
      </c>
      <c r="G1350" s="9" t="s">
        <v>4918</v>
      </c>
      <c r="H1350" s="9" t="s">
        <v>4919</v>
      </c>
      <c r="I1350" s="3"/>
      <c r="J1350" s="3"/>
      <c r="K1350" s="9"/>
    </row>
    <row r="1351" ht="15.75" customHeight="1">
      <c r="A1351" s="10" t="s">
        <v>12</v>
      </c>
      <c r="B1351" s="10" t="s">
        <v>359</v>
      </c>
      <c r="C1351" s="10" t="s">
        <v>7035</v>
      </c>
      <c r="D1351" s="11" t="str">
        <f t="shared" si="1"/>
        <v>Abrir anúncio ↗</v>
      </c>
      <c r="E1351" s="12" t="s">
        <v>7036</v>
      </c>
      <c r="F1351" s="10" t="s">
        <v>29</v>
      </c>
      <c r="G1351" s="12" t="s">
        <v>4918</v>
      </c>
      <c r="H1351" s="12" t="s">
        <v>4919</v>
      </c>
      <c r="I1351" s="10"/>
      <c r="J1351" s="10"/>
      <c r="K1351" s="12"/>
    </row>
    <row r="1352" ht="15.75" customHeight="1">
      <c r="A1352" s="3" t="s">
        <v>12</v>
      </c>
      <c r="B1352" s="3" t="s">
        <v>359</v>
      </c>
      <c r="C1352" s="3" t="s">
        <v>7040</v>
      </c>
      <c r="D1352" s="8" t="str">
        <f t="shared" si="1"/>
        <v>Abrir anúncio ↗</v>
      </c>
      <c r="E1352" s="9" t="s">
        <v>7041</v>
      </c>
      <c r="F1352" s="3" t="s">
        <v>29</v>
      </c>
      <c r="G1352" s="9" t="s">
        <v>4918</v>
      </c>
      <c r="H1352" s="9" t="s">
        <v>4919</v>
      </c>
      <c r="I1352" s="3"/>
      <c r="J1352" s="3"/>
      <c r="K1352" s="9"/>
    </row>
    <row r="1353" ht="15.75" customHeight="1">
      <c r="A1353" s="10" t="s">
        <v>12</v>
      </c>
      <c r="B1353" s="10" t="s">
        <v>359</v>
      </c>
      <c r="C1353" s="10" t="s">
        <v>7042</v>
      </c>
      <c r="D1353" s="11" t="str">
        <f t="shared" si="1"/>
        <v>Abrir anúncio ↗</v>
      </c>
      <c r="E1353" s="12" t="s">
        <v>7043</v>
      </c>
      <c r="F1353" s="10" t="s">
        <v>29</v>
      </c>
      <c r="G1353" s="12" t="s">
        <v>4918</v>
      </c>
      <c r="H1353" s="12" t="s">
        <v>4919</v>
      </c>
      <c r="I1353" s="10"/>
      <c r="J1353" s="10"/>
      <c r="K1353" s="12"/>
    </row>
    <row r="1354" ht="15.75" customHeight="1">
      <c r="A1354" s="3" t="s">
        <v>12</v>
      </c>
      <c r="B1354" s="3" t="s">
        <v>359</v>
      </c>
      <c r="C1354" s="3" t="s">
        <v>7047</v>
      </c>
      <c r="D1354" s="8" t="str">
        <f t="shared" si="1"/>
        <v>Abrir anúncio ↗</v>
      </c>
      <c r="E1354" s="9" t="s">
        <v>7048</v>
      </c>
      <c r="F1354" s="3" t="s">
        <v>29</v>
      </c>
      <c r="G1354" s="9" t="s">
        <v>4918</v>
      </c>
      <c r="H1354" s="9" t="s">
        <v>4919</v>
      </c>
      <c r="I1354" s="3"/>
      <c r="J1354" s="3"/>
      <c r="K1354" s="9"/>
    </row>
    <row r="1355" ht="15.75" customHeight="1">
      <c r="A1355" s="10" t="s">
        <v>12</v>
      </c>
      <c r="B1355" s="10" t="s">
        <v>359</v>
      </c>
      <c r="C1355" s="10" t="s">
        <v>7051</v>
      </c>
      <c r="D1355" s="11" t="str">
        <f t="shared" si="1"/>
        <v>Abrir anúncio ↗</v>
      </c>
      <c r="E1355" s="12" t="s">
        <v>7052</v>
      </c>
      <c r="F1355" s="10" t="s">
        <v>29</v>
      </c>
      <c r="G1355" s="12" t="s">
        <v>4918</v>
      </c>
      <c r="H1355" s="12" t="s">
        <v>4919</v>
      </c>
      <c r="I1355" s="10"/>
      <c r="J1355" s="10"/>
      <c r="K1355" s="12"/>
    </row>
    <row r="1356" ht="15.75" customHeight="1">
      <c r="A1356" s="3" t="s">
        <v>12</v>
      </c>
      <c r="B1356" s="3" t="s">
        <v>359</v>
      </c>
      <c r="C1356" s="3" t="s">
        <v>7055</v>
      </c>
      <c r="D1356" s="8" t="str">
        <f t="shared" si="1"/>
        <v>Abrir anúncio ↗</v>
      </c>
      <c r="E1356" s="9" t="s">
        <v>7056</v>
      </c>
      <c r="F1356" s="3" t="s">
        <v>29</v>
      </c>
      <c r="G1356" s="9" t="s">
        <v>4918</v>
      </c>
      <c r="H1356" s="9" t="s">
        <v>4919</v>
      </c>
      <c r="I1356" s="3"/>
      <c r="J1356" s="3"/>
      <c r="K1356" s="9"/>
    </row>
    <row r="1357" ht="15.75" customHeight="1">
      <c r="A1357" s="10" t="s">
        <v>12</v>
      </c>
      <c r="B1357" s="10" t="s">
        <v>359</v>
      </c>
      <c r="C1357" s="10" t="s">
        <v>7059</v>
      </c>
      <c r="D1357" s="11" t="str">
        <f t="shared" si="1"/>
        <v>Abrir anúncio ↗</v>
      </c>
      <c r="E1357" s="12" t="s">
        <v>7061</v>
      </c>
      <c r="F1357" s="10" t="s">
        <v>29</v>
      </c>
      <c r="G1357" s="12" t="s">
        <v>4918</v>
      </c>
      <c r="H1357" s="12" t="s">
        <v>4919</v>
      </c>
      <c r="I1357" s="10"/>
      <c r="J1357" s="10"/>
      <c r="K1357" s="12"/>
    </row>
    <row r="1358" ht="15.75" customHeight="1">
      <c r="A1358" s="3" t="s">
        <v>12</v>
      </c>
      <c r="B1358" s="3" t="s">
        <v>359</v>
      </c>
      <c r="C1358" s="3" t="s">
        <v>7062</v>
      </c>
      <c r="D1358" s="8" t="str">
        <f t="shared" si="1"/>
        <v>Abrir anúncio ↗</v>
      </c>
      <c r="E1358" s="9" t="s">
        <v>7064</v>
      </c>
      <c r="F1358" s="3" t="s">
        <v>29</v>
      </c>
      <c r="G1358" s="9" t="s">
        <v>4918</v>
      </c>
      <c r="H1358" s="9" t="s">
        <v>4919</v>
      </c>
      <c r="I1358" s="3"/>
      <c r="J1358" s="3"/>
      <c r="K1358" s="9"/>
    </row>
    <row r="1359" ht="15.75" customHeight="1">
      <c r="A1359" s="10" t="s">
        <v>12</v>
      </c>
      <c r="B1359" s="10" t="s">
        <v>359</v>
      </c>
      <c r="C1359" s="10" t="s">
        <v>7066</v>
      </c>
      <c r="D1359" s="11" t="str">
        <f t="shared" si="1"/>
        <v>Abrir anúncio ↗</v>
      </c>
      <c r="E1359" s="12" t="s">
        <v>7068</v>
      </c>
      <c r="F1359" s="10" t="s">
        <v>29</v>
      </c>
      <c r="G1359" s="12" t="s">
        <v>4918</v>
      </c>
      <c r="H1359" s="12" t="s">
        <v>4919</v>
      </c>
      <c r="I1359" s="10"/>
      <c r="J1359" s="10"/>
      <c r="K1359" s="12"/>
    </row>
    <row r="1360" ht="15.75" customHeight="1">
      <c r="A1360" s="3" t="s">
        <v>12</v>
      </c>
      <c r="B1360" s="3" t="s">
        <v>359</v>
      </c>
      <c r="C1360" s="3" t="s">
        <v>7070</v>
      </c>
      <c r="D1360" s="8" t="str">
        <f t="shared" si="1"/>
        <v>Abrir anúncio ↗</v>
      </c>
      <c r="E1360" s="9" t="s">
        <v>4133</v>
      </c>
      <c r="F1360" s="3" t="s">
        <v>29</v>
      </c>
      <c r="G1360" s="9" t="s">
        <v>4918</v>
      </c>
      <c r="H1360" s="9" t="s">
        <v>4919</v>
      </c>
      <c r="I1360" s="3"/>
      <c r="J1360" s="3"/>
      <c r="K1360" s="9"/>
    </row>
    <row r="1361" ht="15.75" customHeight="1">
      <c r="A1361" s="10" t="s">
        <v>12</v>
      </c>
      <c r="B1361" s="10" t="s">
        <v>359</v>
      </c>
      <c r="C1361" s="10" t="s">
        <v>7074</v>
      </c>
      <c r="D1361" s="11" t="str">
        <f t="shared" si="1"/>
        <v>Abrir anúncio ↗</v>
      </c>
      <c r="E1361" s="12" t="s">
        <v>7075</v>
      </c>
      <c r="F1361" s="10" t="s">
        <v>29</v>
      </c>
      <c r="G1361" s="12" t="s">
        <v>4918</v>
      </c>
      <c r="H1361" s="12" t="s">
        <v>4919</v>
      </c>
      <c r="I1361" s="10"/>
      <c r="J1361" s="10"/>
      <c r="K1361" s="12"/>
    </row>
    <row r="1362" ht="15.75" customHeight="1">
      <c r="A1362" s="3" t="s">
        <v>12</v>
      </c>
      <c r="B1362" s="3" t="s">
        <v>359</v>
      </c>
      <c r="C1362" s="3" t="s">
        <v>7078</v>
      </c>
      <c r="D1362" s="8" t="str">
        <f t="shared" si="1"/>
        <v>Abrir anúncio ↗</v>
      </c>
      <c r="E1362" s="9" t="s">
        <v>7079</v>
      </c>
      <c r="F1362" s="3" t="s">
        <v>86</v>
      </c>
      <c r="G1362" s="9" t="s">
        <v>4918</v>
      </c>
      <c r="H1362" s="9" t="s">
        <v>4919</v>
      </c>
      <c r="I1362" s="3"/>
      <c r="J1362" s="3"/>
      <c r="K1362" s="9"/>
    </row>
    <row r="1363" ht="15.75" customHeight="1">
      <c r="A1363" s="10" t="s">
        <v>12</v>
      </c>
      <c r="B1363" s="10" t="s">
        <v>359</v>
      </c>
      <c r="C1363" s="10" t="s">
        <v>7083</v>
      </c>
      <c r="D1363" s="11" t="str">
        <f t="shared" si="1"/>
        <v>Abrir anúncio ↗</v>
      </c>
      <c r="E1363" s="12" t="s">
        <v>7085</v>
      </c>
      <c r="F1363" s="10" t="s">
        <v>29</v>
      </c>
      <c r="G1363" s="12" t="s">
        <v>4918</v>
      </c>
      <c r="H1363" s="12" t="s">
        <v>4919</v>
      </c>
      <c r="I1363" s="10"/>
      <c r="J1363" s="10"/>
      <c r="K1363" s="12"/>
    </row>
    <row r="1364" ht="15.75" customHeight="1">
      <c r="A1364" s="3" t="s">
        <v>12</v>
      </c>
      <c r="B1364" s="3" t="s">
        <v>359</v>
      </c>
      <c r="C1364" s="3" t="s">
        <v>7088</v>
      </c>
      <c r="D1364" s="8" t="str">
        <f t="shared" si="1"/>
        <v>Abrir anúncio ↗</v>
      </c>
      <c r="E1364" s="9" t="s">
        <v>4667</v>
      </c>
      <c r="F1364" s="3" t="s">
        <v>29</v>
      </c>
      <c r="G1364" s="9" t="s">
        <v>4918</v>
      </c>
      <c r="H1364" s="9" t="s">
        <v>4919</v>
      </c>
      <c r="I1364" s="3"/>
      <c r="J1364" s="3"/>
      <c r="K1364" s="9"/>
    </row>
    <row r="1365" ht="15.75" customHeight="1">
      <c r="A1365" s="10" t="s">
        <v>12</v>
      </c>
      <c r="B1365" s="10" t="s">
        <v>359</v>
      </c>
      <c r="C1365" s="10" t="s">
        <v>7091</v>
      </c>
      <c r="D1365" s="11" t="str">
        <f t="shared" si="1"/>
        <v>Abrir anúncio ↗</v>
      </c>
      <c r="E1365" s="12" t="s">
        <v>7092</v>
      </c>
      <c r="F1365" s="10" t="s">
        <v>29</v>
      </c>
      <c r="G1365" s="12" t="s">
        <v>4918</v>
      </c>
      <c r="H1365" s="12" t="s">
        <v>4919</v>
      </c>
      <c r="I1365" s="10"/>
      <c r="J1365" s="10"/>
      <c r="K1365" s="12"/>
    </row>
    <row r="1366" ht="15.75" customHeight="1">
      <c r="A1366" s="3" t="s">
        <v>12</v>
      </c>
      <c r="B1366" s="3" t="s">
        <v>359</v>
      </c>
      <c r="C1366" s="3" t="s">
        <v>7095</v>
      </c>
      <c r="D1366" s="8" t="str">
        <f t="shared" si="1"/>
        <v>Abrir anúncio ↗</v>
      </c>
      <c r="E1366" s="9" t="s">
        <v>4622</v>
      </c>
      <c r="F1366" s="3" t="s">
        <v>29</v>
      </c>
      <c r="G1366" s="9" t="s">
        <v>4918</v>
      </c>
      <c r="H1366" s="9" t="s">
        <v>4919</v>
      </c>
      <c r="I1366" s="3"/>
      <c r="J1366" s="3"/>
      <c r="K1366" s="9"/>
    </row>
    <row r="1367" ht="15.75" customHeight="1">
      <c r="A1367" s="10" t="s">
        <v>12</v>
      </c>
      <c r="B1367" s="10" t="s">
        <v>359</v>
      </c>
      <c r="C1367" s="10" t="s">
        <v>7098</v>
      </c>
      <c r="D1367" s="11" t="str">
        <f t="shared" si="1"/>
        <v>Abrir anúncio ↗</v>
      </c>
      <c r="E1367" s="12" t="s">
        <v>7099</v>
      </c>
      <c r="F1367" s="10" t="s">
        <v>29</v>
      </c>
      <c r="G1367" s="12" t="s">
        <v>4918</v>
      </c>
      <c r="H1367" s="12" t="s">
        <v>4919</v>
      </c>
      <c r="I1367" s="10"/>
      <c r="J1367" s="10"/>
      <c r="K1367" s="12"/>
    </row>
    <row r="1368" ht="15.75" customHeight="1">
      <c r="A1368" s="3" t="s">
        <v>12</v>
      </c>
      <c r="B1368" s="3" t="s">
        <v>359</v>
      </c>
      <c r="C1368" s="3" t="s">
        <v>7101</v>
      </c>
      <c r="D1368" s="8" t="str">
        <f t="shared" si="1"/>
        <v>Abrir anúncio ↗</v>
      </c>
      <c r="E1368" s="9" t="s">
        <v>7103</v>
      </c>
      <c r="F1368" s="3" t="s">
        <v>29</v>
      </c>
      <c r="G1368" s="9" t="s">
        <v>4918</v>
      </c>
      <c r="H1368" s="9" t="s">
        <v>4919</v>
      </c>
      <c r="I1368" s="3"/>
      <c r="J1368" s="3"/>
      <c r="K1368" s="9"/>
    </row>
    <row r="1369" ht="15.75" customHeight="1">
      <c r="A1369" s="10" t="s">
        <v>12</v>
      </c>
      <c r="B1369" s="10" t="s">
        <v>359</v>
      </c>
      <c r="C1369" s="10" t="s">
        <v>7106</v>
      </c>
      <c r="D1369" s="11" t="str">
        <f t="shared" si="1"/>
        <v>Abrir anúncio ↗</v>
      </c>
      <c r="E1369" s="12" t="s">
        <v>7109</v>
      </c>
      <c r="F1369" s="10" t="s">
        <v>29</v>
      </c>
      <c r="G1369" s="12" t="s">
        <v>4918</v>
      </c>
      <c r="H1369" s="12" t="s">
        <v>4919</v>
      </c>
      <c r="I1369" s="10"/>
      <c r="J1369" s="10"/>
      <c r="K1369" s="12"/>
    </row>
    <row r="1370" ht="15.75" customHeight="1">
      <c r="A1370" s="3" t="s">
        <v>12</v>
      </c>
      <c r="B1370" s="3" t="s">
        <v>359</v>
      </c>
      <c r="C1370" s="3" t="s">
        <v>7112</v>
      </c>
      <c r="D1370" s="8" t="str">
        <f t="shared" si="1"/>
        <v>Abrir anúncio ↗</v>
      </c>
      <c r="E1370" s="9" t="s">
        <v>6761</v>
      </c>
      <c r="F1370" s="3" t="s">
        <v>29</v>
      </c>
      <c r="G1370" s="9" t="s">
        <v>4918</v>
      </c>
      <c r="H1370" s="9" t="s">
        <v>4919</v>
      </c>
      <c r="I1370" s="3"/>
      <c r="J1370" s="3"/>
      <c r="K1370" s="9"/>
    </row>
    <row r="1371" ht="15.75" customHeight="1">
      <c r="A1371" s="10" t="s">
        <v>12</v>
      </c>
      <c r="B1371" s="10" t="s">
        <v>359</v>
      </c>
      <c r="C1371" s="10" t="s">
        <v>7116</v>
      </c>
      <c r="D1371" s="11" t="str">
        <f t="shared" si="1"/>
        <v>Abrir anúncio ↗</v>
      </c>
      <c r="E1371" s="12" t="s">
        <v>7118</v>
      </c>
      <c r="F1371" s="10" t="s">
        <v>29</v>
      </c>
      <c r="G1371" s="12" t="s">
        <v>4918</v>
      </c>
      <c r="H1371" s="12" t="s">
        <v>4919</v>
      </c>
      <c r="I1371" s="10"/>
      <c r="J1371" s="10"/>
      <c r="K1371" s="12"/>
    </row>
    <row r="1372" ht="15.75" customHeight="1">
      <c r="A1372" s="3" t="s">
        <v>12</v>
      </c>
      <c r="B1372" s="3" t="s">
        <v>359</v>
      </c>
      <c r="C1372" s="3" t="s">
        <v>7120</v>
      </c>
      <c r="D1372" s="8" t="str">
        <f t="shared" si="1"/>
        <v>Abrir anúncio ↗</v>
      </c>
      <c r="E1372" s="9" t="s">
        <v>7122</v>
      </c>
      <c r="F1372" s="3" t="s">
        <v>29</v>
      </c>
      <c r="G1372" s="9" t="s">
        <v>4918</v>
      </c>
      <c r="H1372" s="9" t="s">
        <v>4919</v>
      </c>
      <c r="I1372" s="3"/>
      <c r="J1372" s="3"/>
      <c r="K1372" s="9"/>
    </row>
    <row r="1373" ht="15.75" customHeight="1">
      <c r="A1373" s="10" t="s">
        <v>12</v>
      </c>
      <c r="B1373" s="10" t="s">
        <v>359</v>
      </c>
      <c r="C1373" s="10" t="s">
        <v>7124</v>
      </c>
      <c r="D1373" s="11" t="str">
        <f t="shared" si="1"/>
        <v>Abrir anúncio ↗</v>
      </c>
      <c r="E1373" s="12" t="s">
        <v>7127</v>
      </c>
      <c r="F1373" s="10" t="s">
        <v>29</v>
      </c>
      <c r="G1373" s="12" t="s">
        <v>4918</v>
      </c>
      <c r="H1373" s="12" t="s">
        <v>4919</v>
      </c>
      <c r="I1373" s="10"/>
      <c r="J1373" s="10"/>
      <c r="K1373" s="12"/>
    </row>
    <row r="1374" ht="15.75" customHeight="1">
      <c r="A1374" s="3" t="s">
        <v>12</v>
      </c>
      <c r="B1374" s="3" t="s">
        <v>359</v>
      </c>
      <c r="C1374" s="3" t="s">
        <v>7130</v>
      </c>
      <c r="D1374" s="8" t="str">
        <f t="shared" si="1"/>
        <v>Abrir anúncio ↗</v>
      </c>
      <c r="E1374" s="9" t="s">
        <v>7132</v>
      </c>
      <c r="F1374" s="3" t="s">
        <v>29</v>
      </c>
      <c r="G1374" s="9" t="s">
        <v>4918</v>
      </c>
      <c r="H1374" s="9" t="s">
        <v>4919</v>
      </c>
      <c r="I1374" s="3"/>
      <c r="J1374" s="3"/>
      <c r="K1374" s="9"/>
    </row>
    <row r="1375" ht="15.75" customHeight="1">
      <c r="A1375" s="10" t="s">
        <v>12</v>
      </c>
      <c r="B1375" s="10" t="s">
        <v>359</v>
      </c>
      <c r="C1375" s="10" t="s">
        <v>7136</v>
      </c>
      <c r="D1375" s="11" t="str">
        <f t="shared" si="1"/>
        <v>Abrir anúncio ↗</v>
      </c>
      <c r="E1375" s="12" t="s">
        <v>7138</v>
      </c>
      <c r="F1375" s="10" t="s">
        <v>29</v>
      </c>
      <c r="G1375" s="12" t="s">
        <v>4918</v>
      </c>
      <c r="H1375" s="12" t="s">
        <v>4919</v>
      </c>
      <c r="I1375" s="10"/>
      <c r="J1375" s="10"/>
      <c r="K1375" s="12"/>
    </row>
    <row r="1376" ht="15.75" customHeight="1">
      <c r="A1376" s="3" t="s">
        <v>12</v>
      </c>
      <c r="B1376" s="3" t="s">
        <v>359</v>
      </c>
      <c r="C1376" s="3" t="s">
        <v>7141</v>
      </c>
      <c r="D1376" s="8" t="str">
        <f t="shared" si="1"/>
        <v>Abrir anúncio ↗</v>
      </c>
      <c r="E1376" s="9" t="s">
        <v>7142</v>
      </c>
      <c r="F1376" s="3" t="s">
        <v>29</v>
      </c>
      <c r="G1376" s="9" t="s">
        <v>4918</v>
      </c>
      <c r="H1376" s="9" t="s">
        <v>4919</v>
      </c>
      <c r="I1376" s="3"/>
      <c r="J1376" s="3"/>
      <c r="K1376" s="9"/>
    </row>
    <row r="1377" ht="15.75" customHeight="1">
      <c r="A1377" s="10" t="s">
        <v>12</v>
      </c>
      <c r="B1377" s="10" t="s">
        <v>359</v>
      </c>
      <c r="C1377" s="10" t="s">
        <v>7145</v>
      </c>
      <c r="D1377" s="11" t="str">
        <f t="shared" si="1"/>
        <v>Abrir anúncio ↗</v>
      </c>
      <c r="E1377" s="12" t="s">
        <v>7147</v>
      </c>
      <c r="F1377" s="10" t="s">
        <v>29</v>
      </c>
      <c r="G1377" s="12" t="s">
        <v>4918</v>
      </c>
      <c r="H1377" s="12" t="s">
        <v>4919</v>
      </c>
      <c r="I1377" s="10"/>
      <c r="J1377" s="10"/>
      <c r="K1377" s="12"/>
    </row>
    <row r="1378" ht="15.75" customHeight="1">
      <c r="A1378" s="3" t="s">
        <v>12</v>
      </c>
      <c r="B1378" s="3" t="s">
        <v>359</v>
      </c>
      <c r="C1378" s="3" t="s">
        <v>7149</v>
      </c>
      <c r="D1378" s="8" t="str">
        <f t="shared" si="1"/>
        <v>Abrir anúncio ↗</v>
      </c>
      <c r="E1378" s="9" t="s">
        <v>7150</v>
      </c>
      <c r="F1378" s="3" t="s">
        <v>29</v>
      </c>
      <c r="G1378" s="9" t="s">
        <v>4918</v>
      </c>
      <c r="H1378" s="9" t="s">
        <v>4919</v>
      </c>
      <c r="I1378" s="3"/>
      <c r="J1378" s="3"/>
      <c r="K1378" s="9"/>
    </row>
    <row r="1379" ht="15.75" customHeight="1">
      <c r="A1379" s="10" t="s">
        <v>12</v>
      </c>
      <c r="B1379" s="10" t="s">
        <v>359</v>
      </c>
      <c r="C1379" s="10" t="s">
        <v>7152</v>
      </c>
      <c r="D1379" s="11" t="str">
        <f t="shared" si="1"/>
        <v>Abrir anúncio ↗</v>
      </c>
      <c r="E1379" s="12" t="s">
        <v>7154</v>
      </c>
      <c r="F1379" s="10" t="s">
        <v>29</v>
      </c>
      <c r="G1379" s="12" t="s">
        <v>4918</v>
      </c>
      <c r="H1379" s="12" t="s">
        <v>4919</v>
      </c>
      <c r="I1379" s="10"/>
      <c r="J1379" s="10"/>
      <c r="K1379" s="12"/>
    </row>
    <row r="1380" ht="15.75" customHeight="1">
      <c r="A1380" s="3" t="s">
        <v>12</v>
      </c>
      <c r="B1380" s="3" t="s">
        <v>359</v>
      </c>
      <c r="C1380" s="3" t="s">
        <v>7158</v>
      </c>
      <c r="D1380" s="8" t="str">
        <f t="shared" si="1"/>
        <v>Abrir anúncio ↗</v>
      </c>
      <c r="E1380" s="9" t="s">
        <v>7159</v>
      </c>
      <c r="F1380" s="3" t="s">
        <v>29</v>
      </c>
      <c r="G1380" s="9" t="s">
        <v>4918</v>
      </c>
      <c r="H1380" s="9" t="s">
        <v>4919</v>
      </c>
      <c r="I1380" s="3"/>
      <c r="J1380" s="3"/>
      <c r="K1380" s="9"/>
    </row>
    <row r="1381" ht="15.75" customHeight="1">
      <c r="A1381" s="10" t="s">
        <v>12</v>
      </c>
      <c r="B1381" s="10" t="s">
        <v>359</v>
      </c>
      <c r="C1381" s="10" t="s">
        <v>7164</v>
      </c>
      <c r="D1381" s="11" t="str">
        <f t="shared" si="1"/>
        <v>Abrir anúncio ↗</v>
      </c>
      <c r="E1381" s="12" t="s">
        <v>7166</v>
      </c>
      <c r="F1381" s="10" t="s">
        <v>29</v>
      </c>
      <c r="G1381" s="12" t="s">
        <v>4918</v>
      </c>
      <c r="H1381" s="12" t="s">
        <v>4919</v>
      </c>
      <c r="I1381" s="10"/>
      <c r="J1381" s="10"/>
      <c r="K1381" s="12"/>
    </row>
    <row r="1382" ht="15.75" customHeight="1">
      <c r="A1382" s="3" t="s">
        <v>12</v>
      </c>
      <c r="B1382" s="3" t="s">
        <v>359</v>
      </c>
      <c r="C1382" s="3" t="s">
        <v>6887</v>
      </c>
      <c r="D1382" s="8" t="str">
        <f t="shared" si="1"/>
        <v>Abrir anúncio ↗</v>
      </c>
      <c r="E1382" s="9" t="s">
        <v>6766</v>
      </c>
      <c r="F1382" s="3" t="s">
        <v>29</v>
      </c>
      <c r="G1382" s="9" t="s">
        <v>4918</v>
      </c>
      <c r="H1382" s="9" t="s">
        <v>4919</v>
      </c>
      <c r="I1382" s="3"/>
      <c r="J1382" s="3"/>
      <c r="K1382" s="9"/>
    </row>
    <row r="1383" ht="15.75" customHeight="1">
      <c r="A1383" s="10" t="s">
        <v>12</v>
      </c>
      <c r="B1383" s="10" t="s">
        <v>359</v>
      </c>
      <c r="C1383" s="10" t="s">
        <v>7172</v>
      </c>
      <c r="D1383" s="11" t="str">
        <f t="shared" si="1"/>
        <v>Abrir anúncio ↗</v>
      </c>
      <c r="E1383" s="12" t="s">
        <v>7174</v>
      </c>
      <c r="F1383" s="10" t="s">
        <v>29</v>
      </c>
      <c r="G1383" s="12" t="s">
        <v>4918</v>
      </c>
      <c r="H1383" s="12" t="s">
        <v>4919</v>
      </c>
      <c r="I1383" s="10"/>
      <c r="J1383" s="10"/>
      <c r="K1383" s="12"/>
    </row>
    <row r="1384" ht="15.75" customHeight="1">
      <c r="A1384" s="3" t="s">
        <v>12</v>
      </c>
      <c r="B1384" s="3" t="s">
        <v>359</v>
      </c>
      <c r="C1384" s="3" t="s">
        <v>7175</v>
      </c>
      <c r="D1384" s="8" t="str">
        <f t="shared" si="1"/>
        <v>Abrir anúncio ↗</v>
      </c>
      <c r="E1384" s="9" t="s">
        <v>7177</v>
      </c>
      <c r="F1384" s="3" t="s">
        <v>29</v>
      </c>
      <c r="G1384" s="9" t="s">
        <v>4918</v>
      </c>
      <c r="H1384" s="9" t="s">
        <v>4919</v>
      </c>
      <c r="I1384" s="3"/>
      <c r="J1384" s="3"/>
      <c r="K1384" s="9"/>
    </row>
    <row r="1385" ht="15.75" customHeight="1">
      <c r="A1385" s="10" t="s">
        <v>12</v>
      </c>
      <c r="B1385" s="10" t="s">
        <v>359</v>
      </c>
      <c r="C1385" s="10" t="s">
        <v>7180</v>
      </c>
      <c r="D1385" s="11" t="str">
        <f t="shared" si="1"/>
        <v>Abrir anúncio ↗</v>
      </c>
      <c r="E1385" s="12" t="s">
        <v>7182</v>
      </c>
      <c r="F1385" s="10" t="s">
        <v>29</v>
      </c>
      <c r="G1385" s="12" t="s">
        <v>4918</v>
      </c>
      <c r="H1385" s="12" t="s">
        <v>4919</v>
      </c>
      <c r="I1385" s="10"/>
      <c r="J1385" s="10"/>
      <c r="K1385" s="12"/>
    </row>
    <row r="1386" ht="15.75" customHeight="1">
      <c r="A1386" s="3" t="s">
        <v>12</v>
      </c>
      <c r="B1386" s="3" t="s">
        <v>359</v>
      </c>
      <c r="C1386" s="3" t="s">
        <v>7184</v>
      </c>
      <c r="D1386" s="8" t="str">
        <f t="shared" si="1"/>
        <v>Abrir anúncio ↗</v>
      </c>
      <c r="E1386" s="9" t="s">
        <v>7186</v>
      </c>
      <c r="F1386" s="3" t="s">
        <v>29</v>
      </c>
      <c r="G1386" s="9" t="s">
        <v>4918</v>
      </c>
      <c r="H1386" s="9" t="s">
        <v>4919</v>
      </c>
      <c r="I1386" s="3"/>
      <c r="J1386" s="3"/>
      <c r="K1386" s="9"/>
    </row>
    <row r="1387" ht="15.75" customHeight="1">
      <c r="A1387" s="10" t="s">
        <v>12</v>
      </c>
      <c r="B1387" s="10" t="s">
        <v>359</v>
      </c>
      <c r="C1387" s="10" t="s">
        <v>7190</v>
      </c>
      <c r="D1387" s="11" t="str">
        <f t="shared" si="1"/>
        <v>Abrir anúncio ↗</v>
      </c>
      <c r="E1387" s="12" t="s">
        <v>6892</v>
      </c>
      <c r="F1387" s="10" t="s">
        <v>29</v>
      </c>
      <c r="G1387" s="12" t="s">
        <v>4918</v>
      </c>
      <c r="H1387" s="12" t="s">
        <v>4919</v>
      </c>
      <c r="I1387" s="10"/>
      <c r="J1387" s="10"/>
      <c r="K1387" s="12"/>
    </row>
    <row r="1388" ht="15.75" customHeight="1">
      <c r="A1388" s="3" t="s">
        <v>12</v>
      </c>
      <c r="B1388" s="3" t="s">
        <v>359</v>
      </c>
      <c r="C1388" s="3" t="s">
        <v>7196</v>
      </c>
      <c r="D1388" s="8" t="str">
        <f t="shared" si="1"/>
        <v>Abrir anúncio ↗</v>
      </c>
      <c r="E1388" s="9" t="s">
        <v>6928</v>
      </c>
      <c r="F1388" s="3" t="s">
        <v>29</v>
      </c>
      <c r="G1388" s="9" t="s">
        <v>4918</v>
      </c>
      <c r="H1388" s="9" t="s">
        <v>4919</v>
      </c>
      <c r="I1388" s="3"/>
      <c r="J1388" s="3"/>
      <c r="K1388" s="9"/>
    </row>
    <row r="1389" ht="15.75" customHeight="1">
      <c r="A1389" s="10" t="s">
        <v>12</v>
      </c>
      <c r="B1389" s="10" t="s">
        <v>359</v>
      </c>
      <c r="C1389" s="10" t="s">
        <v>7201</v>
      </c>
      <c r="D1389" s="11" t="str">
        <f t="shared" si="1"/>
        <v>Abrir anúncio ↗</v>
      </c>
      <c r="E1389" s="12" t="s">
        <v>6888</v>
      </c>
      <c r="F1389" s="10" t="s">
        <v>29</v>
      </c>
      <c r="G1389" s="12" t="s">
        <v>4918</v>
      </c>
      <c r="H1389" s="12" t="s">
        <v>4919</v>
      </c>
      <c r="I1389" s="10"/>
      <c r="J1389" s="10"/>
      <c r="K1389" s="12"/>
    </row>
    <row r="1390" ht="15.75" customHeight="1">
      <c r="A1390" s="3" t="s">
        <v>12</v>
      </c>
      <c r="B1390" s="3" t="s">
        <v>359</v>
      </c>
      <c r="C1390" s="3" t="s">
        <v>7207</v>
      </c>
      <c r="D1390" s="8" t="str">
        <f t="shared" si="1"/>
        <v>Abrir anúncio ↗</v>
      </c>
      <c r="E1390" s="9" t="s">
        <v>7043</v>
      </c>
      <c r="F1390" s="3" t="s">
        <v>29</v>
      </c>
      <c r="G1390" s="9" t="s">
        <v>4918</v>
      </c>
      <c r="H1390" s="9" t="s">
        <v>4919</v>
      </c>
      <c r="I1390" s="3"/>
      <c r="J1390" s="3"/>
      <c r="K1390" s="9"/>
    </row>
    <row r="1391" ht="15.75" customHeight="1">
      <c r="A1391" s="10" t="s">
        <v>12</v>
      </c>
      <c r="B1391" s="10" t="s">
        <v>359</v>
      </c>
      <c r="C1391" s="10" t="s">
        <v>7213</v>
      </c>
      <c r="D1391" s="11" t="str">
        <f t="shared" si="1"/>
        <v>Abrir anúncio ↗</v>
      </c>
      <c r="E1391" s="12" t="s">
        <v>6992</v>
      </c>
      <c r="F1391" s="10" t="s">
        <v>29</v>
      </c>
      <c r="G1391" s="12" t="s">
        <v>4918</v>
      </c>
      <c r="H1391" s="12" t="s">
        <v>4919</v>
      </c>
      <c r="I1391" s="10"/>
      <c r="J1391" s="10"/>
      <c r="K1391" s="12"/>
    </row>
    <row r="1392" ht="15.75" customHeight="1">
      <c r="A1392" s="3" t="s">
        <v>12</v>
      </c>
      <c r="B1392" s="3" t="s">
        <v>359</v>
      </c>
      <c r="C1392" s="3" t="s">
        <v>7218</v>
      </c>
      <c r="D1392" s="8" t="str">
        <f t="shared" si="1"/>
        <v>Abrir anúncio ↗</v>
      </c>
      <c r="E1392" s="9" t="s">
        <v>7220</v>
      </c>
      <c r="F1392" s="3" t="s">
        <v>29</v>
      </c>
      <c r="G1392" s="9" t="s">
        <v>4918</v>
      </c>
      <c r="H1392" s="9" t="s">
        <v>4919</v>
      </c>
      <c r="I1392" s="3"/>
      <c r="J1392" s="3"/>
      <c r="K1392" s="9"/>
    </row>
    <row r="1393" ht="15.75" customHeight="1">
      <c r="A1393" s="10" t="s">
        <v>12</v>
      </c>
      <c r="B1393" s="10" t="s">
        <v>359</v>
      </c>
      <c r="C1393" s="10" t="s">
        <v>7224</v>
      </c>
      <c r="D1393" s="11" t="str">
        <f t="shared" si="1"/>
        <v>Abrir anúncio ↗</v>
      </c>
      <c r="E1393" s="12" t="s">
        <v>6652</v>
      </c>
      <c r="F1393" s="10" t="s">
        <v>29</v>
      </c>
      <c r="G1393" s="12" t="s">
        <v>4918</v>
      </c>
      <c r="H1393" s="12" t="s">
        <v>4919</v>
      </c>
      <c r="I1393" s="10"/>
      <c r="J1393" s="10"/>
      <c r="K1393" s="12"/>
    </row>
    <row r="1394" ht="15.75" customHeight="1">
      <c r="A1394" s="3" t="s">
        <v>12</v>
      </c>
      <c r="B1394" s="3" t="s">
        <v>359</v>
      </c>
      <c r="C1394" s="3" t="s">
        <v>7227</v>
      </c>
      <c r="D1394" s="8" t="str">
        <f t="shared" si="1"/>
        <v>Abrir anúncio ↗</v>
      </c>
      <c r="E1394" s="9" t="s">
        <v>7229</v>
      </c>
      <c r="F1394" s="3" t="s">
        <v>29</v>
      </c>
      <c r="G1394" s="9" t="s">
        <v>4918</v>
      </c>
      <c r="H1394" s="9" t="s">
        <v>4919</v>
      </c>
      <c r="I1394" s="3"/>
      <c r="J1394" s="3"/>
      <c r="K1394" s="9"/>
    </row>
    <row r="1395" ht="15.75" customHeight="1">
      <c r="A1395" s="10" t="s">
        <v>12</v>
      </c>
      <c r="B1395" s="10" t="s">
        <v>359</v>
      </c>
      <c r="C1395" s="10" t="s">
        <v>7234</v>
      </c>
      <c r="D1395" s="11" t="str">
        <f t="shared" si="1"/>
        <v>Abrir anúncio ↗</v>
      </c>
      <c r="E1395" s="12" t="s">
        <v>6850</v>
      </c>
      <c r="F1395" s="10" t="s">
        <v>29</v>
      </c>
      <c r="G1395" s="12" t="s">
        <v>4918</v>
      </c>
      <c r="H1395" s="12" t="s">
        <v>4919</v>
      </c>
      <c r="I1395" s="10"/>
      <c r="J1395" s="10"/>
      <c r="K1395" s="12"/>
    </row>
    <row r="1396" ht="15.75" customHeight="1">
      <c r="A1396" s="3" t="s">
        <v>12</v>
      </c>
      <c r="B1396" s="3" t="s">
        <v>359</v>
      </c>
      <c r="C1396" s="3" t="s">
        <v>7107</v>
      </c>
      <c r="D1396" s="8" t="str">
        <f t="shared" si="1"/>
        <v>Abrir anúncio ↗</v>
      </c>
      <c r="E1396" s="9" t="s">
        <v>7105</v>
      </c>
      <c r="F1396" s="3" t="s">
        <v>29</v>
      </c>
      <c r="G1396" s="9" t="s">
        <v>4918</v>
      </c>
      <c r="H1396" s="9" t="s">
        <v>4919</v>
      </c>
      <c r="I1396" s="3"/>
      <c r="J1396" s="3"/>
      <c r="K1396" s="9"/>
    </row>
    <row r="1397" ht="15.75" customHeight="1">
      <c r="A1397" s="10" t="s">
        <v>12</v>
      </c>
      <c r="B1397" s="10" t="s">
        <v>359</v>
      </c>
      <c r="C1397" s="10" t="s">
        <v>6240</v>
      </c>
      <c r="D1397" s="11" t="str">
        <f t="shared" si="1"/>
        <v>Abrir anúncio ↗</v>
      </c>
      <c r="E1397" s="12" t="s">
        <v>3592</v>
      </c>
      <c r="F1397" s="10" t="s">
        <v>29</v>
      </c>
      <c r="G1397" s="12" t="s">
        <v>4918</v>
      </c>
      <c r="H1397" s="12" t="s">
        <v>4919</v>
      </c>
      <c r="I1397" s="10"/>
      <c r="J1397" s="10"/>
      <c r="K1397" s="12"/>
    </row>
    <row r="1398" ht="15.75" customHeight="1">
      <c r="A1398" s="3" t="s">
        <v>12</v>
      </c>
      <c r="B1398" s="3" t="s">
        <v>359</v>
      </c>
      <c r="C1398" s="3" t="s">
        <v>7243</v>
      </c>
      <c r="D1398" s="8" t="str">
        <f t="shared" si="1"/>
        <v>Abrir anúncio ↗</v>
      </c>
      <c r="E1398" s="9" t="s">
        <v>7245</v>
      </c>
      <c r="F1398" s="3" t="s">
        <v>29</v>
      </c>
      <c r="G1398" s="9" t="s">
        <v>4918</v>
      </c>
      <c r="H1398" s="9" t="s">
        <v>4919</v>
      </c>
      <c r="I1398" s="3"/>
      <c r="J1398" s="3"/>
      <c r="K1398" s="9"/>
    </row>
    <row r="1399" ht="15.75" customHeight="1">
      <c r="A1399" s="10" t="s">
        <v>12</v>
      </c>
      <c r="B1399" s="10" t="s">
        <v>359</v>
      </c>
      <c r="C1399" s="10" t="s">
        <v>7246</v>
      </c>
      <c r="D1399" s="11" t="str">
        <f t="shared" si="1"/>
        <v>Abrir anúncio ↗</v>
      </c>
      <c r="E1399" s="12" t="s">
        <v>7248</v>
      </c>
      <c r="F1399" s="10" t="s">
        <v>29</v>
      </c>
      <c r="G1399" s="12" t="s">
        <v>4918</v>
      </c>
      <c r="H1399" s="12" t="s">
        <v>4919</v>
      </c>
      <c r="I1399" s="10"/>
      <c r="J1399" s="10"/>
      <c r="K1399" s="12"/>
    </row>
    <row r="1400" ht="15.75" customHeight="1">
      <c r="A1400" s="3" t="s">
        <v>12</v>
      </c>
      <c r="B1400" s="3" t="s">
        <v>359</v>
      </c>
      <c r="C1400" s="3" t="s">
        <v>7250</v>
      </c>
      <c r="D1400" s="8" t="str">
        <f t="shared" si="1"/>
        <v>Abrir anúncio ↗</v>
      </c>
      <c r="E1400" s="9" t="s">
        <v>161</v>
      </c>
      <c r="F1400" s="3" t="s">
        <v>29</v>
      </c>
      <c r="G1400" s="9" t="s">
        <v>5013</v>
      </c>
      <c r="H1400" s="9" t="s">
        <v>5015</v>
      </c>
      <c r="I1400" s="3"/>
      <c r="J1400" s="3"/>
      <c r="K1400" s="9"/>
    </row>
    <row r="1401" ht="15.75" customHeight="1">
      <c r="A1401" s="10" t="s">
        <v>12</v>
      </c>
      <c r="B1401" s="10" t="s">
        <v>359</v>
      </c>
      <c r="C1401" s="10" t="s">
        <v>7255</v>
      </c>
      <c r="D1401" s="11" t="str">
        <f t="shared" si="1"/>
        <v>Abrir anúncio ↗</v>
      </c>
      <c r="E1401" s="12" t="s">
        <v>6221</v>
      </c>
      <c r="F1401" s="10" t="s">
        <v>29</v>
      </c>
      <c r="G1401" s="12" t="s">
        <v>4918</v>
      </c>
      <c r="H1401" s="12" t="s">
        <v>4919</v>
      </c>
      <c r="I1401" s="10"/>
      <c r="J1401" s="10"/>
      <c r="K1401" s="12"/>
    </row>
    <row r="1402" ht="15.75" customHeight="1">
      <c r="A1402" s="3" t="s">
        <v>12</v>
      </c>
      <c r="B1402" s="3" t="s">
        <v>359</v>
      </c>
      <c r="C1402" s="3" t="s">
        <v>7259</v>
      </c>
      <c r="D1402" s="8" t="str">
        <f t="shared" si="1"/>
        <v>Abrir anúncio ↗</v>
      </c>
      <c r="E1402" s="9" t="s">
        <v>6583</v>
      </c>
      <c r="F1402" s="3" t="s">
        <v>29</v>
      </c>
      <c r="G1402" s="9" t="s">
        <v>4918</v>
      </c>
      <c r="H1402" s="9" t="s">
        <v>4919</v>
      </c>
      <c r="I1402" s="3"/>
      <c r="J1402" s="3"/>
      <c r="K1402" s="9"/>
    </row>
    <row r="1403" ht="15.75" customHeight="1">
      <c r="A1403" s="10" t="s">
        <v>12</v>
      </c>
      <c r="B1403" s="10" t="s">
        <v>359</v>
      </c>
      <c r="C1403" s="10" t="s">
        <v>7265</v>
      </c>
      <c r="D1403" s="11" t="str">
        <f t="shared" si="1"/>
        <v>Abrir anúncio ↗</v>
      </c>
      <c r="E1403" s="12" t="s">
        <v>6658</v>
      </c>
      <c r="F1403" s="10" t="s">
        <v>29</v>
      </c>
      <c r="G1403" s="12" t="s">
        <v>4918</v>
      </c>
      <c r="H1403" s="12" t="s">
        <v>4919</v>
      </c>
      <c r="I1403" s="10"/>
      <c r="J1403" s="10"/>
      <c r="K1403" s="12"/>
    </row>
    <row r="1404" ht="15.75" customHeight="1">
      <c r="A1404" s="3" t="s">
        <v>12</v>
      </c>
      <c r="B1404" s="3" t="s">
        <v>359</v>
      </c>
      <c r="C1404" s="3" t="s">
        <v>7268</v>
      </c>
      <c r="D1404" s="8" t="str">
        <f t="shared" si="1"/>
        <v>Abrir anúncio ↗</v>
      </c>
      <c r="E1404" s="9" t="s">
        <v>4789</v>
      </c>
      <c r="F1404" s="3" t="s">
        <v>29</v>
      </c>
      <c r="G1404" s="9" t="s">
        <v>4918</v>
      </c>
      <c r="H1404" s="9" t="s">
        <v>4919</v>
      </c>
      <c r="I1404" s="3"/>
      <c r="J1404" s="3"/>
      <c r="K1404" s="9"/>
    </row>
    <row r="1405" ht="15.75" customHeight="1">
      <c r="A1405" s="10" t="s">
        <v>12</v>
      </c>
      <c r="B1405" s="10" t="s">
        <v>359</v>
      </c>
      <c r="C1405" s="10" t="s">
        <v>7271</v>
      </c>
      <c r="D1405" s="11" t="str">
        <f t="shared" si="1"/>
        <v>Abrir anúncio ↗</v>
      </c>
      <c r="E1405" s="12" t="s">
        <v>7272</v>
      </c>
      <c r="F1405" s="10" t="s">
        <v>29</v>
      </c>
      <c r="G1405" s="12" t="s">
        <v>4918</v>
      </c>
      <c r="H1405" s="12" t="s">
        <v>4919</v>
      </c>
      <c r="I1405" s="10"/>
      <c r="J1405" s="10"/>
      <c r="K1405" s="12"/>
    </row>
    <row r="1406" ht="15.75" customHeight="1">
      <c r="A1406" s="3" t="s">
        <v>12</v>
      </c>
      <c r="B1406" s="3" t="s">
        <v>359</v>
      </c>
      <c r="C1406" s="3" t="s">
        <v>7275</v>
      </c>
      <c r="D1406" s="8" t="str">
        <f t="shared" si="1"/>
        <v>Abrir anúncio ↗</v>
      </c>
      <c r="E1406" s="9" t="s">
        <v>7276</v>
      </c>
      <c r="F1406" s="3" t="s">
        <v>29</v>
      </c>
      <c r="G1406" s="9" t="s">
        <v>4918</v>
      </c>
      <c r="H1406" s="9" t="s">
        <v>4919</v>
      </c>
      <c r="I1406" s="3"/>
      <c r="J1406" s="3"/>
      <c r="K1406" s="9"/>
    </row>
    <row r="1407" ht="15.75" customHeight="1">
      <c r="A1407" s="10" t="s">
        <v>12</v>
      </c>
      <c r="B1407" s="10" t="s">
        <v>359</v>
      </c>
      <c r="C1407" s="10" t="s">
        <v>7280</v>
      </c>
      <c r="D1407" s="11" t="str">
        <f t="shared" si="1"/>
        <v>Abrir anúncio ↗</v>
      </c>
      <c r="E1407" s="12" t="s">
        <v>7281</v>
      </c>
      <c r="F1407" s="10" t="s">
        <v>29</v>
      </c>
      <c r="G1407" s="12" t="s">
        <v>4918</v>
      </c>
      <c r="H1407" s="12" t="s">
        <v>4919</v>
      </c>
      <c r="I1407" s="10"/>
      <c r="J1407" s="10"/>
      <c r="K1407" s="12"/>
    </row>
    <row r="1408" ht="15.75" customHeight="1">
      <c r="A1408" s="3" t="s">
        <v>12</v>
      </c>
      <c r="B1408" s="3" t="s">
        <v>359</v>
      </c>
      <c r="C1408" s="3" t="s">
        <v>7286</v>
      </c>
      <c r="D1408" s="8" t="str">
        <f t="shared" si="1"/>
        <v>Abrir anúncio ↗</v>
      </c>
      <c r="E1408" s="9" t="s">
        <v>4778</v>
      </c>
      <c r="F1408" s="3" t="s">
        <v>29</v>
      </c>
      <c r="G1408" s="9" t="s">
        <v>4918</v>
      </c>
      <c r="H1408" s="9" t="s">
        <v>4919</v>
      </c>
      <c r="I1408" s="3"/>
      <c r="J1408" s="3"/>
      <c r="K1408" s="9"/>
    </row>
    <row r="1409" ht="15.75" customHeight="1">
      <c r="A1409" s="10" t="s">
        <v>12</v>
      </c>
      <c r="B1409" s="10" t="s">
        <v>359</v>
      </c>
      <c r="C1409" s="10" t="s">
        <v>7288</v>
      </c>
      <c r="D1409" s="11" t="str">
        <f t="shared" si="1"/>
        <v>Abrir anúncio ↗</v>
      </c>
      <c r="E1409" s="12" t="s">
        <v>7290</v>
      </c>
      <c r="F1409" s="10" t="s">
        <v>29</v>
      </c>
      <c r="G1409" s="12" t="s">
        <v>4918</v>
      </c>
      <c r="H1409" s="12" t="s">
        <v>4919</v>
      </c>
      <c r="I1409" s="10"/>
      <c r="J1409" s="10"/>
      <c r="K1409" s="12"/>
    </row>
    <row r="1410" ht="15.75" customHeight="1">
      <c r="A1410" s="3" t="s">
        <v>12</v>
      </c>
      <c r="B1410" s="3" t="s">
        <v>359</v>
      </c>
      <c r="C1410" s="3" t="s">
        <v>7292</v>
      </c>
      <c r="D1410" s="8" t="str">
        <f t="shared" si="1"/>
        <v>Abrir anúncio ↗</v>
      </c>
      <c r="E1410" s="9" t="s">
        <v>4819</v>
      </c>
      <c r="F1410" s="3" t="s">
        <v>29</v>
      </c>
      <c r="G1410" s="9" t="s">
        <v>4918</v>
      </c>
      <c r="H1410" s="9" t="s">
        <v>4919</v>
      </c>
      <c r="I1410" s="3"/>
      <c r="J1410" s="3"/>
      <c r="K1410" s="9"/>
    </row>
    <row r="1411" ht="15.75" customHeight="1">
      <c r="A1411" s="10" t="s">
        <v>12</v>
      </c>
      <c r="B1411" s="10" t="s">
        <v>359</v>
      </c>
      <c r="C1411" s="10" t="s">
        <v>7297</v>
      </c>
      <c r="D1411" s="11" t="str">
        <f t="shared" si="1"/>
        <v>Abrir anúncio ↗</v>
      </c>
      <c r="E1411" s="12" t="s">
        <v>7298</v>
      </c>
      <c r="F1411" s="10" t="s">
        <v>29</v>
      </c>
      <c r="G1411" s="12" t="s">
        <v>4918</v>
      </c>
      <c r="H1411" s="12" t="s">
        <v>4919</v>
      </c>
      <c r="I1411" s="10"/>
      <c r="J1411" s="10"/>
      <c r="K1411" s="12"/>
    </row>
    <row r="1412" ht="15.75" customHeight="1">
      <c r="A1412" s="3" t="s">
        <v>12</v>
      </c>
      <c r="B1412" s="3" t="s">
        <v>359</v>
      </c>
      <c r="C1412" s="3" t="s">
        <v>7300</v>
      </c>
      <c r="D1412" s="8" t="str">
        <f t="shared" si="1"/>
        <v>Abrir anúncio ↗</v>
      </c>
      <c r="E1412" s="9" t="s">
        <v>7301</v>
      </c>
      <c r="F1412" s="3" t="s">
        <v>29</v>
      </c>
      <c r="G1412" s="9" t="s">
        <v>4918</v>
      </c>
      <c r="H1412" s="9" t="s">
        <v>4919</v>
      </c>
      <c r="I1412" s="3"/>
      <c r="J1412" s="3"/>
      <c r="K1412" s="9"/>
    </row>
    <row r="1413" ht="15.75" customHeight="1">
      <c r="A1413" s="10" t="s">
        <v>12</v>
      </c>
      <c r="B1413" s="10" t="s">
        <v>359</v>
      </c>
      <c r="C1413" s="10" t="s">
        <v>7304</v>
      </c>
      <c r="D1413" s="11" t="str">
        <f t="shared" si="1"/>
        <v>Abrir anúncio ↗</v>
      </c>
      <c r="E1413" s="12" t="s">
        <v>7305</v>
      </c>
      <c r="F1413" s="10" t="s">
        <v>29</v>
      </c>
      <c r="G1413" s="12" t="s">
        <v>4918</v>
      </c>
      <c r="H1413" s="12" t="s">
        <v>4919</v>
      </c>
      <c r="I1413" s="10"/>
      <c r="J1413" s="10"/>
      <c r="K1413" s="12"/>
    </row>
    <row r="1414" ht="15.75" customHeight="1">
      <c r="A1414" s="3" t="s">
        <v>12</v>
      </c>
      <c r="B1414" s="3" t="s">
        <v>359</v>
      </c>
      <c r="C1414" s="3" t="s">
        <v>7309</v>
      </c>
      <c r="D1414" s="8" t="str">
        <f t="shared" si="1"/>
        <v>Abrir anúncio ↗</v>
      </c>
      <c r="E1414" s="9" t="s">
        <v>7310</v>
      </c>
      <c r="F1414" s="3" t="s">
        <v>29</v>
      </c>
      <c r="G1414" s="9" t="s">
        <v>4918</v>
      </c>
      <c r="H1414" s="9" t="s">
        <v>4919</v>
      </c>
      <c r="I1414" s="3"/>
      <c r="J1414" s="3"/>
      <c r="K1414" s="9"/>
    </row>
    <row r="1415" ht="15.75" customHeight="1">
      <c r="A1415" s="10" t="s">
        <v>12</v>
      </c>
      <c r="B1415" s="10" t="s">
        <v>359</v>
      </c>
      <c r="C1415" s="10" t="s">
        <v>7313</v>
      </c>
      <c r="D1415" s="11" t="str">
        <f t="shared" si="1"/>
        <v>Abrir anúncio ↗</v>
      </c>
      <c r="E1415" s="12" t="s">
        <v>7315</v>
      </c>
      <c r="F1415" s="10" t="s">
        <v>29</v>
      </c>
      <c r="G1415" s="12" t="s">
        <v>4918</v>
      </c>
      <c r="H1415" s="12" t="s">
        <v>4919</v>
      </c>
      <c r="I1415" s="10"/>
      <c r="J1415" s="10"/>
      <c r="K1415" s="12"/>
    </row>
    <row r="1416" ht="15.75" customHeight="1">
      <c r="A1416" s="3" t="s">
        <v>12</v>
      </c>
      <c r="B1416" s="3" t="s">
        <v>359</v>
      </c>
      <c r="C1416" s="3" t="s">
        <v>7317</v>
      </c>
      <c r="D1416" s="8" t="str">
        <f t="shared" si="1"/>
        <v>Abrir anúncio ↗</v>
      </c>
      <c r="E1416" s="9" t="s">
        <v>7319</v>
      </c>
      <c r="F1416" s="3" t="s">
        <v>29</v>
      </c>
      <c r="G1416" s="9" t="s">
        <v>4918</v>
      </c>
      <c r="H1416" s="9" t="s">
        <v>4919</v>
      </c>
      <c r="I1416" s="3"/>
      <c r="J1416" s="3"/>
      <c r="K1416" s="9"/>
    </row>
    <row r="1417" ht="15.75" customHeight="1">
      <c r="A1417" s="10" t="s">
        <v>12</v>
      </c>
      <c r="B1417" s="10" t="s">
        <v>359</v>
      </c>
      <c r="C1417" s="10" t="s">
        <v>7324</v>
      </c>
      <c r="D1417" s="11" t="str">
        <f t="shared" si="1"/>
        <v>Abrir anúncio ↗</v>
      </c>
      <c r="E1417" s="12" t="s">
        <v>7326</v>
      </c>
      <c r="F1417" s="10" t="s">
        <v>29</v>
      </c>
      <c r="G1417" s="12" t="s">
        <v>4918</v>
      </c>
      <c r="H1417" s="12" t="s">
        <v>4919</v>
      </c>
      <c r="I1417" s="10"/>
      <c r="J1417" s="10"/>
      <c r="K1417" s="12"/>
    </row>
    <row r="1418" ht="15.75" customHeight="1">
      <c r="A1418" s="3" t="s">
        <v>12</v>
      </c>
      <c r="B1418" s="3" t="s">
        <v>359</v>
      </c>
      <c r="C1418" s="3" t="s">
        <v>7330</v>
      </c>
      <c r="D1418" s="8" t="str">
        <f t="shared" si="1"/>
        <v>Abrir anúncio ↗</v>
      </c>
      <c r="E1418" s="9" t="s">
        <v>4700</v>
      </c>
      <c r="F1418" s="3" t="s">
        <v>29</v>
      </c>
      <c r="G1418" s="9" t="s">
        <v>4918</v>
      </c>
      <c r="H1418" s="9" t="s">
        <v>4919</v>
      </c>
      <c r="I1418" s="3"/>
      <c r="J1418" s="3"/>
      <c r="K1418" s="9"/>
    </row>
    <row r="1419" ht="15.75" customHeight="1">
      <c r="A1419" s="10" t="s">
        <v>12</v>
      </c>
      <c r="B1419" s="10" t="s">
        <v>359</v>
      </c>
      <c r="C1419" s="10" t="s">
        <v>7333</v>
      </c>
      <c r="D1419" s="11" t="str">
        <f t="shared" si="1"/>
        <v>Abrir anúncio ↗</v>
      </c>
      <c r="E1419" s="12" t="s">
        <v>7335</v>
      </c>
      <c r="F1419" s="10" t="s">
        <v>29</v>
      </c>
      <c r="G1419" s="12" t="s">
        <v>4918</v>
      </c>
      <c r="H1419" s="12" t="s">
        <v>4919</v>
      </c>
      <c r="I1419" s="10"/>
      <c r="J1419" s="10"/>
      <c r="K1419" s="12"/>
    </row>
    <row r="1420" ht="15.75" customHeight="1">
      <c r="A1420" s="3" t="s">
        <v>12</v>
      </c>
      <c r="B1420" s="3" t="s">
        <v>359</v>
      </c>
      <c r="C1420" s="3" t="s">
        <v>7338</v>
      </c>
      <c r="D1420" s="8" t="str">
        <f t="shared" si="1"/>
        <v>Abrir anúncio ↗</v>
      </c>
      <c r="E1420" s="9" t="s">
        <v>4711</v>
      </c>
      <c r="F1420" s="3" t="s">
        <v>29</v>
      </c>
      <c r="G1420" s="9" t="s">
        <v>4918</v>
      </c>
      <c r="H1420" s="9" t="s">
        <v>4919</v>
      </c>
      <c r="I1420" s="3"/>
      <c r="J1420" s="3"/>
      <c r="K1420" s="9"/>
    </row>
    <row r="1421" ht="15.75" customHeight="1">
      <c r="A1421" s="10" t="s">
        <v>12</v>
      </c>
      <c r="B1421" s="10" t="s">
        <v>359</v>
      </c>
      <c r="C1421" s="10" t="s">
        <v>7343</v>
      </c>
      <c r="D1421" s="11" t="str">
        <f t="shared" si="1"/>
        <v>Abrir anúncio ↗</v>
      </c>
      <c r="E1421" s="12" t="s">
        <v>7345</v>
      </c>
      <c r="F1421" s="10" t="s">
        <v>29</v>
      </c>
      <c r="G1421" s="12" t="s">
        <v>4918</v>
      </c>
      <c r="H1421" s="12" t="s">
        <v>4919</v>
      </c>
      <c r="I1421" s="10"/>
      <c r="J1421" s="10"/>
      <c r="K1421" s="12"/>
    </row>
    <row r="1422" ht="15.75" customHeight="1">
      <c r="A1422" s="3" t="s">
        <v>12</v>
      </c>
      <c r="B1422" s="3" t="s">
        <v>359</v>
      </c>
      <c r="C1422" s="3" t="s">
        <v>6716</v>
      </c>
      <c r="D1422" s="8" t="str">
        <f t="shared" si="1"/>
        <v>Abrir anúncio ↗</v>
      </c>
      <c r="E1422" s="9" t="s">
        <v>6709</v>
      </c>
      <c r="F1422" s="3" t="s">
        <v>29</v>
      </c>
      <c r="G1422" s="9" t="s">
        <v>4918</v>
      </c>
      <c r="H1422" s="9" t="s">
        <v>4919</v>
      </c>
      <c r="I1422" s="3"/>
      <c r="J1422" s="3"/>
      <c r="K1422" s="9"/>
    </row>
    <row r="1423" ht="15.75" customHeight="1">
      <c r="A1423" s="10" t="s">
        <v>12</v>
      </c>
      <c r="B1423" s="10" t="s">
        <v>359</v>
      </c>
      <c r="C1423" s="10" t="s">
        <v>7351</v>
      </c>
      <c r="D1423" s="11" t="str">
        <f t="shared" si="1"/>
        <v>Abrir anúncio ↗</v>
      </c>
      <c r="E1423" s="12" t="s">
        <v>7353</v>
      </c>
      <c r="F1423" s="10" t="s">
        <v>29</v>
      </c>
      <c r="G1423" s="12" t="s">
        <v>4918</v>
      </c>
      <c r="H1423" s="12" t="s">
        <v>4919</v>
      </c>
      <c r="I1423" s="10"/>
      <c r="J1423" s="10"/>
      <c r="K1423" s="12"/>
    </row>
    <row r="1424" ht="15.75" customHeight="1">
      <c r="A1424" s="3" t="s">
        <v>12</v>
      </c>
      <c r="B1424" s="3" t="s">
        <v>359</v>
      </c>
      <c r="C1424" s="3" t="s">
        <v>7355</v>
      </c>
      <c r="D1424" s="8" t="str">
        <f t="shared" si="1"/>
        <v>Abrir anúncio ↗</v>
      </c>
      <c r="E1424" s="9" t="s">
        <v>7357</v>
      </c>
      <c r="F1424" s="3" t="s">
        <v>29</v>
      </c>
      <c r="G1424" s="9" t="s">
        <v>4918</v>
      </c>
      <c r="H1424" s="9" t="s">
        <v>4919</v>
      </c>
      <c r="I1424" s="3"/>
      <c r="J1424" s="3"/>
      <c r="K1424" s="9"/>
    </row>
    <row r="1425" ht="15.75" customHeight="1">
      <c r="A1425" s="10" t="s">
        <v>12</v>
      </c>
      <c r="B1425" s="10" t="s">
        <v>359</v>
      </c>
      <c r="C1425" s="10" t="s">
        <v>7360</v>
      </c>
      <c r="D1425" s="11" t="str">
        <f t="shared" si="1"/>
        <v>Abrir anúncio ↗</v>
      </c>
      <c r="E1425" s="12" t="s">
        <v>7362</v>
      </c>
      <c r="F1425" s="10" t="s">
        <v>29</v>
      </c>
      <c r="G1425" s="12" t="s">
        <v>4918</v>
      </c>
      <c r="H1425" s="12" t="s">
        <v>4919</v>
      </c>
      <c r="I1425" s="10"/>
      <c r="J1425" s="10"/>
      <c r="K1425" s="12"/>
    </row>
    <row r="1426" ht="15.75" customHeight="1">
      <c r="A1426" s="3" t="s">
        <v>12</v>
      </c>
      <c r="B1426" s="3" t="s">
        <v>359</v>
      </c>
      <c r="C1426" s="3" t="s">
        <v>7363</v>
      </c>
      <c r="D1426" s="8" t="str">
        <f t="shared" si="1"/>
        <v>Abrir anúncio ↗</v>
      </c>
      <c r="E1426" s="9" t="s">
        <v>4705</v>
      </c>
      <c r="F1426" s="3" t="s">
        <v>29</v>
      </c>
      <c r="G1426" s="9" t="s">
        <v>4918</v>
      </c>
      <c r="H1426" s="9" t="s">
        <v>4919</v>
      </c>
      <c r="I1426" s="3"/>
      <c r="J1426" s="3"/>
      <c r="K1426" s="9"/>
    </row>
    <row r="1427" ht="15.75" customHeight="1">
      <c r="A1427" s="10" t="s">
        <v>12</v>
      </c>
      <c r="B1427" s="10" t="s">
        <v>359</v>
      </c>
      <c r="C1427" s="10" t="s">
        <v>7369</v>
      </c>
      <c r="D1427" s="11" t="str">
        <f t="shared" si="1"/>
        <v>Abrir anúncio ↗</v>
      </c>
      <c r="E1427" s="12" t="s">
        <v>7370</v>
      </c>
      <c r="F1427" s="10" t="s">
        <v>29</v>
      </c>
      <c r="G1427" s="12" t="s">
        <v>4918</v>
      </c>
      <c r="H1427" s="12" t="s">
        <v>4919</v>
      </c>
      <c r="I1427" s="10"/>
      <c r="J1427" s="10"/>
      <c r="K1427" s="12"/>
    </row>
    <row r="1428" ht="15.75" customHeight="1">
      <c r="A1428" s="3" t="s">
        <v>12</v>
      </c>
      <c r="B1428" s="3" t="s">
        <v>359</v>
      </c>
      <c r="C1428" s="3" t="s">
        <v>7374</v>
      </c>
      <c r="D1428" s="8" t="str">
        <f t="shared" si="1"/>
        <v>Abrir anúncio ↗</v>
      </c>
      <c r="E1428" s="9" t="s">
        <v>7375</v>
      </c>
      <c r="F1428" s="3" t="s">
        <v>29</v>
      </c>
      <c r="G1428" s="9" t="s">
        <v>4918</v>
      </c>
      <c r="H1428" s="9" t="s">
        <v>4919</v>
      </c>
      <c r="I1428" s="3"/>
      <c r="J1428" s="3"/>
      <c r="K1428" s="9"/>
    </row>
    <row r="1429" ht="15.75" customHeight="1">
      <c r="A1429" s="10" t="s">
        <v>12</v>
      </c>
      <c r="B1429" s="10" t="s">
        <v>359</v>
      </c>
      <c r="C1429" s="10" t="s">
        <v>7378</v>
      </c>
      <c r="D1429" s="11" t="str">
        <f t="shared" si="1"/>
        <v>Abrir anúncio ↗</v>
      </c>
      <c r="E1429" s="12" t="s">
        <v>7220</v>
      </c>
      <c r="F1429" s="10" t="s">
        <v>29</v>
      </c>
      <c r="G1429" s="12" t="s">
        <v>4918</v>
      </c>
      <c r="H1429" s="12" t="s">
        <v>4919</v>
      </c>
      <c r="I1429" s="10"/>
      <c r="J1429" s="10"/>
      <c r="K1429" s="12"/>
    </row>
    <row r="1430" ht="15.75" customHeight="1">
      <c r="A1430" s="3" t="s">
        <v>12</v>
      </c>
      <c r="B1430" s="3" t="s">
        <v>359</v>
      </c>
      <c r="C1430" s="3" t="s">
        <v>7382</v>
      </c>
      <c r="D1430" s="8" t="str">
        <f t="shared" si="1"/>
        <v>Abrir anúncio ↗</v>
      </c>
      <c r="E1430" s="9" t="s">
        <v>7384</v>
      </c>
      <c r="F1430" s="3" t="s">
        <v>29</v>
      </c>
      <c r="G1430" s="9" t="s">
        <v>4918</v>
      </c>
      <c r="H1430" s="9" t="s">
        <v>4919</v>
      </c>
      <c r="I1430" s="3"/>
      <c r="J1430" s="3"/>
      <c r="K1430" s="9"/>
    </row>
    <row r="1431" ht="15.75" customHeight="1">
      <c r="A1431" s="10" t="s">
        <v>12</v>
      </c>
      <c r="B1431" s="10" t="s">
        <v>359</v>
      </c>
      <c r="C1431" s="10" t="s">
        <v>7386</v>
      </c>
      <c r="D1431" s="11" t="str">
        <f t="shared" si="1"/>
        <v>Abrir anúncio ↗</v>
      </c>
      <c r="E1431" s="12" t="s">
        <v>7387</v>
      </c>
      <c r="F1431" s="10" t="s">
        <v>29</v>
      </c>
      <c r="G1431" s="12" t="s">
        <v>4918</v>
      </c>
      <c r="H1431" s="12" t="s">
        <v>4919</v>
      </c>
      <c r="I1431" s="10"/>
      <c r="J1431" s="10"/>
      <c r="K1431" s="12"/>
    </row>
    <row r="1432" ht="15.75" customHeight="1">
      <c r="A1432" s="3" t="s">
        <v>12</v>
      </c>
      <c r="B1432" s="3" t="s">
        <v>359</v>
      </c>
      <c r="C1432" s="3" t="s">
        <v>7390</v>
      </c>
      <c r="D1432" s="8" t="str">
        <f t="shared" si="1"/>
        <v>Abrir anúncio ↗</v>
      </c>
      <c r="E1432" s="9" t="s">
        <v>7391</v>
      </c>
      <c r="F1432" s="3" t="s">
        <v>29</v>
      </c>
      <c r="G1432" s="9" t="s">
        <v>4918</v>
      </c>
      <c r="H1432" s="9" t="s">
        <v>4919</v>
      </c>
      <c r="I1432" s="3"/>
      <c r="J1432" s="3"/>
      <c r="K1432" s="9"/>
    </row>
    <row r="1433" ht="15.75" customHeight="1">
      <c r="A1433" s="10" t="s">
        <v>12</v>
      </c>
      <c r="B1433" s="10" t="s">
        <v>359</v>
      </c>
      <c r="C1433" s="10" t="s">
        <v>7110</v>
      </c>
      <c r="D1433" s="11" t="str">
        <f t="shared" si="1"/>
        <v>Abrir anúncio ↗</v>
      </c>
      <c r="E1433" s="12" t="s">
        <v>7105</v>
      </c>
      <c r="F1433" s="10" t="s">
        <v>29</v>
      </c>
      <c r="G1433" s="12" t="s">
        <v>4918</v>
      </c>
      <c r="H1433" s="12" t="s">
        <v>4919</v>
      </c>
      <c r="I1433" s="10"/>
      <c r="J1433" s="10"/>
      <c r="K1433" s="12"/>
    </row>
    <row r="1434" ht="15.75" customHeight="1">
      <c r="A1434" s="3" t="s">
        <v>12</v>
      </c>
      <c r="B1434" s="3" t="s">
        <v>359</v>
      </c>
      <c r="C1434" s="3" t="s">
        <v>7399</v>
      </c>
      <c r="D1434" s="8" t="str">
        <f t="shared" si="1"/>
        <v>Abrir anúncio ↗</v>
      </c>
      <c r="E1434" s="9" t="s">
        <v>4238</v>
      </c>
      <c r="F1434" s="3" t="s">
        <v>29</v>
      </c>
      <c r="G1434" s="9" t="s">
        <v>4918</v>
      </c>
      <c r="H1434" s="9" t="s">
        <v>4919</v>
      </c>
      <c r="I1434" s="3"/>
      <c r="J1434" s="3"/>
      <c r="K1434" s="9"/>
    </row>
    <row r="1435" ht="15.75" customHeight="1">
      <c r="A1435" s="10" t="s">
        <v>12</v>
      </c>
      <c r="B1435" s="10" t="s">
        <v>359</v>
      </c>
      <c r="C1435" s="10" t="s">
        <v>7403</v>
      </c>
      <c r="D1435" s="11" t="str">
        <f t="shared" si="1"/>
        <v>Abrir anúncio ↗</v>
      </c>
      <c r="E1435" s="12" t="s">
        <v>7405</v>
      </c>
      <c r="F1435" s="10" t="s">
        <v>29</v>
      </c>
      <c r="G1435" s="12" t="s">
        <v>4918</v>
      </c>
      <c r="H1435" s="12" t="s">
        <v>4919</v>
      </c>
      <c r="I1435" s="10"/>
      <c r="J1435" s="10"/>
      <c r="K1435" s="12"/>
    </row>
    <row r="1436" ht="15.75" customHeight="1">
      <c r="A1436" s="3" t="s">
        <v>12</v>
      </c>
      <c r="B1436" s="3" t="s">
        <v>359</v>
      </c>
      <c r="C1436" s="3" t="s">
        <v>6730</v>
      </c>
      <c r="D1436" s="8" t="str">
        <f t="shared" si="1"/>
        <v>Abrir anúncio ↗</v>
      </c>
      <c r="E1436" s="9" t="s">
        <v>4069</v>
      </c>
      <c r="F1436" s="3" t="s">
        <v>29</v>
      </c>
      <c r="G1436" s="9" t="s">
        <v>4918</v>
      </c>
      <c r="H1436" s="9" t="s">
        <v>4919</v>
      </c>
      <c r="I1436" s="3"/>
      <c r="J1436" s="3"/>
      <c r="K1436" s="9"/>
    </row>
    <row r="1437" ht="15.75" customHeight="1">
      <c r="A1437" s="10" t="s">
        <v>12</v>
      </c>
      <c r="B1437" s="10" t="s">
        <v>359</v>
      </c>
      <c r="C1437" s="10" t="s">
        <v>7409</v>
      </c>
      <c r="D1437" s="11" t="str">
        <f t="shared" si="1"/>
        <v>Abrir anúncio ↗</v>
      </c>
      <c r="E1437" s="12" t="s">
        <v>7411</v>
      </c>
      <c r="F1437" s="10" t="s">
        <v>29</v>
      </c>
      <c r="G1437" s="12" t="s">
        <v>4918</v>
      </c>
      <c r="H1437" s="12" t="s">
        <v>4919</v>
      </c>
      <c r="I1437" s="10"/>
      <c r="J1437" s="10"/>
      <c r="K1437" s="12"/>
    </row>
    <row r="1438" ht="15.75" customHeight="1">
      <c r="A1438" s="3" t="s">
        <v>12</v>
      </c>
      <c r="B1438" s="3" t="s">
        <v>359</v>
      </c>
      <c r="C1438" s="3" t="s">
        <v>7413</v>
      </c>
      <c r="D1438" s="8" t="str">
        <f t="shared" si="1"/>
        <v>Abrir anúncio ↗</v>
      </c>
      <c r="E1438" s="9" t="s">
        <v>7414</v>
      </c>
      <c r="F1438" s="3" t="s">
        <v>86</v>
      </c>
      <c r="G1438" s="9" t="s">
        <v>4918</v>
      </c>
      <c r="H1438" s="9" t="s">
        <v>4919</v>
      </c>
      <c r="I1438" s="3"/>
      <c r="J1438" s="3"/>
      <c r="K1438" s="9"/>
    </row>
    <row r="1439" ht="15.75" customHeight="1">
      <c r="A1439" s="10" t="s">
        <v>12</v>
      </c>
      <c r="B1439" s="10" t="s">
        <v>359</v>
      </c>
      <c r="C1439" s="10" t="s">
        <v>7417</v>
      </c>
      <c r="D1439" s="11" t="str">
        <f t="shared" si="1"/>
        <v>Abrir anúncio ↗</v>
      </c>
      <c r="E1439" s="12" t="s">
        <v>4061</v>
      </c>
      <c r="F1439" s="10" t="s">
        <v>29</v>
      </c>
      <c r="G1439" s="12" t="s">
        <v>4918</v>
      </c>
      <c r="H1439" s="12" t="s">
        <v>4919</v>
      </c>
      <c r="I1439" s="10"/>
      <c r="J1439" s="10"/>
      <c r="K1439" s="12"/>
    </row>
    <row r="1440" ht="15.75" customHeight="1">
      <c r="A1440" s="3" t="s">
        <v>12</v>
      </c>
      <c r="B1440" s="3" t="s">
        <v>359</v>
      </c>
      <c r="C1440" s="3" t="s">
        <v>7420</v>
      </c>
      <c r="D1440" s="8" t="str">
        <f t="shared" si="1"/>
        <v>Abrir anúncio ↗</v>
      </c>
      <c r="E1440" s="9" t="s">
        <v>7422</v>
      </c>
      <c r="F1440" s="3" t="s">
        <v>29</v>
      </c>
      <c r="G1440" s="9" t="s">
        <v>4918</v>
      </c>
      <c r="H1440" s="9" t="s">
        <v>4919</v>
      </c>
      <c r="I1440" s="3"/>
      <c r="J1440" s="3"/>
      <c r="K1440" s="9"/>
    </row>
    <row r="1441" ht="15.75" customHeight="1">
      <c r="A1441" s="10" t="s">
        <v>12</v>
      </c>
      <c r="B1441" s="10" t="s">
        <v>359</v>
      </c>
      <c r="C1441" s="10" t="s">
        <v>7425</v>
      </c>
      <c r="D1441" s="11" t="str">
        <f t="shared" si="1"/>
        <v>Abrir anúncio ↗</v>
      </c>
      <c r="E1441" s="12" t="s">
        <v>7427</v>
      </c>
      <c r="F1441" s="10" t="s">
        <v>29</v>
      </c>
      <c r="G1441" s="12" t="s">
        <v>4918</v>
      </c>
      <c r="H1441" s="12" t="s">
        <v>4919</v>
      </c>
      <c r="I1441" s="10"/>
      <c r="J1441" s="10"/>
      <c r="K1441" s="12"/>
    </row>
    <row r="1442" ht="15.75" customHeight="1">
      <c r="A1442" s="3" t="s">
        <v>12</v>
      </c>
      <c r="B1442" s="3" t="s">
        <v>359</v>
      </c>
      <c r="C1442" s="3" t="s">
        <v>7432</v>
      </c>
      <c r="D1442" s="8" t="str">
        <f t="shared" si="1"/>
        <v>Abrir anúncio ↗</v>
      </c>
      <c r="E1442" s="9" t="s">
        <v>7434</v>
      </c>
      <c r="F1442" s="3" t="s">
        <v>29</v>
      </c>
      <c r="G1442" s="9" t="s">
        <v>4918</v>
      </c>
      <c r="H1442" s="9" t="s">
        <v>4919</v>
      </c>
      <c r="I1442" s="3"/>
      <c r="J1442" s="3"/>
      <c r="K1442" s="9"/>
    </row>
    <row r="1443" ht="15.75" customHeight="1">
      <c r="A1443" s="10" t="s">
        <v>12</v>
      </c>
      <c r="B1443" s="10" t="s">
        <v>359</v>
      </c>
      <c r="C1443" s="10" t="s">
        <v>7437</v>
      </c>
      <c r="D1443" s="11" t="str">
        <f t="shared" si="1"/>
        <v>Abrir anúncio ↗</v>
      </c>
      <c r="E1443" s="12" t="s">
        <v>7438</v>
      </c>
      <c r="F1443" s="10" t="s">
        <v>29</v>
      </c>
      <c r="G1443" s="12" t="s">
        <v>4918</v>
      </c>
      <c r="H1443" s="12" t="s">
        <v>4919</v>
      </c>
      <c r="I1443" s="10"/>
      <c r="J1443" s="10"/>
      <c r="K1443" s="12"/>
    </row>
    <row r="1444" ht="15.75" customHeight="1">
      <c r="A1444" s="3" t="s">
        <v>12</v>
      </c>
      <c r="B1444" s="3" t="s">
        <v>359</v>
      </c>
      <c r="C1444" s="3" t="s">
        <v>7441</v>
      </c>
      <c r="D1444" s="8" t="str">
        <f t="shared" si="1"/>
        <v>Abrir anúncio ↗</v>
      </c>
      <c r="E1444" s="9" t="s">
        <v>7442</v>
      </c>
      <c r="F1444" s="3" t="s">
        <v>29</v>
      </c>
      <c r="G1444" s="9" t="s">
        <v>4918</v>
      </c>
      <c r="H1444" s="9" t="s">
        <v>4919</v>
      </c>
      <c r="I1444" s="3"/>
      <c r="J1444" s="3"/>
      <c r="K1444" s="9"/>
    </row>
    <row r="1445" ht="15.75" customHeight="1">
      <c r="A1445" s="10" t="s">
        <v>12</v>
      </c>
      <c r="B1445" s="10" t="s">
        <v>359</v>
      </c>
      <c r="C1445" s="10" t="s">
        <v>7445</v>
      </c>
      <c r="D1445" s="11" t="str">
        <f t="shared" si="1"/>
        <v>Abrir anúncio ↗</v>
      </c>
      <c r="E1445" s="12" t="s">
        <v>7446</v>
      </c>
      <c r="F1445" s="10" t="s">
        <v>29</v>
      </c>
      <c r="G1445" s="12" t="s">
        <v>4918</v>
      </c>
      <c r="H1445" s="12" t="s">
        <v>4919</v>
      </c>
      <c r="I1445" s="10"/>
      <c r="J1445" s="10"/>
      <c r="K1445" s="12"/>
    </row>
    <row r="1446" ht="15.75" customHeight="1">
      <c r="A1446" s="3" t="s">
        <v>12</v>
      </c>
      <c r="B1446" s="3" t="s">
        <v>359</v>
      </c>
      <c r="C1446" s="3" t="s">
        <v>7449</v>
      </c>
      <c r="D1446" s="8" t="str">
        <f t="shared" si="1"/>
        <v>Abrir anúncio ↗</v>
      </c>
      <c r="E1446" s="9" t="s">
        <v>7450</v>
      </c>
      <c r="F1446" s="3" t="s">
        <v>29</v>
      </c>
      <c r="G1446" s="9" t="s">
        <v>4918</v>
      </c>
      <c r="H1446" s="9" t="s">
        <v>4919</v>
      </c>
      <c r="I1446" s="3"/>
      <c r="J1446" s="3"/>
      <c r="K1446" s="9"/>
    </row>
    <row r="1447" ht="15.75" customHeight="1">
      <c r="A1447" s="10" t="s">
        <v>12</v>
      </c>
      <c r="B1447" s="10" t="s">
        <v>359</v>
      </c>
      <c r="C1447" s="10" t="s">
        <v>7452</v>
      </c>
      <c r="D1447" s="11" t="str">
        <f t="shared" si="1"/>
        <v>Abrir anúncio ↗</v>
      </c>
      <c r="E1447" s="12" t="s">
        <v>7454</v>
      </c>
      <c r="F1447" s="10" t="s">
        <v>29</v>
      </c>
      <c r="G1447" s="12" t="s">
        <v>4918</v>
      </c>
      <c r="H1447" s="12" t="s">
        <v>4919</v>
      </c>
      <c r="I1447" s="10"/>
      <c r="J1447" s="10"/>
      <c r="K1447" s="12"/>
    </row>
    <row r="1448" ht="15.75" customHeight="1">
      <c r="A1448" s="3" t="s">
        <v>12</v>
      </c>
      <c r="B1448" s="3" t="s">
        <v>359</v>
      </c>
      <c r="C1448" s="3" t="s">
        <v>7456</v>
      </c>
      <c r="D1448" s="8" t="str">
        <f t="shared" si="1"/>
        <v>Abrir anúncio ↗</v>
      </c>
      <c r="E1448" s="9" t="s">
        <v>7457</v>
      </c>
      <c r="F1448" s="3" t="s">
        <v>29</v>
      </c>
      <c r="G1448" s="9" t="s">
        <v>4918</v>
      </c>
      <c r="H1448" s="9" t="s">
        <v>4919</v>
      </c>
      <c r="I1448" s="3"/>
      <c r="J1448" s="3"/>
      <c r="K1448" s="9"/>
    </row>
    <row r="1449" ht="15.75" customHeight="1">
      <c r="A1449" s="10" t="s">
        <v>12</v>
      </c>
      <c r="B1449" s="10" t="s">
        <v>359</v>
      </c>
      <c r="C1449" s="10" t="s">
        <v>7460</v>
      </c>
      <c r="D1449" s="11" t="str">
        <f t="shared" si="1"/>
        <v>Abrir anúncio ↗</v>
      </c>
      <c r="E1449" s="12" t="s">
        <v>7229</v>
      </c>
      <c r="F1449" s="10" t="s">
        <v>29</v>
      </c>
      <c r="G1449" s="12" t="s">
        <v>4918</v>
      </c>
      <c r="H1449" s="12" t="s">
        <v>4919</v>
      </c>
      <c r="I1449" s="10"/>
      <c r="J1449" s="10"/>
      <c r="K1449" s="12"/>
    </row>
    <row r="1450" ht="15.75" customHeight="1">
      <c r="A1450" s="3" t="s">
        <v>12</v>
      </c>
      <c r="B1450" s="3" t="s">
        <v>359</v>
      </c>
      <c r="C1450" s="3" t="s">
        <v>7463</v>
      </c>
      <c r="D1450" s="8" t="str">
        <f t="shared" si="1"/>
        <v>Abrir anúncio ↗</v>
      </c>
      <c r="E1450" s="9" t="s">
        <v>7465</v>
      </c>
      <c r="F1450" s="3" t="s">
        <v>29</v>
      </c>
      <c r="G1450" s="9" t="s">
        <v>4918</v>
      </c>
      <c r="H1450" s="9" t="s">
        <v>4919</v>
      </c>
      <c r="I1450" s="3"/>
      <c r="J1450" s="3"/>
      <c r="K1450" s="9"/>
    </row>
    <row r="1451" ht="15.75" customHeight="1">
      <c r="A1451" s="10" t="s">
        <v>12</v>
      </c>
      <c r="B1451" s="10" t="s">
        <v>359</v>
      </c>
      <c r="C1451" s="10" t="s">
        <v>7468</v>
      </c>
      <c r="D1451" s="11" t="str">
        <f t="shared" si="1"/>
        <v>Abrir anúncio ↗</v>
      </c>
      <c r="E1451" s="12" t="s">
        <v>7469</v>
      </c>
      <c r="F1451" s="10" t="s">
        <v>29</v>
      </c>
      <c r="G1451" s="12" t="s">
        <v>4918</v>
      </c>
      <c r="H1451" s="12" t="s">
        <v>4919</v>
      </c>
      <c r="I1451" s="10"/>
      <c r="J1451" s="10"/>
      <c r="K1451" s="12"/>
    </row>
    <row r="1452" ht="15.75" customHeight="1">
      <c r="A1452" s="3" t="s">
        <v>12</v>
      </c>
      <c r="B1452" s="3" t="s">
        <v>359</v>
      </c>
      <c r="C1452" s="3" t="s">
        <v>7470</v>
      </c>
      <c r="D1452" s="8" t="str">
        <f t="shared" si="1"/>
        <v>Abrir anúncio ↗</v>
      </c>
      <c r="E1452" s="9" t="s">
        <v>7472</v>
      </c>
      <c r="F1452" s="3" t="s">
        <v>29</v>
      </c>
      <c r="G1452" s="9" t="s">
        <v>4918</v>
      </c>
      <c r="H1452" s="9" t="s">
        <v>4919</v>
      </c>
      <c r="I1452" s="3"/>
      <c r="J1452" s="3"/>
      <c r="K1452" s="9"/>
    </row>
    <row r="1453" ht="15.75" customHeight="1">
      <c r="A1453" s="10" t="s">
        <v>12</v>
      </c>
      <c r="B1453" s="10" t="s">
        <v>359</v>
      </c>
      <c r="C1453" s="10" t="s">
        <v>7475</v>
      </c>
      <c r="D1453" s="11" t="str">
        <f t="shared" si="1"/>
        <v>Abrir anúncio ↗</v>
      </c>
      <c r="E1453" s="12" t="s">
        <v>7476</v>
      </c>
      <c r="F1453" s="10" t="s">
        <v>29</v>
      </c>
      <c r="G1453" s="12" t="s">
        <v>4918</v>
      </c>
      <c r="H1453" s="12" t="s">
        <v>4919</v>
      </c>
      <c r="I1453" s="10"/>
      <c r="J1453" s="10"/>
      <c r="K1453" s="12"/>
    </row>
    <row r="1454" ht="15.75" customHeight="1">
      <c r="A1454" s="3" t="s">
        <v>12</v>
      </c>
      <c r="B1454" s="3" t="s">
        <v>359</v>
      </c>
      <c r="C1454" s="3" t="s">
        <v>7479</v>
      </c>
      <c r="D1454" s="8" t="str">
        <f t="shared" si="1"/>
        <v>Abrir anúncio ↗</v>
      </c>
      <c r="E1454" s="9" t="s">
        <v>7480</v>
      </c>
      <c r="F1454" s="3" t="s">
        <v>29</v>
      </c>
      <c r="G1454" s="9" t="s">
        <v>4918</v>
      </c>
      <c r="H1454" s="9" t="s">
        <v>4919</v>
      </c>
      <c r="I1454" s="3"/>
      <c r="J1454" s="3"/>
      <c r="K1454" s="9"/>
    </row>
    <row r="1455" ht="15.75" customHeight="1">
      <c r="A1455" s="10" t="s">
        <v>12</v>
      </c>
      <c r="B1455" s="10" t="s">
        <v>359</v>
      </c>
      <c r="C1455" s="10" t="s">
        <v>7482</v>
      </c>
      <c r="D1455" s="11" t="str">
        <f t="shared" si="1"/>
        <v>Abrir anúncio ↗</v>
      </c>
      <c r="E1455" s="12" t="s">
        <v>7483</v>
      </c>
      <c r="F1455" s="10" t="s">
        <v>29</v>
      </c>
      <c r="G1455" s="12" t="s">
        <v>4918</v>
      </c>
      <c r="H1455" s="12" t="s">
        <v>4919</v>
      </c>
      <c r="I1455" s="10"/>
      <c r="J1455" s="10"/>
      <c r="K1455" s="12"/>
    </row>
    <row r="1456" ht="15.75" customHeight="1">
      <c r="A1456" s="3" t="s">
        <v>12</v>
      </c>
      <c r="B1456" s="3" t="s">
        <v>359</v>
      </c>
      <c r="C1456" s="3" t="s">
        <v>7485</v>
      </c>
      <c r="D1456" s="8" t="str">
        <f t="shared" si="1"/>
        <v>Abrir anúncio ↗</v>
      </c>
      <c r="E1456" s="9" t="s">
        <v>7486</v>
      </c>
      <c r="F1456" s="3" t="s">
        <v>29</v>
      </c>
      <c r="G1456" s="9" t="s">
        <v>4918</v>
      </c>
      <c r="H1456" s="9" t="s">
        <v>4919</v>
      </c>
      <c r="I1456" s="3"/>
      <c r="J1456" s="3"/>
      <c r="K1456" s="9"/>
    </row>
    <row r="1457" ht="15.75" customHeight="1">
      <c r="A1457" s="10" t="s">
        <v>12</v>
      </c>
      <c r="B1457" s="10" t="s">
        <v>359</v>
      </c>
      <c r="C1457" s="10" t="s">
        <v>7346</v>
      </c>
      <c r="D1457" s="11" t="str">
        <f t="shared" si="1"/>
        <v>Abrir anúncio ↗</v>
      </c>
      <c r="E1457" s="12" t="s">
        <v>7341</v>
      </c>
      <c r="F1457" s="10" t="s">
        <v>29</v>
      </c>
      <c r="G1457" s="12" t="s">
        <v>4918</v>
      </c>
      <c r="H1457" s="12" t="s">
        <v>4919</v>
      </c>
      <c r="I1457" s="10"/>
      <c r="J1457" s="10"/>
      <c r="K1457" s="12"/>
    </row>
    <row r="1458" ht="15.75" customHeight="1">
      <c r="A1458" s="3" t="s">
        <v>12</v>
      </c>
      <c r="B1458" s="3" t="s">
        <v>359</v>
      </c>
      <c r="C1458" s="3" t="s">
        <v>7491</v>
      </c>
      <c r="D1458" s="8" t="str">
        <f t="shared" si="1"/>
        <v>Abrir anúncio ↗</v>
      </c>
      <c r="E1458" s="9" t="s">
        <v>7492</v>
      </c>
      <c r="F1458" s="3" t="s">
        <v>29</v>
      </c>
      <c r="G1458" s="9" t="s">
        <v>4918</v>
      </c>
      <c r="H1458" s="9" t="s">
        <v>4919</v>
      </c>
      <c r="I1458" s="3"/>
      <c r="J1458" s="3"/>
      <c r="K1458" s="9"/>
    </row>
    <row r="1459" ht="15.75" customHeight="1">
      <c r="A1459" s="10" t="s">
        <v>12</v>
      </c>
      <c r="B1459" s="10" t="s">
        <v>359</v>
      </c>
      <c r="C1459" s="10" t="s">
        <v>7494</v>
      </c>
      <c r="D1459" s="11" t="str">
        <f t="shared" si="1"/>
        <v>Abrir anúncio ↗</v>
      </c>
      <c r="E1459" s="12" t="s">
        <v>7495</v>
      </c>
      <c r="F1459" s="10" t="s">
        <v>29</v>
      </c>
      <c r="G1459" s="12" t="s">
        <v>4918</v>
      </c>
      <c r="H1459" s="12" t="s">
        <v>4919</v>
      </c>
      <c r="I1459" s="10"/>
      <c r="J1459" s="10"/>
      <c r="K1459" s="12"/>
    </row>
    <row r="1460" ht="15.75" customHeight="1">
      <c r="A1460" s="3" t="s">
        <v>12</v>
      </c>
      <c r="B1460" s="3" t="s">
        <v>359</v>
      </c>
      <c r="C1460" s="3" t="s">
        <v>7497</v>
      </c>
      <c r="D1460" s="8" t="str">
        <f t="shared" si="1"/>
        <v>Abrir anúncio ↗</v>
      </c>
      <c r="E1460" s="9" t="s">
        <v>7498</v>
      </c>
      <c r="F1460" s="3" t="s">
        <v>86</v>
      </c>
      <c r="G1460" s="9" t="s">
        <v>4918</v>
      </c>
      <c r="H1460" s="9" t="s">
        <v>4919</v>
      </c>
      <c r="I1460" s="3"/>
      <c r="J1460" s="3"/>
      <c r="K1460" s="9"/>
    </row>
    <row r="1461" ht="15.75" customHeight="1">
      <c r="A1461" s="10" t="s">
        <v>12</v>
      </c>
      <c r="B1461" s="10" t="s">
        <v>359</v>
      </c>
      <c r="C1461" s="10" t="s">
        <v>7501</v>
      </c>
      <c r="D1461" s="11" t="str">
        <f t="shared" si="1"/>
        <v>Abrir anúncio ↗</v>
      </c>
      <c r="E1461" s="12" t="s">
        <v>7502</v>
      </c>
      <c r="F1461" s="10" t="s">
        <v>29</v>
      </c>
      <c r="G1461" s="12" t="s">
        <v>4918</v>
      </c>
      <c r="H1461" s="12" t="s">
        <v>4919</v>
      </c>
      <c r="I1461" s="10"/>
      <c r="J1461" s="10"/>
      <c r="K1461" s="12"/>
    </row>
    <row r="1462" ht="15.75" customHeight="1">
      <c r="A1462" s="3" t="s">
        <v>12</v>
      </c>
      <c r="B1462" s="3" t="s">
        <v>359</v>
      </c>
      <c r="C1462" s="3" t="s">
        <v>7337</v>
      </c>
      <c r="D1462" s="8" t="str">
        <f t="shared" si="1"/>
        <v>Abrir anúncio ↗</v>
      </c>
      <c r="E1462" s="9" t="s">
        <v>6680</v>
      </c>
      <c r="F1462" s="3" t="s">
        <v>29</v>
      </c>
      <c r="G1462" s="9" t="s">
        <v>4918</v>
      </c>
      <c r="H1462" s="9" t="s">
        <v>4919</v>
      </c>
      <c r="I1462" s="3"/>
      <c r="J1462" s="3"/>
      <c r="K1462" s="9"/>
    </row>
    <row r="1463" ht="15.75" customHeight="1">
      <c r="A1463" s="10" t="s">
        <v>12</v>
      </c>
      <c r="B1463" s="10" t="s">
        <v>359</v>
      </c>
      <c r="C1463" s="10" t="s">
        <v>7342</v>
      </c>
      <c r="D1463" s="11" t="str">
        <f t="shared" si="1"/>
        <v>Abrir anúncio ↗</v>
      </c>
      <c r="E1463" s="12" t="s">
        <v>7341</v>
      </c>
      <c r="F1463" s="10" t="s">
        <v>29</v>
      </c>
      <c r="G1463" s="12" t="s">
        <v>4918</v>
      </c>
      <c r="H1463" s="12" t="s">
        <v>4919</v>
      </c>
      <c r="I1463" s="10"/>
      <c r="J1463" s="10"/>
      <c r="K1463" s="12"/>
    </row>
    <row r="1464" ht="15.75" customHeight="1">
      <c r="A1464" s="3" t="s">
        <v>12</v>
      </c>
      <c r="B1464" s="3" t="s">
        <v>359</v>
      </c>
      <c r="C1464" s="3" t="s">
        <v>7349</v>
      </c>
      <c r="D1464" s="8" t="str">
        <f t="shared" si="1"/>
        <v>Abrir anúncio ↗</v>
      </c>
      <c r="E1464" s="9" t="s">
        <v>3558</v>
      </c>
      <c r="F1464" s="3" t="s">
        <v>29</v>
      </c>
      <c r="G1464" s="9" t="s">
        <v>4918</v>
      </c>
      <c r="H1464" s="9" t="s">
        <v>4919</v>
      </c>
      <c r="I1464" s="3"/>
      <c r="J1464" s="3"/>
      <c r="K1464" s="9"/>
    </row>
    <row r="1465" ht="15.75" customHeight="1">
      <c r="A1465" s="10" t="s">
        <v>12</v>
      </c>
      <c r="B1465" s="10" t="s">
        <v>359</v>
      </c>
      <c r="C1465" s="10" t="s">
        <v>7512</v>
      </c>
      <c r="D1465" s="11" t="str">
        <f t="shared" si="1"/>
        <v>Abrir anúncio ↗</v>
      </c>
      <c r="E1465" s="12" t="s">
        <v>7513</v>
      </c>
      <c r="F1465" s="10" t="s">
        <v>29</v>
      </c>
      <c r="G1465" s="12" t="s">
        <v>4918</v>
      </c>
      <c r="H1465" s="12" t="s">
        <v>4919</v>
      </c>
      <c r="I1465" s="10"/>
      <c r="J1465" s="10"/>
      <c r="K1465" s="12"/>
    </row>
    <row r="1466" ht="15.75" customHeight="1">
      <c r="A1466" s="3" t="s">
        <v>12</v>
      </c>
      <c r="B1466" s="3" t="s">
        <v>359</v>
      </c>
      <c r="C1466" s="3" t="s">
        <v>6843</v>
      </c>
      <c r="D1466" s="8" t="str">
        <f t="shared" si="1"/>
        <v>Abrir anúncio ↗</v>
      </c>
      <c r="E1466" s="9" t="s">
        <v>3598</v>
      </c>
      <c r="F1466" s="3" t="s">
        <v>29</v>
      </c>
      <c r="G1466" s="9" t="s">
        <v>4918</v>
      </c>
      <c r="H1466" s="9" t="s">
        <v>4919</v>
      </c>
      <c r="I1466" s="3"/>
      <c r="J1466" s="3"/>
      <c r="K1466" s="9"/>
    </row>
    <row r="1467" ht="15.75" customHeight="1">
      <c r="A1467" s="10" t="s">
        <v>12</v>
      </c>
      <c r="B1467" s="10" t="s">
        <v>359</v>
      </c>
      <c r="C1467" s="10" t="s">
        <v>7520</v>
      </c>
      <c r="D1467" s="11" t="str">
        <f t="shared" si="1"/>
        <v>Abrir anúncio ↗</v>
      </c>
      <c r="E1467" s="12" t="s">
        <v>6637</v>
      </c>
      <c r="F1467" s="10" t="s">
        <v>29</v>
      </c>
      <c r="G1467" s="12" t="s">
        <v>4918</v>
      </c>
      <c r="H1467" s="12" t="s">
        <v>4919</v>
      </c>
      <c r="I1467" s="10"/>
      <c r="J1467" s="10"/>
      <c r="K1467" s="12"/>
    </row>
    <row r="1468" ht="15.75" customHeight="1">
      <c r="A1468" s="3" t="s">
        <v>12</v>
      </c>
      <c r="B1468" s="3" t="s">
        <v>359</v>
      </c>
      <c r="C1468" s="3" t="s">
        <v>7526</v>
      </c>
      <c r="D1468" s="8" t="str">
        <f t="shared" si="1"/>
        <v>Abrir anúncio ↗</v>
      </c>
      <c r="E1468" s="9" t="s">
        <v>5375</v>
      </c>
      <c r="F1468" s="3" t="s">
        <v>29</v>
      </c>
      <c r="G1468" s="9" t="s">
        <v>4918</v>
      </c>
      <c r="H1468" s="9" t="s">
        <v>4919</v>
      </c>
      <c r="I1468" s="3"/>
      <c r="J1468" s="3"/>
      <c r="K1468" s="9"/>
    </row>
    <row r="1469" ht="15.75" customHeight="1">
      <c r="A1469" s="10" t="s">
        <v>12</v>
      </c>
      <c r="B1469" s="10" t="s">
        <v>359</v>
      </c>
      <c r="C1469" s="10" t="s">
        <v>7531</v>
      </c>
      <c r="D1469" s="11" t="str">
        <f t="shared" si="1"/>
        <v>Abrir anúncio ↗</v>
      </c>
      <c r="E1469" s="12" t="s">
        <v>6560</v>
      </c>
      <c r="F1469" s="10" t="s">
        <v>86</v>
      </c>
      <c r="G1469" s="12" t="s">
        <v>4918</v>
      </c>
      <c r="H1469" s="12" t="s">
        <v>4919</v>
      </c>
      <c r="I1469" s="10"/>
      <c r="J1469" s="10"/>
      <c r="K1469" s="12"/>
    </row>
    <row r="1470" ht="15.75" customHeight="1">
      <c r="A1470" s="3" t="s">
        <v>12</v>
      </c>
      <c r="B1470" s="3" t="s">
        <v>359</v>
      </c>
      <c r="C1470" s="3" t="s">
        <v>7535</v>
      </c>
      <c r="D1470" s="8" t="str">
        <f t="shared" si="1"/>
        <v>Abrir anúncio ↗</v>
      </c>
      <c r="E1470" s="9" t="s">
        <v>6168</v>
      </c>
      <c r="F1470" s="3" t="s">
        <v>29</v>
      </c>
      <c r="G1470" s="9" t="s">
        <v>4918</v>
      </c>
      <c r="H1470" s="9" t="s">
        <v>4919</v>
      </c>
      <c r="I1470" s="3"/>
      <c r="J1470" s="3"/>
      <c r="K1470" s="9"/>
    </row>
    <row r="1471" ht="15.75" customHeight="1">
      <c r="A1471" s="10" t="s">
        <v>12</v>
      </c>
      <c r="B1471" s="10" t="s">
        <v>359</v>
      </c>
      <c r="C1471" s="10" t="s">
        <v>7538</v>
      </c>
      <c r="D1471" s="11" t="str">
        <f t="shared" si="1"/>
        <v>Abrir anúncio ↗</v>
      </c>
      <c r="E1471" s="12" t="s">
        <v>6281</v>
      </c>
      <c r="F1471" s="10" t="s">
        <v>29</v>
      </c>
      <c r="G1471" s="12" t="s">
        <v>4918</v>
      </c>
      <c r="H1471" s="12" t="s">
        <v>4919</v>
      </c>
      <c r="I1471" s="10"/>
      <c r="J1471" s="10"/>
      <c r="K1471" s="12"/>
    </row>
    <row r="1472" ht="15.75" customHeight="1">
      <c r="A1472" s="3" t="s">
        <v>12</v>
      </c>
      <c r="B1472" s="3" t="s">
        <v>359</v>
      </c>
      <c r="C1472" s="3" t="s">
        <v>7541</v>
      </c>
      <c r="D1472" s="8" t="str">
        <f t="shared" si="1"/>
        <v>Abrir anúncio ↗</v>
      </c>
      <c r="E1472" s="9" t="s">
        <v>6140</v>
      </c>
      <c r="F1472" s="3" t="s">
        <v>29</v>
      </c>
      <c r="G1472" s="9" t="s">
        <v>4918</v>
      </c>
      <c r="H1472" s="9" t="s">
        <v>4919</v>
      </c>
      <c r="I1472" s="3"/>
      <c r="J1472" s="3"/>
      <c r="K1472" s="9"/>
    </row>
    <row r="1473" ht="15.75" customHeight="1">
      <c r="A1473" s="10" t="s">
        <v>12</v>
      </c>
      <c r="B1473" s="10" t="s">
        <v>359</v>
      </c>
      <c r="C1473" s="10" t="s">
        <v>7546</v>
      </c>
      <c r="D1473" s="11" t="str">
        <f t="shared" si="1"/>
        <v>Abrir anúncio ↗</v>
      </c>
      <c r="E1473" s="12" t="s">
        <v>6587</v>
      </c>
      <c r="F1473" s="10" t="s">
        <v>29</v>
      </c>
      <c r="G1473" s="12" t="s">
        <v>4918</v>
      </c>
      <c r="H1473" s="12" t="s">
        <v>4919</v>
      </c>
      <c r="I1473" s="10"/>
      <c r="J1473" s="10"/>
      <c r="K1473" s="12"/>
    </row>
    <row r="1474" ht="15.75" customHeight="1">
      <c r="A1474" s="3" t="s">
        <v>12</v>
      </c>
      <c r="B1474" s="3" t="s">
        <v>359</v>
      </c>
      <c r="C1474" s="3" t="s">
        <v>7550</v>
      </c>
      <c r="D1474" s="8" t="str">
        <f t="shared" si="1"/>
        <v>Abrir anúncio ↗</v>
      </c>
      <c r="E1474" s="9" t="s">
        <v>5897</v>
      </c>
      <c r="F1474" s="3" t="s">
        <v>29</v>
      </c>
      <c r="G1474" s="9" t="s">
        <v>4918</v>
      </c>
      <c r="H1474" s="9" t="s">
        <v>4919</v>
      </c>
      <c r="I1474" s="3"/>
      <c r="J1474" s="3"/>
      <c r="K1474" s="9"/>
    </row>
    <row r="1475" ht="15.75" customHeight="1">
      <c r="A1475" s="10" t="s">
        <v>12</v>
      </c>
      <c r="B1475" s="10" t="s">
        <v>359</v>
      </c>
      <c r="C1475" s="10" t="s">
        <v>7555</v>
      </c>
      <c r="D1475" s="11" t="str">
        <f t="shared" si="1"/>
        <v>Abrir anúncio ↗</v>
      </c>
      <c r="E1475" s="12" t="s">
        <v>6405</v>
      </c>
      <c r="F1475" s="10" t="s">
        <v>29</v>
      </c>
      <c r="G1475" s="12" t="s">
        <v>4918</v>
      </c>
      <c r="H1475" s="12" t="s">
        <v>4919</v>
      </c>
      <c r="I1475" s="10"/>
      <c r="J1475" s="10"/>
      <c r="K1475" s="12"/>
    </row>
    <row r="1476" ht="15.75" customHeight="1">
      <c r="A1476" s="3" t="s">
        <v>12</v>
      </c>
      <c r="B1476" s="3" t="s">
        <v>359</v>
      </c>
      <c r="C1476" s="3" t="s">
        <v>7557</v>
      </c>
      <c r="D1476" s="8" t="str">
        <f t="shared" si="1"/>
        <v>Abrir anúncio ↗</v>
      </c>
      <c r="E1476" s="9" t="s">
        <v>6457</v>
      </c>
      <c r="F1476" s="3" t="s">
        <v>29</v>
      </c>
      <c r="G1476" s="9" t="s">
        <v>4918</v>
      </c>
      <c r="H1476" s="9" t="s">
        <v>4919</v>
      </c>
      <c r="I1476" s="3"/>
      <c r="J1476" s="3"/>
      <c r="K1476" s="9"/>
    </row>
    <row r="1477" ht="15.75" customHeight="1">
      <c r="A1477" s="10" t="s">
        <v>12</v>
      </c>
      <c r="B1477" s="10" t="s">
        <v>359</v>
      </c>
      <c r="C1477" s="10" t="s">
        <v>7560</v>
      </c>
      <c r="D1477" s="11" t="str">
        <f t="shared" si="1"/>
        <v>Abrir anúncio ↗</v>
      </c>
      <c r="E1477" s="12" t="s">
        <v>6194</v>
      </c>
      <c r="F1477" s="10" t="s">
        <v>29</v>
      </c>
      <c r="G1477" s="12" t="s">
        <v>4918</v>
      </c>
      <c r="H1477" s="12" t="s">
        <v>4919</v>
      </c>
      <c r="I1477" s="10"/>
      <c r="J1477" s="10"/>
      <c r="K1477" s="12"/>
    </row>
    <row r="1478" ht="15.75" customHeight="1">
      <c r="A1478" s="3" t="s">
        <v>12</v>
      </c>
      <c r="B1478" s="3" t="s">
        <v>359</v>
      </c>
      <c r="C1478" s="3" t="s">
        <v>7563</v>
      </c>
      <c r="D1478" s="8" t="str">
        <f t="shared" si="1"/>
        <v>Abrir anúncio ↗</v>
      </c>
      <c r="E1478" s="9" t="s">
        <v>4870</v>
      </c>
      <c r="F1478" s="3" t="s">
        <v>29</v>
      </c>
      <c r="G1478" s="9" t="s">
        <v>4918</v>
      </c>
      <c r="H1478" s="9" t="s">
        <v>4919</v>
      </c>
      <c r="I1478" s="3"/>
      <c r="J1478" s="3"/>
      <c r="K1478" s="9"/>
    </row>
    <row r="1479" ht="15.75" customHeight="1">
      <c r="A1479" s="10" t="s">
        <v>12</v>
      </c>
      <c r="B1479" s="10" t="s">
        <v>359</v>
      </c>
      <c r="C1479" s="10" t="s">
        <v>6873</v>
      </c>
      <c r="D1479" s="11" t="str">
        <f t="shared" si="1"/>
        <v>Abrir anúncio ↗</v>
      </c>
      <c r="E1479" s="12" t="s">
        <v>4879</v>
      </c>
      <c r="F1479" s="10" t="s">
        <v>29</v>
      </c>
      <c r="G1479" s="12" t="s">
        <v>4918</v>
      </c>
      <c r="H1479" s="12" t="s">
        <v>4919</v>
      </c>
      <c r="I1479" s="10"/>
      <c r="J1479" s="10"/>
      <c r="K1479" s="12"/>
    </row>
    <row r="1480" ht="15.75" customHeight="1">
      <c r="A1480" s="3" t="s">
        <v>12</v>
      </c>
      <c r="B1480" s="3" t="s">
        <v>359</v>
      </c>
      <c r="C1480" s="3" t="s">
        <v>7030</v>
      </c>
      <c r="D1480" s="8" t="str">
        <f t="shared" si="1"/>
        <v>Abrir anúncio ↗</v>
      </c>
      <c r="E1480" s="9" t="s">
        <v>3459</v>
      </c>
      <c r="F1480" s="3" t="s">
        <v>29</v>
      </c>
      <c r="G1480" s="9" t="s">
        <v>4918</v>
      </c>
      <c r="H1480" s="9" t="s">
        <v>4919</v>
      </c>
      <c r="I1480" s="3"/>
      <c r="J1480" s="3"/>
      <c r="K1480" s="9"/>
    </row>
    <row r="1481" ht="15.75" customHeight="1">
      <c r="A1481" s="10" t="s">
        <v>12</v>
      </c>
      <c r="B1481" s="10" t="s">
        <v>359</v>
      </c>
      <c r="C1481" s="10" t="s">
        <v>7570</v>
      </c>
      <c r="D1481" s="11" t="str">
        <f t="shared" si="1"/>
        <v>Abrir anúncio ↗</v>
      </c>
      <c r="E1481" s="12" t="s">
        <v>7573</v>
      </c>
      <c r="F1481" s="10" t="s">
        <v>29</v>
      </c>
      <c r="G1481" s="12" t="s">
        <v>4918</v>
      </c>
      <c r="H1481" s="12" t="s">
        <v>4919</v>
      </c>
      <c r="I1481" s="10"/>
      <c r="J1481" s="10"/>
      <c r="K1481" s="12"/>
    </row>
    <row r="1482" ht="15.75" customHeight="1">
      <c r="A1482" s="3" t="s">
        <v>12</v>
      </c>
      <c r="B1482" s="3" t="s">
        <v>359</v>
      </c>
      <c r="C1482" s="3" t="s">
        <v>7574</v>
      </c>
      <c r="D1482" s="8" t="str">
        <f t="shared" si="1"/>
        <v>Abrir anúncio ↗</v>
      </c>
      <c r="E1482" s="9" t="s">
        <v>6531</v>
      </c>
      <c r="F1482" s="3" t="s">
        <v>29</v>
      </c>
      <c r="G1482" s="9" t="s">
        <v>4918</v>
      </c>
      <c r="H1482" s="9" t="s">
        <v>4919</v>
      </c>
      <c r="I1482" s="3"/>
      <c r="J1482" s="3"/>
      <c r="K1482" s="9"/>
    </row>
    <row r="1483" ht="15.75" customHeight="1">
      <c r="A1483" s="10" t="s">
        <v>12</v>
      </c>
      <c r="B1483" s="10" t="s">
        <v>359</v>
      </c>
      <c r="C1483" s="10" t="s">
        <v>7577</v>
      </c>
      <c r="D1483" s="11" t="str">
        <f t="shared" si="1"/>
        <v>Abrir anúncio ↗</v>
      </c>
      <c r="E1483" s="12" t="s">
        <v>7579</v>
      </c>
      <c r="F1483" s="10" t="s">
        <v>29</v>
      </c>
      <c r="G1483" s="12" t="s">
        <v>4918</v>
      </c>
      <c r="H1483" s="12" t="s">
        <v>4919</v>
      </c>
      <c r="I1483" s="10"/>
      <c r="J1483" s="10"/>
      <c r="K1483" s="12"/>
    </row>
    <row r="1484" ht="15.75" customHeight="1">
      <c r="A1484" s="3" t="s">
        <v>12</v>
      </c>
      <c r="B1484" s="3" t="s">
        <v>359</v>
      </c>
      <c r="C1484" s="3" t="s">
        <v>7581</v>
      </c>
      <c r="D1484" s="8" t="str">
        <f t="shared" si="1"/>
        <v>Abrir anúncio ↗</v>
      </c>
      <c r="E1484" s="9" t="s">
        <v>6470</v>
      </c>
      <c r="F1484" s="3" t="s">
        <v>29</v>
      </c>
      <c r="G1484" s="9" t="s">
        <v>4918</v>
      </c>
      <c r="H1484" s="9" t="s">
        <v>4919</v>
      </c>
      <c r="I1484" s="3"/>
      <c r="J1484" s="3"/>
      <c r="K1484" s="9"/>
    </row>
    <row r="1485" ht="15.75" customHeight="1">
      <c r="A1485" s="10" t="s">
        <v>12</v>
      </c>
      <c r="B1485" s="10" t="s">
        <v>359</v>
      </c>
      <c r="C1485" s="10" t="s">
        <v>7114</v>
      </c>
      <c r="D1485" s="11" t="str">
        <f t="shared" si="1"/>
        <v>Abrir anúncio ↗</v>
      </c>
      <c r="E1485" s="12" t="s">
        <v>6662</v>
      </c>
      <c r="F1485" s="10" t="s">
        <v>29</v>
      </c>
      <c r="G1485" s="12" t="s">
        <v>4918</v>
      </c>
      <c r="H1485" s="12" t="s">
        <v>4919</v>
      </c>
      <c r="I1485" s="10"/>
      <c r="J1485" s="10"/>
      <c r="K1485" s="12"/>
    </row>
    <row r="1486" ht="15.75" customHeight="1">
      <c r="A1486" s="3" t="s">
        <v>12</v>
      </c>
      <c r="B1486" s="3" t="s">
        <v>359</v>
      </c>
      <c r="C1486" s="3" t="s">
        <v>7586</v>
      </c>
      <c r="D1486" s="8" t="str">
        <f t="shared" si="1"/>
        <v>Abrir anúncio ↗</v>
      </c>
      <c r="E1486" s="9" t="s">
        <v>7587</v>
      </c>
      <c r="F1486" s="3" t="s">
        <v>86</v>
      </c>
      <c r="G1486" s="9" t="s">
        <v>4918</v>
      </c>
      <c r="H1486" s="9" t="s">
        <v>4919</v>
      </c>
      <c r="I1486" s="3"/>
      <c r="J1486" s="3"/>
      <c r="K1486" s="9"/>
    </row>
    <row r="1487" ht="15.75" customHeight="1">
      <c r="A1487" s="10" t="s">
        <v>12</v>
      </c>
      <c r="B1487" s="10" t="s">
        <v>359</v>
      </c>
      <c r="C1487" s="10" t="s">
        <v>7591</v>
      </c>
      <c r="D1487" s="11" t="str">
        <f t="shared" si="1"/>
        <v>Abrir anúncio ↗</v>
      </c>
      <c r="E1487" s="12" t="s">
        <v>6204</v>
      </c>
      <c r="F1487" s="10" t="s">
        <v>29</v>
      </c>
      <c r="G1487" s="12" t="s">
        <v>4918</v>
      </c>
      <c r="H1487" s="12" t="s">
        <v>4919</v>
      </c>
      <c r="I1487" s="10"/>
      <c r="J1487" s="10"/>
      <c r="K1487" s="12"/>
    </row>
    <row r="1488" ht="15.75" customHeight="1">
      <c r="A1488" s="3" t="s">
        <v>12</v>
      </c>
      <c r="B1488" s="3" t="s">
        <v>359</v>
      </c>
      <c r="C1488" s="3" t="s">
        <v>7291</v>
      </c>
      <c r="D1488" s="8" t="str">
        <f t="shared" si="1"/>
        <v>Abrir anúncio ↗</v>
      </c>
      <c r="E1488" s="9" t="s">
        <v>6177</v>
      </c>
      <c r="F1488" s="3" t="s">
        <v>29</v>
      </c>
      <c r="G1488" s="9" t="s">
        <v>4918</v>
      </c>
      <c r="H1488" s="9" t="s">
        <v>4919</v>
      </c>
      <c r="I1488" s="3"/>
      <c r="J1488" s="3"/>
      <c r="K1488" s="9"/>
    </row>
    <row r="1489" ht="15.75" customHeight="1">
      <c r="A1489" s="10" t="s">
        <v>12</v>
      </c>
      <c r="B1489" s="10" t="s">
        <v>359</v>
      </c>
      <c r="C1489" s="10" t="s">
        <v>7598</v>
      </c>
      <c r="D1489" s="11" t="str">
        <f t="shared" si="1"/>
        <v>Abrir anúncio ↗</v>
      </c>
      <c r="E1489" s="12" t="s">
        <v>4550</v>
      </c>
      <c r="F1489" s="10" t="s">
        <v>86</v>
      </c>
      <c r="G1489" s="12" t="s">
        <v>4918</v>
      </c>
      <c r="H1489" s="12" t="s">
        <v>4919</v>
      </c>
      <c r="I1489" s="10"/>
      <c r="J1489" s="10"/>
      <c r="K1489" s="12"/>
    </row>
    <row r="1490" ht="15.75" customHeight="1">
      <c r="A1490" s="3" t="s">
        <v>12</v>
      </c>
      <c r="B1490" s="3" t="s">
        <v>359</v>
      </c>
      <c r="C1490" s="3" t="s">
        <v>7072</v>
      </c>
      <c r="D1490" s="8" t="str">
        <f t="shared" si="1"/>
        <v>Abrir anúncio ↗</v>
      </c>
      <c r="E1490" s="9" t="s">
        <v>5937</v>
      </c>
      <c r="F1490" s="3" t="s">
        <v>29</v>
      </c>
      <c r="G1490" s="9" t="s">
        <v>4918</v>
      </c>
      <c r="H1490" s="9" t="s">
        <v>4919</v>
      </c>
      <c r="I1490" s="3"/>
      <c r="J1490" s="3"/>
      <c r="K1490" s="9"/>
    </row>
    <row r="1491" ht="15.75" customHeight="1">
      <c r="A1491" s="10" t="s">
        <v>12</v>
      </c>
      <c r="B1491" s="10" t="s">
        <v>359</v>
      </c>
      <c r="C1491" s="10" t="s">
        <v>7601</v>
      </c>
      <c r="D1491" s="11" t="str">
        <f t="shared" si="1"/>
        <v>Abrir anúncio ↗</v>
      </c>
      <c r="E1491" s="12" t="s">
        <v>7602</v>
      </c>
      <c r="F1491" s="10" t="s">
        <v>29</v>
      </c>
      <c r="G1491" s="12" t="s">
        <v>4918</v>
      </c>
      <c r="H1491" s="12" t="s">
        <v>4919</v>
      </c>
      <c r="I1491" s="10"/>
      <c r="J1491" s="10"/>
      <c r="K1491" s="12"/>
    </row>
    <row r="1492" ht="15.75" customHeight="1">
      <c r="A1492" s="3" t="s">
        <v>12</v>
      </c>
      <c r="B1492" s="3" t="s">
        <v>359</v>
      </c>
      <c r="C1492" s="3" t="s">
        <v>7603</v>
      </c>
      <c r="D1492" s="8" t="str">
        <f t="shared" si="1"/>
        <v>Abrir anúncio ↗</v>
      </c>
      <c r="E1492" s="9" t="s">
        <v>4902</v>
      </c>
      <c r="F1492" s="3" t="s">
        <v>86</v>
      </c>
      <c r="G1492" s="9" t="s">
        <v>4918</v>
      </c>
      <c r="H1492" s="9" t="s">
        <v>4919</v>
      </c>
      <c r="I1492" s="3"/>
      <c r="J1492" s="3"/>
      <c r="K1492" s="9"/>
    </row>
    <row r="1493" ht="15.75" customHeight="1">
      <c r="A1493" s="10" t="s">
        <v>12</v>
      </c>
      <c r="B1493" s="10" t="s">
        <v>359</v>
      </c>
      <c r="C1493" s="10" t="s">
        <v>7607</v>
      </c>
      <c r="D1493" s="11" t="str">
        <f t="shared" si="1"/>
        <v>Abrir anúncio ↗</v>
      </c>
      <c r="E1493" s="12" t="s">
        <v>6654</v>
      </c>
      <c r="F1493" s="10" t="s">
        <v>86</v>
      </c>
      <c r="G1493" s="12" t="s">
        <v>4918</v>
      </c>
      <c r="H1493" s="12" t="s">
        <v>4919</v>
      </c>
      <c r="I1493" s="10"/>
      <c r="J1493" s="10"/>
      <c r="K1493" s="12"/>
    </row>
    <row r="1494" ht="15.75" customHeight="1">
      <c r="A1494" s="3" t="s">
        <v>12</v>
      </c>
      <c r="B1494" s="3" t="s">
        <v>359</v>
      </c>
      <c r="C1494" s="3" t="s">
        <v>7084</v>
      </c>
      <c r="D1494" s="8" t="str">
        <f t="shared" si="1"/>
        <v>Abrir anúncio ↗</v>
      </c>
      <c r="E1494" s="9" t="s">
        <v>6916</v>
      </c>
      <c r="F1494" s="3" t="s">
        <v>29</v>
      </c>
      <c r="G1494" s="9" t="s">
        <v>4918</v>
      </c>
      <c r="H1494" s="9" t="s">
        <v>4919</v>
      </c>
      <c r="I1494" s="3"/>
      <c r="J1494" s="3"/>
      <c r="K1494" s="9"/>
    </row>
    <row r="1495" ht="15.75" customHeight="1">
      <c r="A1495" s="10" t="s">
        <v>12</v>
      </c>
      <c r="B1495" s="10" t="s">
        <v>359</v>
      </c>
      <c r="C1495" s="10" t="s">
        <v>7610</v>
      </c>
      <c r="D1495" s="11" t="str">
        <f t="shared" si="1"/>
        <v>Abrir anúncio ↗</v>
      </c>
      <c r="E1495" s="12" t="s">
        <v>7032</v>
      </c>
      <c r="F1495" s="10" t="s">
        <v>29</v>
      </c>
      <c r="G1495" s="12" t="s">
        <v>4918</v>
      </c>
      <c r="H1495" s="12" t="s">
        <v>4919</v>
      </c>
      <c r="I1495" s="10"/>
      <c r="J1495" s="10"/>
      <c r="K1495" s="12"/>
    </row>
    <row r="1496" ht="15.75" customHeight="1">
      <c r="A1496" s="3" t="s">
        <v>12</v>
      </c>
      <c r="B1496" s="3" t="s">
        <v>359</v>
      </c>
      <c r="C1496" s="3" t="s">
        <v>7612</v>
      </c>
      <c r="D1496" s="8" t="str">
        <f t="shared" si="1"/>
        <v>Abrir anúncio ↗</v>
      </c>
      <c r="E1496" s="9" t="s">
        <v>7015</v>
      </c>
      <c r="F1496" s="3" t="s">
        <v>29</v>
      </c>
      <c r="G1496" s="9" t="s">
        <v>4918</v>
      </c>
      <c r="H1496" s="9" t="s">
        <v>4919</v>
      </c>
      <c r="I1496" s="3"/>
      <c r="J1496" s="3"/>
      <c r="K1496" s="9"/>
    </row>
    <row r="1497" ht="15.75" customHeight="1">
      <c r="A1497" s="10" t="s">
        <v>12</v>
      </c>
      <c r="B1497" s="10" t="s">
        <v>359</v>
      </c>
      <c r="C1497" s="10" t="s">
        <v>7615</v>
      </c>
      <c r="D1497" s="11" t="str">
        <f t="shared" si="1"/>
        <v>Abrir anúncio ↗</v>
      </c>
      <c r="E1497" s="12" t="s">
        <v>7079</v>
      </c>
      <c r="F1497" s="10" t="s">
        <v>86</v>
      </c>
      <c r="G1497" s="12" t="s">
        <v>4918</v>
      </c>
      <c r="H1497" s="12" t="s">
        <v>4919</v>
      </c>
      <c r="I1497" s="10"/>
      <c r="J1497" s="10"/>
      <c r="K1497" s="12"/>
    </row>
    <row r="1498" ht="15.75" customHeight="1">
      <c r="A1498" s="3" t="s">
        <v>12</v>
      </c>
      <c r="B1498" s="3" t="s">
        <v>359</v>
      </c>
      <c r="C1498" s="3" t="s">
        <v>7618</v>
      </c>
      <c r="D1498" s="8" t="str">
        <f t="shared" si="1"/>
        <v>Abrir anúncio ↗</v>
      </c>
      <c r="E1498" s="9" t="s">
        <v>7476</v>
      </c>
      <c r="F1498" s="3" t="s">
        <v>29</v>
      </c>
      <c r="G1498" s="9" t="s">
        <v>4918</v>
      </c>
      <c r="H1498" s="9" t="s">
        <v>4919</v>
      </c>
      <c r="I1498" s="3"/>
      <c r="J1498" s="3"/>
      <c r="K1498" s="9"/>
    </row>
    <row r="1499" ht="15.75" customHeight="1">
      <c r="A1499" s="10" t="s">
        <v>12</v>
      </c>
      <c r="B1499" s="10" t="s">
        <v>359</v>
      </c>
      <c r="C1499" s="10" t="s">
        <v>7623</v>
      </c>
      <c r="D1499" s="11" t="str">
        <f t="shared" si="1"/>
        <v>Abrir anúncio ↗</v>
      </c>
      <c r="E1499" s="12" t="s">
        <v>7335</v>
      </c>
      <c r="F1499" s="10" t="s">
        <v>29</v>
      </c>
      <c r="G1499" s="12" t="s">
        <v>4918</v>
      </c>
      <c r="H1499" s="12" t="s">
        <v>4919</v>
      </c>
      <c r="I1499" s="10"/>
      <c r="J1499" s="10"/>
      <c r="K1499" s="12"/>
    </row>
    <row r="1500" ht="15.75" customHeight="1">
      <c r="A1500" s="3" t="s">
        <v>12</v>
      </c>
      <c r="B1500" s="3" t="s">
        <v>359</v>
      </c>
      <c r="C1500" s="3" t="s">
        <v>7626</v>
      </c>
      <c r="D1500" s="8" t="str">
        <f t="shared" si="1"/>
        <v>Abrir anúncio ↗</v>
      </c>
      <c r="E1500" s="9" t="s">
        <v>7628</v>
      </c>
      <c r="F1500" s="3" t="s">
        <v>29</v>
      </c>
      <c r="G1500" s="9" t="s">
        <v>4918</v>
      </c>
      <c r="H1500" s="9" t="s">
        <v>4919</v>
      </c>
      <c r="I1500" s="3"/>
      <c r="J1500" s="3"/>
      <c r="K1500" s="9"/>
    </row>
    <row r="1501" ht="15.75" customHeight="1">
      <c r="A1501" s="10" t="s">
        <v>12</v>
      </c>
      <c r="B1501" s="10" t="s">
        <v>359</v>
      </c>
      <c r="C1501" s="10" t="s">
        <v>7631</v>
      </c>
      <c r="D1501" s="11" t="str">
        <f t="shared" si="1"/>
        <v>Abrir anúncio ↗</v>
      </c>
      <c r="E1501" s="12" t="s">
        <v>7041</v>
      </c>
      <c r="F1501" s="10" t="s">
        <v>29</v>
      </c>
      <c r="G1501" s="12" t="s">
        <v>4918</v>
      </c>
      <c r="H1501" s="12" t="s">
        <v>4919</v>
      </c>
      <c r="I1501" s="10"/>
      <c r="J1501" s="10"/>
      <c r="K1501" s="12"/>
    </row>
    <row r="1502" ht="15.75" customHeight="1">
      <c r="A1502" s="3" t="s">
        <v>12</v>
      </c>
      <c r="B1502" s="3" t="s">
        <v>359</v>
      </c>
      <c r="C1502" s="3" t="s">
        <v>6711</v>
      </c>
      <c r="D1502" s="8" t="str">
        <f t="shared" si="1"/>
        <v>Abrir anúncio ↗</v>
      </c>
      <c r="E1502" s="9" t="s">
        <v>6709</v>
      </c>
      <c r="F1502" s="3" t="s">
        <v>29</v>
      </c>
      <c r="G1502" s="9" t="s">
        <v>4918</v>
      </c>
      <c r="H1502" s="9" t="s">
        <v>4919</v>
      </c>
      <c r="I1502" s="3"/>
      <c r="J1502" s="3"/>
      <c r="K1502" s="9"/>
    </row>
    <row r="1503" ht="15.75" customHeight="1">
      <c r="A1503" s="10" t="s">
        <v>12</v>
      </c>
      <c r="B1503" s="10" t="s">
        <v>359</v>
      </c>
      <c r="C1503" s="10" t="s">
        <v>7640</v>
      </c>
      <c r="D1503" s="11" t="str">
        <f t="shared" si="1"/>
        <v>Abrir anúncio ↗</v>
      </c>
      <c r="E1503" s="12" t="s">
        <v>7641</v>
      </c>
      <c r="F1503" s="10" t="s">
        <v>29</v>
      </c>
      <c r="G1503" s="12" t="s">
        <v>4918</v>
      </c>
      <c r="H1503" s="12" t="s">
        <v>4919</v>
      </c>
      <c r="I1503" s="10"/>
      <c r="J1503" s="10"/>
      <c r="K1503" s="12"/>
    </row>
    <row r="1504" ht="15.75" customHeight="1">
      <c r="A1504" s="3" t="s">
        <v>12</v>
      </c>
      <c r="B1504" s="3" t="s">
        <v>359</v>
      </c>
      <c r="C1504" s="3" t="s">
        <v>7644</v>
      </c>
      <c r="D1504" s="8" t="str">
        <f t="shared" si="1"/>
        <v>Abrir anúncio ↗</v>
      </c>
      <c r="E1504" s="9" t="s">
        <v>4775</v>
      </c>
      <c r="F1504" s="3" t="s">
        <v>29</v>
      </c>
      <c r="G1504" s="9" t="s">
        <v>4918</v>
      </c>
      <c r="H1504" s="9" t="s">
        <v>4919</v>
      </c>
      <c r="I1504" s="3"/>
      <c r="J1504" s="3"/>
      <c r="K1504" s="9"/>
    </row>
    <row r="1505" ht="15.75" customHeight="1">
      <c r="A1505" s="10" t="s">
        <v>12</v>
      </c>
      <c r="B1505" s="10" t="s">
        <v>359</v>
      </c>
      <c r="C1505" s="10" t="s">
        <v>7648</v>
      </c>
      <c r="D1505" s="11" t="str">
        <f t="shared" si="1"/>
        <v>Abrir anúncio ↗</v>
      </c>
      <c r="E1505" s="12" t="s">
        <v>7649</v>
      </c>
      <c r="F1505" s="10" t="s">
        <v>29</v>
      </c>
      <c r="G1505" s="12" t="s">
        <v>4918</v>
      </c>
      <c r="H1505" s="12" t="s">
        <v>4919</v>
      </c>
      <c r="I1505" s="10"/>
      <c r="J1505" s="10"/>
      <c r="K1505" s="12"/>
    </row>
    <row r="1506" ht="15.75" customHeight="1">
      <c r="A1506" s="3" t="s">
        <v>12</v>
      </c>
      <c r="B1506" s="3" t="s">
        <v>359</v>
      </c>
      <c r="C1506" s="3" t="s">
        <v>7653</v>
      </c>
      <c r="D1506" s="8" t="str">
        <f t="shared" si="1"/>
        <v>Abrir anúncio ↗</v>
      </c>
      <c r="E1506" s="9" t="s">
        <v>7654</v>
      </c>
      <c r="F1506" s="3" t="s">
        <v>29</v>
      </c>
      <c r="G1506" s="9" t="s">
        <v>4918</v>
      </c>
      <c r="H1506" s="9" t="s">
        <v>4919</v>
      </c>
      <c r="I1506" s="3"/>
      <c r="J1506" s="3"/>
      <c r="K1506" s="9"/>
    </row>
    <row r="1507" ht="15.75" customHeight="1">
      <c r="A1507" s="10" t="s">
        <v>12</v>
      </c>
      <c r="B1507" s="10" t="s">
        <v>359</v>
      </c>
      <c r="C1507" s="10" t="s">
        <v>7657</v>
      </c>
      <c r="D1507" s="11" t="str">
        <f t="shared" si="1"/>
        <v>Abrir anúncio ↗</v>
      </c>
      <c r="E1507" s="12" t="s">
        <v>7658</v>
      </c>
      <c r="F1507" s="10" t="s">
        <v>29</v>
      </c>
      <c r="G1507" s="12" t="s">
        <v>4918</v>
      </c>
      <c r="H1507" s="12" t="s">
        <v>4919</v>
      </c>
      <c r="I1507" s="10"/>
      <c r="J1507" s="10"/>
      <c r="K1507" s="12"/>
    </row>
    <row r="1508" ht="15.75" customHeight="1">
      <c r="A1508" s="3" t="s">
        <v>12</v>
      </c>
      <c r="B1508" s="3" t="s">
        <v>359</v>
      </c>
      <c r="C1508" s="3" t="s">
        <v>7661</v>
      </c>
      <c r="D1508" s="8" t="str">
        <f t="shared" si="1"/>
        <v>Abrir anúncio ↗</v>
      </c>
      <c r="E1508" s="9" t="s">
        <v>7662</v>
      </c>
      <c r="F1508" s="3" t="s">
        <v>29</v>
      </c>
      <c r="G1508" s="9" t="s">
        <v>4918</v>
      </c>
      <c r="H1508" s="9" t="s">
        <v>4919</v>
      </c>
      <c r="I1508" s="3"/>
      <c r="J1508" s="3"/>
      <c r="K1508" s="9"/>
    </row>
    <row r="1509" ht="15.75" customHeight="1">
      <c r="A1509" s="10" t="s">
        <v>12</v>
      </c>
      <c r="B1509" s="10" t="s">
        <v>359</v>
      </c>
      <c r="C1509" s="10" t="s">
        <v>7664</v>
      </c>
      <c r="D1509" s="11" t="str">
        <f t="shared" si="1"/>
        <v>Abrir anúncio ↗</v>
      </c>
      <c r="E1509" s="12" t="s">
        <v>7665</v>
      </c>
      <c r="F1509" s="10" t="s">
        <v>29</v>
      </c>
      <c r="G1509" s="12" t="s">
        <v>4918</v>
      </c>
      <c r="H1509" s="12" t="s">
        <v>4919</v>
      </c>
      <c r="I1509" s="10"/>
      <c r="J1509" s="10"/>
      <c r="K1509" s="12"/>
    </row>
    <row r="1510" ht="15.75" customHeight="1">
      <c r="A1510" s="3" t="s">
        <v>12</v>
      </c>
      <c r="B1510" s="3" t="s">
        <v>359</v>
      </c>
      <c r="C1510" s="3" t="s">
        <v>7666</v>
      </c>
      <c r="D1510" s="8" t="str">
        <f t="shared" si="1"/>
        <v>Abrir anúncio ↗</v>
      </c>
      <c r="E1510" s="9" t="s">
        <v>7668</v>
      </c>
      <c r="F1510" s="3" t="s">
        <v>29</v>
      </c>
      <c r="G1510" s="9" t="s">
        <v>4918</v>
      </c>
      <c r="H1510" s="9" t="s">
        <v>4919</v>
      </c>
      <c r="I1510" s="3"/>
      <c r="J1510" s="3"/>
      <c r="K1510" s="9"/>
    </row>
    <row r="1511" ht="15.75" customHeight="1">
      <c r="A1511" s="10" t="s">
        <v>12</v>
      </c>
      <c r="B1511" s="10" t="s">
        <v>359</v>
      </c>
      <c r="C1511" s="10" t="s">
        <v>7670</v>
      </c>
      <c r="D1511" s="11" t="str">
        <f t="shared" si="1"/>
        <v>Abrir anúncio ↗</v>
      </c>
      <c r="E1511" s="12" t="s">
        <v>7671</v>
      </c>
      <c r="F1511" s="10" t="s">
        <v>29</v>
      </c>
      <c r="G1511" s="12" t="s">
        <v>4918</v>
      </c>
      <c r="H1511" s="12" t="s">
        <v>4919</v>
      </c>
      <c r="I1511" s="10"/>
      <c r="J1511" s="10"/>
      <c r="K1511" s="12"/>
    </row>
    <row r="1512" ht="15.75" customHeight="1">
      <c r="A1512" s="3" t="s">
        <v>12</v>
      </c>
      <c r="B1512" s="3" t="s">
        <v>359</v>
      </c>
      <c r="C1512" s="3" t="s">
        <v>7674</v>
      </c>
      <c r="D1512" s="8" t="str">
        <f t="shared" si="1"/>
        <v>Abrir anúncio ↗</v>
      </c>
      <c r="E1512" s="9" t="s">
        <v>7675</v>
      </c>
      <c r="F1512" s="3" t="s">
        <v>29</v>
      </c>
      <c r="G1512" s="9" t="s">
        <v>4918</v>
      </c>
      <c r="H1512" s="9" t="s">
        <v>4919</v>
      </c>
      <c r="I1512" s="3"/>
      <c r="J1512" s="3"/>
      <c r="K1512" s="9"/>
    </row>
    <row r="1513" ht="15.75" customHeight="1">
      <c r="A1513" s="10" t="s">
        <v>12</v>
      </c>
      <c r="B1513" s="10" t="s">
        <v>359</v>
      </c>
      <c r="C1513" s="10" t="s">
        <v>7676</v>
      </c>
      <c r="D1513" s="11" t="str">
        <f t="shared" si="1"/>
        <v>Abrir anúncio ↗</v>
      </c>
      <c r="E1513" s="12" t="s">
        <v>7677</v>
      </c>
      <c r="F1513" s="10" t="s">
        <v>29</v>
      </c>
      <c r="G1513" s="12" t="s">
        <v>4918</v>
      </c>
      <c r="H1513" s="12" t="s">
        <v>4919</v>
      </c>
      <c r="I1513" s="10"/>
      <c r="J1513" s="10"/>
      <c r="K1513" s="12"/>
    </row>
    <row r="1514" ht="15.75" customHeight="1">
      <c r="A1514" s="3" t="s">
        <v>12</v>
      </c>
      <c r="B1514" s="3" t="s">
        <v>359</v>
      </c>
      <c r="C1514" s="3" t="s">
        <v>7682</v>
      </c>
      <c r="D1514" s="8" t="str">
        <f t="shared" si="1"/>
        <v>Abrir anúncio ↗</v>
      </c>
      <c r="E1514" s="9" t="s">
        <v>7683</v>
      </c>
      <c r="F1514" s="3" t="s">
        <v>29</v>
      </c>
      <c r="G1514" s="9" t="s">
        <v>4918</v>
      </c>
      <c r="H1514" s="9" t="s">
        <v>4919</v>
      </c>
      <c r="I1514" s="3"/>
      <c r="J1514" s="3"/>
      <c r="K1514" s="9"/>
    </row>
    <row r="1515" ht="15.75" customHeight="1">
      <c r="A1515" s="10" t="s">
        <v>12</v>
      </c>
      <c r="B1515" s="10" t="s">
        <v>359</v>
      </c>
      <c r="C1515" s="10" t="s">
        <v>7686</v>
      </c>
      <c r="D1515" s="11" t="str">
        <f t="shared" si="1"/>
        <v>Abrir anúncio ↗</v>
      </c>
      <c r="E1515" s="12" t="s">
        <v>7687</v>
      </c>
      <c r="F1515" s="10" t="s">
        <v>29</v>
      </c>
      <c r="G1515" s="12" t="s">
        <v>4918</v>
      </c>
      <c r="H1515" s="12" t="s">
        <v>4919</v>
      </c>
      <c r="I1515" s="10"/>
      <c r="J1515" s="10"/>
      <c r="K1515" s="12"/>
    </row>
    <row r="1516" ht="15.75" customHeight="1">
      <c r="A1516" s="3" t="s">
        <v>12</v>
      </c>
      <c r="B1516" s="3" t="s">
        <v>359</v>
      </c>
      <c r="C1516" s="3" t="s">
        <v>7691</v>
      </c>
      <c r="D1516" s="8" t="str">
        <f t="shared" si="1"/>
        <v>Abrir anúncio ↗</v>
      </c>
      <c r="E1516" s="9" t="s">
        <v>4301</v>
      </c>
      <c r="F1516" s="3" t="s">
        <v>29</v>
      </c>
      <c r="G1516" s="9" t="s">
        <v>4918</v>
      </c>
      <c r="H1516" s="9" t="s">
        <v>4919</v>
      </c>
      <c r="I1516" s="3"/>
      <c r="J1516" s="3"/>
      <c r="K1516" s="9"/>
    </row>
    <row r="1517" ht="15.75" customHeight="1">
      <c r="A1517" s="10" t="s">
        <v>12</v>
      </c>
      <c r="B1517" s="10" t="s">
        <v>359</v>
      </c>
      <c r="C1517" s="10" t="s">
        <v>7694</v>
      </c>
      <c r="D1517" s="11" t="str">
        <f t="shared" si="1"/>
        <v>Abrir anúncio ↗</v>
      </c>
      <c r="E1517" s="12" t="s">
        <v>7696</v>
      </c>
      <c r="F1517" s="10" t="s">
        <v>29</v>
      </c>
      <c r="G1517" s="12" t="s">
        <v>4918</v>
      </c>
      <c r="H1517" s="12" t="s">
        <v>4919</v>
      </c>
      <c r="I1517" s="10"/>
      <c r="J1517" s="10"/>
      <c r="K1517" s="12"/>
    </row>
    <row r="1518" ht="15.75" customHeight="1">
      <c r="A1518" s="3" t="s">
        <v>12</v>
      </c>
      <c r="B1518" s="3" t="s">
        <v>359</v>
      </c>
      <c r="C1518" s="3" t="s">
        <v>7698</v>
      </c>
      <c r="D1518" s="8" t="str">
        <f t="shared" si="1"/>
        <v>Abrir anúncio ↗</v>
      </c>
      <c r="E1518" s="9" t="s">
        <v>7699</v>
      </c>
      <c r="F1518" s="3" t="s">
        <v>86</v>
      </c>
      <c r="G1518" s="9" t="s">
        <v>4918</v>
      </c>
      <c r="H1518" s="9" t="s">
        <v>4919</v>
      </c>
      <c r="I1518" s="3"/>
      <c r="J1518" s="3"/>
      <c r="K1518" s="9"/>
    </row>
    <row r="1519" ht="15.75" customHeight="1">
      <c r="A1519" s="10" t="s">
        <v>12</v>
      </c>
      <c r="B1519" s="10" t="s">
        <v>359</v>
      </c>
      <c r="C1519" s="10" t="s">
        <v>7701</v>
      </c>
      <c r="D1519" s="11" t="str">
        <f t="shared" si="1"/>
        <v>Abrir anúncio ↗</v>
      </c>
      <c r="E1519" s="12" t="s">
        <v>7702</v>
      </c>
      <c r="F1519" s="10" t="s">
        <v>29</v>
      </c>
      <c r="G1519" s="12" t="s">
        <v>4918</v>
      </c>
      <c r="H1519" s="12" t="s">
        <v>4919</v>
      </c>
      <c r="I1519" s="10"/>
      <c r="J1519" s="10"/>
      <c r="K1519" s="12"/>
    </row>
    <row r="1520" ht="15.75" customHeight="1">
      <c r="A1520" s="3" t="s">
        <v>12</v>
      </c>
      <c r="B1520" s="3" t="s">
        <v>359</v>
      </c>
      <c r="C1520" s="3" t="s">
        <v>7703</v>
      </c>
      <c r="D1520" s="8" t="str">
        <f t="shared" si="1"/>
        <v>Abrir anúncio ↗</v>
      </c>
      <c r="E1520" s="9" t="s">
        <v>6231</v>
      </c>
      <c r="F1520" s="3" t="s">
        <v>29</v>
      </c>
      <c r="G1520" s="9" t="s">
        <v>4918</v>
      </c>
      <c r="H1520" s="9" t="s">
        <v>4919</v>
      </c>
      <c r="I1520" s="3"/>
      <c r="J1520" s="3"/>
      <c r="K1520" s="9"/>
    </row>
    <row r="1521" ht="15.75" customHeight="1">
      <c r="A1521" s="10" t="s">
        <v>12</v>
      </c>
      <c r="B1521" s="10" t="s">
        <v>359</v>
      </c>
      <c r="C1521" s="10" t="s">
        <v>7704</v>
      </c>
      <c r="D1521" s="11" t="str">
        <f t="shared" si="1"/>
        <v>Abrir anúncio ↗</v>
      </c>
      <c r="E1521" s="12" t="s">
        <v>3562</v>
      </c>
      <c r="F1521" s="10" t="s">
        <v>29</v>
      </c>
      <c r="G1521" s="12" t="s">
        <v>4918</v>
      </c>
      <c r="H1521" s="12" t="s">
        <v>4919</v>
      </c>
      <c r="I1521" s="10"/>
      <c r="J1521" s="10"/>
      <c r="K1521" s="12"/>
    </row>
    <row r="1522" ht="15.75" customHeight="1">
      <c r="A1522" s="3" t="s">
        <v>12</v>
      </c>
      <c r="B1522" s="3" t="s">
        <v>359</v>
      </c>
      <c r="C1522" s="3" t="s">
        <v>6995</v>
      </c>
      <c r="D1522" s="8" t="str">
        <f t="shared" si="1"/>
        <v>Abrir anúncio ↗</v>
      </c>
      <c r="E1522" s="9" t="s">
        <v>5625</v>
      </c>
      <c r="F1522" s="3" t="s">
        <v>29</v>
      </c>
      <c r="G1522" s="9" t="s">
        <v>4918</v>
      </c>
      <c r="H1522" s="9" t="s">
        <v>4919</v>
      </c>
      <c r="I1522" s="3"/>
      <c r="J1522" s="3"/>
      <c r="K1522" s="9"/>
    </row>
    <row r="1523" ht="15.75" customHeight="1">
      <c r="A1523" s="10" t="s">
        <v>12</v>
      </c>
      <c r="B1523" s="10" t="s">
        <v>359</v>
      </c>
      <c r="C1523" s="10" t="s">
        <v>7709</v>
      </c>
      <c r="D1523" s="11" t="str">
        <f t="shared" si="1"/>
        <v>Abrir anúncio ↗</v>
      </c>
      <c r="E1523" s="12" t="s">
        <v>7710</v>
      </c>
      <c r="F1523" s="10" t="s">
        <v>29</v>
      </c>
      <c r="G1523" s="12" t="s">
        <v>4918</v>
      </c>
      <c r="H1523" s="12" t="s">
        <v>4919</v>
      </c>
      <c r="I1523" s="10"/>
      <c r="J1523" s="10"/>
      <c r="K1523" s="12"/>
    </row>
    <row r="1524" ht="15.75" customHeight="1">
      <c r="A1524" s="3" t="s">
        <v>12</v>
      </c>
      <c r="B1524" s="3" t="s">
        <v>359</v>
      </c>
      <c r="C1524" s="3" t="s">
        <v>7711</v>
      </c>
      <c r="D1524" s="8" t="str">
        <f t="shared" si="1"/>
        <v>Abrir anúncio ↗</v>
      </c>
      <c r="E1524" s="9" t="s">
        <v>7713</v>
      </c>
      <c r="F1524" s="3" t="s">
        <v>86</v>
      </c>
      <c r="G1524" s="9" t="s">
        <v>4918</v>
      </c>
      <c r="H1524" s="9" t="s">
        <v>4919</v>
      </c>
      <c r="I1524" s="3"/>
      <c r="J1524" s="3"/>
      <c r="K1524" s="9"/>
    </row>
    <row r="1525" ht="15.75" customHeight="1">
      <c r="A1525" s="10" t="s">
        <v>12</v>
      </c>
      <c r="B1525" s="10" t="s">
        <v>359</v>
      </c>
      <c r="C1525" s="10" t="s">
        <v>7716</v>
      </c>
      <c r="D1525" s="11" t="str">
        <f t="shared" si="1"/>
        <v>Abrir anúncio ↗</v>
      </c>
      <c r="E1525" s="12" t="s">
        <v>4885</v>
      </c>
      <c r="F1525" s="10" t="s">
        <v>29</v>
      </c>
      <c r="G1525" s="12" t="s">
        <v>4918</v>
      </c>
      <c r="H1525" s="12" t="s">
        <v>4919</v>
      </c>
      <c r="I1525" s="10"/>
      <c r="J1525" s="10"/>
      <c r="K1525" s="12"/>
    </row>
    <row r="1526" ht="15.75" customHeight="1">
      <c r="A1526" s="3" t="s">
        <v>12</v>
      </c>
      <c r="B1526" s="3" t="s">
        <v>359</v>
      </c>
      <c r="C1526" s="3" t="s">
        <v>7717</v>
      </c>
      <c r="D1526" s="8" t="str">
        <f t="shared" si="1"/>
        <v>Abrir anúncio ↗</v>
      </c>
      <c r="E1526" s="9" t="s">
        <v>7718</v>
      </c>
      <c r="F1526" s="3" t="s">
        <v>29</v>
      </c>
      <c r="G1526" s="9" t="s">
        <v>4918</v>
      </c>
      <c r="H1526" s="9" t="s">
        <v>4919</v>
      </c>
      <c r="I1526" s="3"/>
      <c r="J1526" s="3"/>
      <c r="K1526" s="9"/>
    </row>
    <row r="1527" ht="15.75" customHeight="1">
      <c r="A1527" s="10" t="s">
        <v>12</v>
      </c>
      <c r="B1527" s="10" t="s">
        <v>359</v>
      </c>
      <c r="C1527" s="10" t="s">
        <v>7719</v>
      </c>
      <c r="D1527" s="11" t="str">
        <f t="shared" si="1"/>
        <v>Abrir anúncio ↗</v>
      </c>
      <c r="E1527" s="12" t="s">
        <v>7720</v>
      </c>
      <c r="F1527" s="10" t="s">
        <v>29</v>
      </c>
      <c r="G1527" s="12" t="s">
        <v>4918</v>
      </c>
      <c r="H1527" s="12" t="s">
        <v>4919</v>
      </c>
      <c r="I1527" s="10"/>
      <c r="J1527" s="10"/>
      <c r="K1527" s="12"/>
    </row>
    <row r="1528" ht="15.75" customHeight="1">
      <c r="A1528" s="3" t="s">
        <v>12</v>
      </c>
      <c r="B1528" s="3" t="s">
        <v>359</v>
      </c>
      <c r="C1528" s="3" t="s">
        <v>7723</v>
      </c>
      <c r="D1528" s="8" t="str">
        <f t="shared" si="1"/>
        <v>Abrir anúncio ↗</v>
      </c>
      <c r="E1528" s="9" t="s">
        <v>4892</v>
      </c>
      <c r="F1528" s="3" t="s">
        <v>29</v>
      </c>
      <c r="G1528" s="9" t="s">
        <v>4918</v>
      </c>
      <c r="H1528" s="9" t="s">
        <v>4919</v>
      </c>
      <c r="I1528" s="3"/>
      <c r="J1528" s="3"/>
      <c r="K1528" s="9"/>
    </row>
    <row r="1529" ht="15.75" customHeight="1">
      <c r="A1529" s="10" t="s">
        <v>12</v>
      </c>
      <c r="B1529" s="10" t="s">
        <v>359</v>
      </c>
      <c r="C1529" s="10" t="s">
        <v>7729</v>
      </c>
      <c r="D1529" s="11" t="str">
        <f t="shared" si="1"/>
        <v>Abrir anúncio ↗</v>
      </c>
      <c r="E1529" s="12" t="s">
        <v>7730</v>
      </c>
      <c r="F1529" s="10" t="s">
        <v>86</v>
      </c>
      <c r="G1529" s="12" t="s">
        <v>4918</v>
      </c>
      <c r="H1529" s="12" t="s">
        <v>4919</v>
      </c>
      <c r="I1529" s="10"/>
      <c r="J1529" s="10"/>
      <c r="K1529" s="12"/>
    </row>
    <row r="1530" ht="15.75" customHeight="1">
      <c r="A1530" s="3" t="s">
        <v>12</v>
      </c>
      <c r="B1530" s="3" t="s">
        <v>359</v>
      </c>
      <c r="C1530" s="3" t="s">
        <v>7732</v>
      </c>
      <c r="D1530" s="8" t="str">
        <f t="shared" si="1"/>
        <v>Abrir anúncio ↗</v>
      </c>
      <c r="E1530" s="9" t="s">
        <v>7730</v>
      </c>
      <c r="F1530" s="3" t="s">
        <v>86</v>
      </c>
      <c r="G1530" s="9" t="s">
        <v>4918</v>
      </c>
      <c r="H1530" s="9" t="s">
        <v>4919</v>
      </c>
      <c r="I1530" s="3"/>
      <c r="J1530" s="3"/>
      <c r="K1530" s="9"/>
    </row>
    <row r="1531" ht="15.75" customHeight="1">
      <c r="A1531" s="10" t="s">
        <v>12</v>
      </c>
      <c r="B1531" s="10" t="s">
        <v>359</v>
      </c>
      <c r="C1531" s="10" t="s">
        <v>7044</v>
      </c>
      <c r="D1531" s="11" t="str">
        <f t="shared" si="1"/>
        <v>Abrir anúncio ↗</v>
      </c>
      <c r="E1531" s="12" t="s">
        <v>6318</v>
      </c>
      <c r="F1531" s="10" t="s">
        <v>29</v>
      </c>
      <c r="G1531" s="12" t="s">
        <v>4918</v>
      </c>
      <c r="H1531" s="12" t="s">
        <v>4919</v>
      </c>
      <c r="I1531" s="10"/>
      <c r="J1531" s="10"/>
      <c r="K1531" s="12"/>
    </row>
    <row r="1532" ht="15.75" customHeight="1">
      <c r="A1532" s="3" t="s">
        <v>12</v>
      </c>
      <c r="B1532" s="3" t="s">
        <v>359</v>
      </c>
      <c r="C1532" s="3" t="s">
        <v>7737</v>
      </c>
      <c r="D1532" s="8" t="str">
        <f t="shared" si="1"/>
        <v>Abrir anúncio ↗</v>
      </c>
      <c r="E1532" s="9" t="s">
        <v>7713</v>
      </c>
      <c r="F1532" s="3" t="s">
        <v>86</v>
      </c>
      <c r="G1532" s="9" t="s">
        <v>4918</v>
      </c>
      <c r="H1532" s="9" t="s">
        <v>4919</v>
      </c>
      <c r="I1532" s="3"/>
      <c r="J1532" s="3"/>
      <c r="K1532" s="9"/>
    </row>
    <row r="1533" ht="15.75" customHeight="1">
      <c r="A1533" s="10" t="s">
        <v>12</v>
      </c>
      <c r="B1533" s="10" t="s">
        <v>359</v>
      </c>
      <c r="C1533" s="10" t="s">
        <v>6251</v>
      </c>
      <c r="D1533" s="11" t="str">
        <f t="shared" si="1"/>
        <v>Abrir anúncio ↗</v>
      </c>
      <c r="E1533" s="12" t="s">
        <v>3592</v>
      </c>
      <c r="F1533" s="10" t="s">
        <v>86</v>
      </c>
      <c r="G1533" s="12" t="s">
        <v>4918</v>
      </c>
      <c r="H1533" s="12" t="s">
        <v>4919</v>
      </c>
      <c r="I1533" s="10"/>
      <c r="J1533" s="10"/>
      <c r="K1533" s="12"/>
    </row>
  </sheetData>
  <autoFilter ref="$A$1:$K$1533"/>
  <conditionalFormatting sqref="A2:A1533">
    <cfRule type="expression" dxfId="0" priority="1">
      <formula>$A2="Não verificado"</formula>
    </cfRule>
  </conditionalFormatting>
  <conditionalFormatting sqref="A2:A1533">
    <cfRule type="expression" dxfId="1" priority="2">
      <formula>$A2="Em andamento"</formula>
    </cfRule>
  </conditionalFormatting>
  <conditionalFormatting sqref="A2:A1533">
    <cfRule type="expression" dxfId="2" priority="3">
      <formula>$A2="Corrigido"</formula>
    </cfRule>
  </conditionalFormatting>
  <conditionalFormatting sqref="A2:A1533">
    <cfRule type="expression" dxfId="3" priority="4">
      <formula>$A2="Não se aplica"</formula>
    </cfRule>
  </conditionalFormatting>
  <conditionalFormatting sqref="B2:B1533">
    <cfRule type="expression" dxfId="4" priority="5">
      <formula>$B2="Crítico"</formula>
    </cfRule>
  </conditionalFormatting>
  <conditionalFormatting sqref="B2:B1533">
    <cfRule type="expression" dxfId="5" priority="6">
      <formula>$B2="Alto"</formula>
    </cfRule>
  </conditionalFormatting>
  <conditionalFormatting sqref="B2:B1533">
    <cfRule type="expression" dxfId="6" priority="7">
      <formula>$B2="Médio"</formula>
    </cfRule>
  </conditionalFormatting>
  <conditionalFormatting sqref="B2:B1533">
    <cfRule type="expression" dxfId="7" priority="8">
      <formula>$B2="Baixo"</formula>
    </cfRule>
  </conditionalFormatting>
  <conditionalFormatting sqref="E2:K1533">
    <cfRule type="expression" dxfId="8" priority="9">
      <formula>$A2="Corrigido"</formula>
    </cfRule>
  </conditionalFormatting>
  <dataValidations>
    <dataValidation type="list" allowBlank="1" sqref="A2:A1533">
      <formula1>"Não verificado,Em andamento,Corrigido,Não se aplica"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4" width="14.0"/>
    <col customWidth="1" min="5" max="5" width="45.0"/>
    <col customWidth="1" min="6" max="6" width="13.0"/>
    <col customWidth="1" min="7" max="7" width="45.0"/>
    <col customWidth="1" min="8" max="8" width="55.0"/>
    <col customWidth="1" min="9" max="9" width="16.0"/>
    <col customWidth="1" min="10" max="10" width="12.0"/>
    <col customWidth="1" min="11" max="11" width="30.0"/>
    <col customWidth="1" min="12" max="26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3" t="s">
        <v>12</v>
      </c>
      <c r="B2" s="3" t="s">
        <v>14</v>
      </c>
      <c r="C2" s="3" t="s">
        <v>152</v>
      </c>
      <c r="D2" s="8" t="str">
        <f t="shared" ref="D2:D425" si="1">HYPERLINK("https://www.mercadolivre.com.br/anuncios?page=1&amp;sort=DEFAULT&amp;search="&amp;C2,"Abrir anúncio ↗")</f>
        <v>Abrir anúncio ↗</v>
      </c>
      <c r="E2" s="9" t="s">
        <v>164</v>
      </c>
      <c r="F2" s="3" t="s">
        <v>29</v>
      </c>
      <c r="G2" s="9" t="s">
        <v>167</v>
      </c>
      <c r="H2" s="9" t="s">
        <v>169</v>
      </c>
      <c r="I2" s="3"/>
      <c r="J2" s="3"/>
      <c r="K2" s="9"/>
    </row>
    <row r="3">
      <c r="A3" s="10" t="s">
        <v>12</v>
      </c>
      <c r="B3" s="10" t="s">
        <v>82</v>
      </c>
      <c r="C3" s="10" t="s">
        <v>171</v>
      </c>
      <c r="D3" s="11" t="str">
        <f t="shared" si="1"/>
        <v>Abrir anúncio ↗</v>
      </c>
      <c r="E3" s="12" t="s">
        <v>173</v>
      </c>
      <c r="F3" s="10" t="s">
        <v>86</v>
      </c>
      <c r="G3" s="12" t="s">
        <v>177</v>
      </c>
      <c r="H3" s="12" t="s">
        <v>178</v>
      </c>
      <c r="I3" s="10"/>
      <c r="J3" s="10"/>
      <c r="K3" s="12"/>
    </row>
    <row r="4">
      <c r="A4" s="3" t="s">
        <v>12</v>
      </c>
      <c r="B4" s="3" t="s">
        <v>82</v>
      </c>
      <c r="C4" s="3" t="s">
        <v>181</v>
      </c>
      <c r="D4" s="8" t="str">
        <f t="shared" si="1"/>
        <v>Abrir anúncio ↗</v>
      </c>
      <c r="E4" s="9" t="s">
        <v>184</v>
      </c>
      <c r="F4" s="3" t="s">
        <v>86</v>
      </c>
      <c r="G4" s="9" t="s">
        <v>177</v>
      </c>
      <c r="H4" s="9" t="s">
        <v>178</v>
      </c>
      <c r="I4" s="3"/>
      <c r="J4" s="3"/>
      <c r="K4" s="9"/>
    </row>
    <row r="5">
      <c r="A5" s="10" t="s">
        <v>12</v>
      </c>
      <c r="B5" s="10" t="s">
        <v>82</v>
      </c>
      <c r="C5" s="10" t="s">
        <v>191</v>
      </c>
      <c r="D5" s="11" t="str">
        <f t="shared" si="1"/>
        <v>Abrir anúncio ↗</v>
      </c>
      <c r="E5" s="12" t="s">
        <v>194</v>
      </c>
      <c r="F5" s="10" t="s">
        <v>86</v>
      </c>
      <c r="G5" s="12" t="s">
        <v>177</v>
      </c>
      <c r="H5" s="12" t="s">
        <v>178</v>
      </c>
      <c r="I5" s="10"/>
      <c r="J5" s="10"/>
      <c r="K5" s="12"/>
    </row>
    <row r="6">
      <c r="A6" s="3" t="s">
        <v>12</v>
      </c>
      <c r="B6" s="3" t="s">
        <v>82</v>
      </c>
      <c r="C6" s="3" t="s">
        <v>201</v>
      </c>
      <c r="D6" s="8" t="str">
        <f t="shared" si="1"/>
        <v>Abrir anúncio ↗</v>
      </c>
      <c r="E6" s="9" t="s">
        <v>202</v>
      </c>
      <c r="F6" s="3" t="s">
        <v>86</v>
      </c>
      <c r="G6" s="9" t="s">
        <v>177</v>
      </c>
      <c r="H6" s="9" t="s">
        <v>178</v>
      </c>
      <c r="I6" s="3"/>
      <c r="J6" s="3"/>
      <c r="K6" s="9"/>
    </row>
    <row r="7">
      <c r="A7" s="10" t="s">
        <v>12</v>
      </c>
      <c r="B7" s="10" t="s">
        <v>82</v>
      </c>
      <c r="C7" s="10" t="s">
        <v>208</v>
      </c>
      <c r="D7" s="11" t="str">
        <f t="shared" si="1"/>
        <v>Abrir anúncio ↗</v>
      </c>
      <c r="E7" s="12" t="s">
        <v>211</v>
      </c>
      <c r="F7" s="10" t="s">
        <v>86</v>
      </c>
      <c r="G7" s="12" t="s">
        <v>212</v>
      </c>
      <c r="H7" s="12" t="s">
        <v>213</v>
      </c>
      <c r="I7" s="10"/>
      <c r="J7" s="10"/>
      <c r="K7" s="12"/>
    </row>
    <row r="8">
      <c r="A8" s="3" t="s">
        <v>12</v>
      </c>
      <c r="B8" s="3" t="s">
        <v>82</v>
      </c>
      <c r="C8" s="3" t="s">
        <v>220</v>
      </c>
      <c r="D8" s="8" t="str">
        <f t="shared" si="1"/>
        <v>Abrir anúncio ↗</v>
      </c>
      <c r="E8" s="9" t="s">
        <v>222</v>
      </c>
      <c r="F8" s="3" t="s">
        <v>86</v>
      </c>
      <c r="G8" s="9" t="s">
        <v>177</v>
      </c>
      <c r="H8" s="9" t="s">
        <v>178</v>
      </c>
      <c r="I8" s="3"/>
      <c r="J8" s="3"/>
      <c r="K8" s="9"/>
    </row>
    <row r="9">
      <c r="A9" s="10" t="s">
        <v>12</v>
      </c>
      <c r="B9" s="10" t="s">
        <v>82</v>
      </c>
      <c r="C9" s="10" t="s">
        <v>229</v>
      </c>
      <c r="D9" s="11" t="str">
        <f t="shared" si="1"/>
        <v>Abrir anúncio ↗</v>
      </c>
      <c r="E9" s="12" t="s">
        <v>230</v>
      </c>
      <c r="F9" s="10" t="s">
        <v>86</v>
      </c>
      <c r="G9" s="12" t="s">
        <v>177</v>
      </c>
      <c r="H9" s="12" t="s">
        <v>178</v>
      </c>
      <c r="I9" s="10"/>
      <c r="J9" s="10"/>
      <c r="K9" s="12"/>
    </row>
    <row r="10">
      <c r="A10" s="3" t="s">
        <v>12</v>
      </c>
      <c r="B10" s="3" t="s">
        <v>82</v>
      </c>
      <c r="C10" s="3" t="s">
        <v>236</v>
      </c>
      <c r="D10" s="8" t="str">
        <f t="shared" si="1"/>
        <v>Abrir anúncio ↗</v>
      </c>
      <c r="E10" s="9" t="s">
        <v>239</v>
      </c>
      <c r="F10" s="3" t="s">
        <v>86</v>
      </c>
      <c r="G10" s="9" t="s">
        <v>212</v>
      </c>
      <c r="H10" s="9" t="s">
        <v>213</v>
      </c>
      <c r="I10" s="3"/>
      <c r="J10" s="3"/>
      <c r="K10" s="9"/>
    </row>
    <row r="11">
      <c r="A11" s="10" t="s">
        <v>12</v>
      </c>
      <c r="B11" s="10" t="s">
        <v>82</v>
      </c>
      <c r="C11" s="10" t="s">
        <v>245</v>
      </c>
      <c r="D11" s="11" t="str">
        <f t="shared" si="1"/>
        <v>Abrir anúncio ↗</v>
      </c>
      <c r="E11" s="12" t="s">
        <v>246</v>
      </c>
      <c r="F11" s="10" t="s">
        <v>86</v>
      </c>
      <c r="G11" s="12" t="s">
        <v>212</v>
      </c>
      <c r="H11" s="12" t="s">
        <v>213</v>
      </c>
      <c r="I11" s="10"/>
      <c r="J11" s="10"/>
      <c r="K11" s="12"/>
    </row>
    <row r="12">
      <c r="A12" s="3" t="s">
        <v>12</v>
      </c>
      <c r="B12" s="3" t="s">
        <v>82</v>
      </c>
      <c r="C12" s="3" t="s">
        <v>251</v>
      </c>
      <c r="D12" s="8" t="str">
        <f t="shared" si="1"/>
        <v>Abrir anúncio ↗</v>
      </c>
      <c r="E12" s="9" t="s">
        <v>253</v>
      </c>
      <c r="F12" s="3" t="s">
        <v>86</v>
      </c>
      <c r="G12" s="9" t="s">
        <v>177</v>
      </c>
      <c r="H12" s="9" t="s">
        <v>178</v>
      </c>
      <c r="I12" s="3"/>
      <c r="J12" s="3"/>
      <c r="K12" s="9"/>
    </row>
    <row r="13">
      <c r="A13" s="10" t="s">
        <v>12</v>
      </c>
      <c r="B13" s="10" t="s">
        <v>82</v>
      </c>
      <c r="C13" s="10" t="s">
        <v>262</v>
      </c>
      <c r="D13" s="11" t="str">
        <f t="shared" si="1"/>
        <v>Abrir anúncio ↗</v>
      </c>
      <c r="E13" s="12" t="s">
        <v>264</v>
      </c>
      <c r="F13" s="10" t="s">
        <v>86</v>
      </c>
      <c r="G13" s="12" t="s">
        <v>177</v>
      </c>
      <c r="H13" s="12" t="s">
        <v>178</v>
      </c>
      <c r="I13" s="10"/>
      <c r="J13" s="10"/>
      <c r="K13" s="12"/>
    </row>
    <row r="14">
      <c r="A14" s="3" t="s">
        <v>12</v>
      </c>
      <c r="B14" s="3" t="s">
        <v>82</v>
      </c>
      <c r="C14" s="3" t="s">
        <v>270</v>
      </c>
      <c r="D14" s="8" t="str">
        <f t="shared" si="1"/>
        <v>Abrir anúncio ↗</v>
      </c>
      <c r="E14" s="9" t="s">
        <v>272</v>
      </c>
      <c r="F14" s="3" t="s">
        <v>86</v>
      </c>
      <c r="G14" s="9" t="s">
        <v>177</v>
      </c>
      <c r="H14" s="9" t="s">
        <v>178</v>
      </c>
      <c r="I14" s="3"/>
      <c r="J14" s="3"/>
      <c r="K14" s="9"/>
    </row>
    <row r="15">
      <c r="A15" s="10" t="s">
        <v>12</v>
      </c>
      <c r="B15" s="10" t="s">
        <v>82</v>
      </c>
      <c r="C15" s="10" t="s">
        <v>279</v>
      </c>
      <c r="D15" s="11" t="str">
        <f t="shared" si="1"/>
        <v>Abrir anúncio ↗</v>
      </c>
      <c r="E15" s="12" t="s">
        <v>282</v>
      </c>
      <c r="F15" s="10" t="s">
        <v>86</v>
      </c>
      <c r="G15" s="12" t="s">
        <v>177</v>
      </c>
      <c r="H15" s="12" t="s">
        <v>178</v>
      </c>
      <c r="I15" s="10"/>
      <c r="J15" s="10"/>
      <c r="K15" s="12"/>
    </row>
    <row r="16">
      <c r="A16" s="3" t="s">
        <v>12</v>
      </c>
      <c r="B16" s="3" t="s">
        <v>82</v>
      </c>
      <c r="C16" s="3" t="s">
        <v>287</v>
      </c>
      <c r="D16" s="8" t="str">
        <f t="shared" si="1"/>
        <v>Abrir anúncio ↗</v>
      </c>
      <c r="E16" s="9" t="s">
        <v>288</v>
      </c>
      <c r="F16" s="3" t="s">
        <v>86</v>
      </c>
      <c r="G16" s="9" t="s">
        <v>212</v>
      </c>
      <c r="H16" s="9" t="s">
        <v>213</v>
      </c>
      <c r="I16" s="3"/>
      <c r="J16" s="3"/>
      <c r="K16" s="9"/>
    </row>
    <row r="17">
      <c r="A17" s="10" t="s">
        <v>12</v>
      </c>
      <c r="B17" s="10" t="s">
        <v>82</v>
      </c>
      <c r="C17" s="10" t="s">
        <v>295</v>
      </c>
      <c r="D17" s="11" t="str">
        <f t="shared" si="1"/>
        <v>Abrir anúncio ↗</v>
      </c>
      <c r="E17" s="12" t="s">
        <v>300</v>
      </c>
      <c r="F17" s="10" t="s">
        <v>86</v>
      </c>
      <c r="G17" s="12" t="s">
        <v>177</v>
      </c>
      <c r="H17" s="12" t="s">
        <v>178</v>
      </c>
      <c r="I17" s="10"/>
      <c r="J17" s="10"/>
      <c r="K17" s="12"/>
    </row>
    <row r="18">
      <c r="A18" s="3" t="s">
        <v>12</v>
      </c>
      <c r="B18" s="3" t="s">
        <v>82</v>
      </c>
      <c r="C18" s="3" t="s">
        <v>306</v>
      </c>
      <c r="D18" s="8" t="str">
        <f t="shared" si="1"/>
        <v>Abrir anúncio ↗</v>
      </c>
      <c r="E18" s="9" t="s">
        <v>310</v>
      </c>
      <c r="F18" s="3" t="s">
        <v>86</v>
      </c>
      <c r="G18" s="9" t="s">
        <v>177</v>
      </c>
      <c r="H18" s="9" t="s">
        <v>178</v>
      </c>
      <c r="I18" s="3"/>
      <c r="J18" s="3"/>
      <c r="K18" s="9"/>
    </row>
    <row r="19">
      <c r="A19" s="10" t="s">
        <v>12</v>
      </c>
      <c r="B19" s="10" t="s">
        <v>82</v>
      </c>
      <c r="C19" s="10" t="s">
        <v>316</v>
      </c>
      <c r="D19" s="11" t="str">
        <f t="shared" si="1"/>
        <v>Abrir anúncio ↗</v>
      </c>
      <c r="E19" s="12" t="s">
        <v>318</v>
      </c>
      <c r="F19" s="10" t="s">
        <v>86</v>
      </c>
      <c r="G19" s="12" t="s">
        <v>212</v>
      </c>
      <c r="H19" s="12" t="s">
        <v>213</v>
      </c>
      <c r="I19" s="10"/>
      <c r="J19" s="10"/>
      <c r="K19" s="12"/>
    </row>
    <row r="20">
      <c r="A20" s="3" t="s">
        <v>12</v>
      </c>
      <c r="B20" s="3" t="s">
        <v>82</v>
      </c>
      <c r="C20" s="3" t="s">
        <v>326</v>
      </c>
      <c r="D20" s="8" t="str">
        <f t="shared" si="1"/>
        <v>Abrir anúncio ↗</v>
      </c>
      <c r="E20" s="9" t="s">
        <v>327</v>
      </c>
      <c r="F20" s="3" t="s">
        <v>86</v>
      </c>
      <c r="G20" s="9" t="s">
        <v>212</v>
      </c>
      <c r="H20" s="9" t="s">
        <v>213</v>
      </c>
      <c r="I20" s="3"/>
      <c r="J20" s="3"/>
      <c r="K20" s="9"/>
    </row>
    <row r="21" ht="15.75" customHeight="1">
      <c r="A21" s="10" t="s">
        <v>12</v>
      </c>
      <c r="B21" s="10" t="s">
        <v>82</v>
      </c>
      <c r="C21" s="10" t="s">
        <v>335</v>
      </c>
      <c r="D21" s="11" t="str">
        <f t="shared" si="1"/>
        <v>Abrir anúncio ↗</v>
      </c>
      <c r="E21" s="12" t="s">
        <v>310</v>
      </c>
      <c r="F21" s="10" t="s">
        <v>86</v>
      </c>
      <c r="G21" s="12" t="s">
        <v>177</v>
      </c>
      <c r="H21" s="12" t="s">
        <v>178</v>
      </c>
      <c r="I21" s="10"/>
      <c r="J21" s="10"/>
      <c r="K21" s="12"/>
    </row>
    <row r="22" ht="15.75" customHeight="1">
      <c r="A22" s="3" t="s">
        <v>12</v>
      </c>
      <c r="B22" s="3" t="s">
        <v>82</v>
      </c>
      <c r="C22" s="3" t="s">
        <v>345</v>
      </c>
      <c r="D22" s="8" t="str">
        <f t="shared" si="1"/>
        <v>Abrir anúncio ↗</v>
      </c>
      <c r="E22" s="9" t="s">
        <v>347</v>
      </c>
      <c r="F22" s="3" t="s">
        <v>86</v>
      </c>
      <c r="G22" s="9" t="s">
        <v>212</v>
      </c>
      <c r="H22" s="9" t="s">
        <v>213</v>
      </c>
      <c r="I22" s="3"/>
      <c r="J22" s="3"/>
      <c r="K22" s="9"/>
    </row>
    <row r="23" ht="15.75" customHeight="1">
      <c r="A23" s="10" t="s">
        <v>12</v>
      </c>
      <c r="B23" s="10" t="s">
        <v>82</v>
      </c>
      <c r="C23" s="10" t="s">
        <v>351</v>
      </c>
      <c r="D23" s="11" t="str">
        <f t="shared" si="1"/>
        <v>Abrir anúncio ↗</v>
      </c>
      <c r="E23" s="12" t="s">
        <v>355</v>
      </c>
      <c r="F23" s="10" t="s">
        <v>86</v>
      </c>
      <c r="G23" s="12" t="s">
        <v>177</v>
      </c>
      <c r="H23" s="12" t="s">
        <v>178</v>
      </c>
      <c r="I23" s="10"/>
      <c r="J23" s="10"/>
      <c r="K23" s="12"/>
    </row>
    <row r="24" ht="15.75" customHeight="1">
      <c r="A24" s="3" t="s">
        <v>12</v>
      </c>
      <c r="B24" s="3" t="s">
        <v>82</v>
      </c>
      <c r="C24" s="3" t="s">
        <v>361</v>
      </c>
      <c r="D24" s="8" t="str">
        <f t="shared" si="1"/>
        <v>Abrir anúncio ↗</v>
      </c>
      <c r="E24" s="9" t="s">
        <v>365</v>
      </c>
      <c r="F24" s="3" t="s">
        <v>86</v>
      </c>
      <c r="G24" s="9" t="s">
        <v>177</v>
      </c>
      <c r="H24" s="9" t="s">
        <v>178</v>
      </c>
      <c r="I24" s="3"/>
      <c r="J24" s="3"/>
      <c r="K24" s="9"/>
    </row>
    <row r="25" ht="15.75" customHeight="1">
      <c r="A25" s="10" t="s">
        <v>12</v>
      </c>
      <c r="B25" s="10" t="s">
        <v>82</v>
      </c>
      <c r="C25" s="10" t="s">
        <v>370</v>
      </c>
      <c r="D25" s="11" t="str">
        <f t="shared" si="1"/>
        <v>Abrir anúncio ↗</v>
      </c>
      <c r="E25" s="12" t="s">
        <v>372</v>
      </c>
      <c r="F25" s="10" t="s">
        <v>86</v>
      </c>
      <c r="G25" s="12" t="s">
        <v>177</v>
      </c>
      <c r="H25" s="12" t="s">
        <v>178</v>
      </c>
      <c r="I25" s="10"/>
      <c r="J25" s="10"/>
      <c r="K25" s="12"/>
    </row>
    <row r="26" ht="15.75" customHeight="1">
      <c r="A26" s="3" t="s">
        <v>12</v>
      </c>
      <c r="B26" s="3" t="s">
        <v>82</v>
      </c>
      <c r="C26" s="3" t="s">
        <v>378</v>
      </c>
      <c r="D26" s="8" t="str">
        <f t="shared" si="1"/>
        <v>Abrir anúncio ↗</v>
      </c>
      <c r="E26" s="9" t="s">
        <v>380</v>
      </c>
      <c r="F26" s="3" t="s">
        <v>86</v>
      </c>
      <c r="G26" s="9" t="s">
        <v>177</v>
      </c>
      <c r="H26" s="9" t="s">
        <v>178</v>
      </c>
      <c r="I26" s="3"/>
      <c r="J26" s="3"/>
      <c r="K26" s="9"/>
    </row>
    <row r="27" ht="15.75" customHeight="1">
      <c r="A27" s="10" t="s">
        <v>12</v>
      </c>
      <c r="B27" s="10" t="s">
        <v>82</v>
      </c>
      <c r="C27" s="10" t="s">
        <v>387</v>
      </c>
      <c r="D27" s="11" t="str">
        <f t="shared" si="1"/>
        <v>Abrir anúncio ↗</v>
      </c>
      <c r="E27" s="12" t="s">
        <v>389</v>
      </c>
      <c r="F27" s="10" t="s">
        <v>86</v>
      </c>
      <c r="G27" s="12" t="s">
        <v>177</v>
      </c>
      <c r="H27" s="12" t="s">
        <v>178</v>
      </c>
      <c r="I27" s="10"/>
      <c r="J27" s="10"/>
      <c r="K27" s="12"/>
    </row>
    <row r="28" ht="15.75" customHeight="1">
      <c r="A28" s="3" t="s">
        <v>12</v>
      </c>
      <c r="B28" s="3" t="s">
        <v>82</v>
      </c>
      <c r="C28" s="3" t="s">
        <v>392</v>
      </c>
      <c r="D28" s="8" t="str">
        <f t="shared" si="1"/>
        <v>Abrir anúncio ↗</v>
      </c>
      <c r="E28" s="9" t="s">
        <v>394</v>
      </c>
      <c r="F28" s="3" t="s">
        <v>86</v>
      </c>
      <c r="G28" s="9" t="s">
        <v>177</v>
      </c>
      <c r="H28" s="9" t="s">
        <v>178</v>
      </c>
      <c r="I28" s="3"/>
      <c r="J28" s="3"/>
      <c r="K28" s="9"/>
    </row>
    <row r="29" ht="15.75" customHeight="1">
      <c r="A29" s="10" t="s">
        <v>12</v>
      </c>
      <c r="B29" s="10" t="s">
        <v>82</v>
      </c>
      <c r="C29" s="10" t="s">
        <v>399</v>
      </c>
      <c r="D29" s="11" t="str">
        <f t="shared" si="1"/>
        <v>Abrir anúncio ↗</v>
      </c>
      <c r="E29" s="12" t="s">
        <v>403</v>
      </c>
      <c r="F29" s="10" t="s">
        <v>86</v>
      </c>
      <c r="G29" s="12" t="s">
        <v>177</v>
      </c>
      <c r="H29" s="12" t="s">
        <v>178</v>
      </c>
      <c r="I29" s="10"/>
      <c r="J29" s="10"/>
      <c r="K29" s="12"/>
    </row>
    <row r="30" ht="15.75" customHeight="1">
      <c r="A30" s="3" t="s">
        <v>12</v>
      </c>
      <c r="B30" s="3" t="s">
        <v>82</v>
      </c>
      <c r="C30" s="3" t="s">
        <v>406</v>
      </c>
      <c r="D30" s="8" t="str">
        <f t="shared" si="1"/>
        <v>Abrir anúncio ↗</v>
      </c>
      <c r="E30" s="9" t="s">
        <v>410</v>
      </c>
      <c r="F30" s="3" t="s">
        <v>86</v>
      </c>
      <c r="G30" s="9" t="s">
        <v>177</v>
      </c>
      <c r="H30" s="9" t="s">
        <v>178</v>
      </c>
      <c r="I30" s="3"/>
      <c r="J30" s="3"/>
      <c r="K30" s="9"/>
    </row>
    <row r="31" ht="15.75" customHeight="1">
      <c r="A31" s="10" t="s">
        <v>12</v>
      </c>
      <c r="B31" s="10" t="s">
        <v>82</v>
      </c>
      <c r="C31" s="10" t="s">
        <v>413</v>
      </c>
      <c r="D31" s="11" t="str">
        <f t="shared" si="1"/>
        <v>Abrir anúncio ↗</v>
      </c>
      <c r="E31" s="12" t="s">
        <v>415</v>
      </c>
      <c r="F31" s="10" t="s">
        <v>86</v>
      </c>
      <c r="G31" s="12" t="s">
        <v>177</v>
      </c>
      <c r="H31" s="12" t="s">
        <v>178</v>
      </c>
      <c r="I31" s="10"/>
      <c r="J31" s="10"/>
      <c r="K31" s="12"/>
    </row>
    <row r="32" ht="15.75" customHeight="1">
      <c r="A32" s="3" t="s">
        <v>12</v>
      </c>
      <c r="B32" s="3" t="s">
        <v>82</v>
      </c>
      <c r="C32" s="3" t="s">
        <v>419</v>
      </c>
      <c r="D32" s="8" t="str">
        <f t="shared" si="1"/>
        <v>Abrir anúncio ↗</v>
      </c>
      <c r="E32" s="9" t="s">
        <v>422</v>
      </c>
      <c r="F32" s="3" t="s">
        <v>86</v>
      </c>
      <c r="G32" s="9" t="s">
        <v>177</v>
      </c>
      <c r="H32" s="9" t="s">
        <v>178</v>
      </c>
      <c r="I32" s="3"/>
      <c r="J32" s="3"/>
      <c r="K32" s="9"/>
    </row>
    <row r="33" ht="15.75" customHeight="1">
      <c r="A33" s="10" t="s">
        <v>12</v>
      </c>
      <c r="B33" s="10" t="s">
        <v>82</v>
      </c>
      <c r="C33" s="10" t="s">
        <v>426</v>
      </c>
      <c r="D33" s="11" t="str">
        <f t="shared" si="1"/>
        <v>Abrir anúncio ↗</v>
      </c>
      <c r="E33" s="12" t="s">
        <v>429</v>
      </c>
      <c r="F33" s="10" t="s">
        <v>86</v>
      </c>
      <c r="G33" s="12" t="s">
        <v>177</v>
      </c>
      <c r="H33" s="12" t="s">
        <v>178</v>
      </c>
      <c r="I33" s="10"/>
      <c r="J33" s="10"/>
      <c r="K33" s="12"/>
    </row>
    <row r="34" ht="15.75" customHeight="1">
      <c r="A34" s="3" t="s">
        <v>12</v>
      </c>
      <c r="B34" s="3" t="s">
        <v>82</v>
      </c>
      <c r="C34" s="3" t="s">
        <v>433</v>
      </c>
      <c r="D34" s="8" t="str">
        <f t="shared" si="1"/>
        <v>Abrir anúncio ↗</v>
      </c>
      <c r="E34" s="9" t="s">
        <v>434</v>
      </c>
      <c r="F34" s="3" t="s">
        <v>86</v>
      </c>
      <c r="G34" s="9" t="s">
        <v>177</v>
      </c>
      <c r="H34" s="9" t="s">
        <v>178</v>
      </c>
      <c r="I34" s="3"/>
      <c r="J34" s="3"/>
      <c r="K34" s="9"/>
    </row>
    <row r="35" ht="15.75" customHeight="1">
      <c r="A35" s="10" t="s">
        <v>12</v>
      </c>
      <c r="B35" s="10" t="s">
        <v>82</v>
      </c>
      <c r="C35" s="10" t="s">
        <v>440</v>
      </c>
      <c r="D35" s="11" t="str">
        <f t="shared" si="1"/>
        <v>Abrir anúncio ↗</v>
      </c>
      <c r="E35" s="12" t="s">
        <v>444</v>
      </c>
      <c r="F35" s="10" t="s">
        <v>29</v>
      </c>
      <c r="G35" s="12" t="s">
        <v>177</v>
      </c>
      <c r="H35" s="12" t="s">
        <v>178</v>
      </c>
      <c r="I35" s="10"/>
      <c r="J35" s="10"/>
      <c r="K35" s="12"/>
    </row>
    <row r="36" ht="15.75" customHeight="1">
      <c r="A36" s="3" t="s">
        <v>12</v>
      </c>
      <c r="B36" s="3" t="s">
        <v>82</v>
      </c>
      <c r="C36" s="3" t="s">
        <v>449</v>
      </c>
      <c r="D36" s="8" t="str">
        <f t="shared" si="1"/>
        <v>Abrir anúncio ↗</v>
      </c>
      <c r="E36" s="9" t="s">
        <v>451</v>
      </c>
      <c r="F36" s="3" t="s">
        <v>86</v>
      </c>
      <c r="G36" s="9" t="s">
        <v>177</v>
      </c>
      <c r="H36" s="9" t="s">
        <v>178</v>
      </c>
      <c r="I36" s="3"/>
      <c r="J36" s="3"/>
      <c r="K36" s="9"/>
    </row>
    <row r="37" ht="15.75" customHeight="1">
      <c r="A37" s="10" t="s">
        <v>12</v>
      </c>
      <c r="B37" s="10" t="s">
        <v>82</v>
      </c>
      <c r="C37" s="10" t="s">
        <v>455</v>
      </c>
      <c r="D37" s="11" t="str">
        <f t="shared" si="1"/>
        <v>Abrir anúncio ↗</v>
      </c>
      <c r="E37" s="12" t="s">
        <v>459</v>
      </c>
      <c r="F37" s="10" t="s">
        <v>86</v>
      </c>
      <c r="G37" s="12" t="s">
        <v>177</v>
      </c>
      <c r="H37" s="12" t="s">
        <v>178</v>
      </c>
      <c r="I37" s="10"/>
      <c r="J37" s="10"/>
      <c r="K37" s="12"/>
    </row>
    <row r="38" ht="15.75" customHeight="1">
      <c r="A38" s="3" t="s">
        <v>12</v>
      </c>
      <c r="B38" s="3" t="s">
        <v>82</v>
      </c>
      <c r="C38" s="3" t="s">
        <v>465</v>
      </c>
      <c r="D38" s="8" t="str">
        <f t="shared" si="1"/>
        <v>Abrir anúncio ↗</v>
      </c>
      <c r="E38" s="9" t="s">
        <v>467</v>
      </c>
      <c r="F38" s="3" t="s">
        <v>29</v>
      </c>
      <c r="G38" s="9" t="s">
        <v>470</v>
      </c>
      <c r="H38" s="9" t="s">
        <v>472</v>
      </c>
      <c r="I38" s="3"/>
      <c r="J38" s="3"/>
      <c r="K38" s="9"/>
    </row>
    <row r="39" ht="15.75" customHeight="1">
      <c r="A39" s="10" t="s">
        <v>12</v>
      </c>
      <c r="B39" s="10" t="s">
        <v>82</v>
      </c>
      <c r="C39" s="10" t="s">
        <v>477</v>
      </c>
      <c r="D39" s="11" t="str">
        <f t="shared" si="1"/>
        <v>Abrir anúncio ↗</v>
      </c>
      <c r="E39" s="12" t="s">
        <v>479</v>
      </c>
      <c r="F39" s="10" t="s">
        <v>86</v>
      </c>
      <c r="G39" s="12" t="s">
        <v>177</v>
      </c>
      <c r="H39" s="12" t="s">
        <v>178</v>
      </c>
      <c r="I39" s="10"/>
      <c r="J39" s="10"/>
      <c r="K39" s="12"/>
    </row>
    <row r="40" ht="15.75" customHeight="1">
      <c r="A40" s="3" t="s">
        <v>12</v>
      </c>
      <c r="B40" s="3" t="s">
        <v>82</v>
      </c>
      <c r="C40" s="3" t="s">
        <v>486</v>
      </c>
      <c r="D40" s="8" t="str">
        <f t="shared" si="1"/>
        <v>Abrir anúncio ↗</v>
      </c>
      <c r="E40" s="9" t="s">
        <v>490</v>
      </c>
      <c r="F40" s="3" t="s">
        <v>86</v>
      </c>
      <c r="G40" s="9" t="s">
        <v>177</v>
      </c>
      <c r="H40" s="9" t="s">
        <v>178</v>
      </c>
      <c r="I40" s="3"/>
      <c r="J40" s="3"/>
      <c r="K40" s="9"/>
    </row>
    <row r="41" ht="15.75" customHeight="1">
      <c r="A41" s="10" t="s">
        <v>12</v>
      </c>
      <c r="B41" s="10" t="s">
        <v>82</v>
      </c>
      <c r="C41" s="10" t="s">
        <v>497</v>
      </c>
      <c r="D41" s="11" t="str">
        <f t="shared" si="1"/>
        <v>Abrir anúncio ↗</v>
      </c>
      <c r="E41" s="12" t="s">
        <v>499</v>
      </c>
      <c r="F41" s="10" t="s">
        <v>86</v>
      </c>
      <c r="G41" s="12" t="s">
        <v>177</v>
      </c>
      <c r="H41" s="12" t="s">
        <v>178</v>
      </c>
      <c r="I41" s="10"/>
      <c r="J41" s="10"/>
      <c r="K41" s="12"/>
    </row>
    <row r="42" ht="15.75" customHeight="1">
      <c r="A42" s="3" t="s">
        <v>12</v>
      </c>
      <c r="B42" s="3" t="s">
        <v>82</v>
      </c>
      <c r="C42" s="3" t="s">
        <v>503</v>
      </c>
      <c r="D42" s="8" t="str">
        <f t="shared" si="1"/>
        <v>Abrir anúncio ↗</v>
      </c>
      <c r="E42" s="9" t="s">
        <v>506</v>
      </c>
      <c r="F42" s="3" t="s">
        <v>86</v>
      </c>
      <c r="G42" s="9" t="s">
        <v>177</v>
      </c>
      <c r="H42" s="9" t="s">
        <v>178</v>
      </c>
      <c r="I42" s="3"/>
      <c r="J42" s="3"/>
      <c r="K42" s="9"/>
    </row>
    <row r="43" ht="15.75" customHeight="1">
      <c r="A43" s="10" t="s">
        <v>12</v>
      </c>
      <c r="B43" s="10" t="s">
        <v>82</v>
      </c>
      <c r="C43" s="10" t="s">
        <v>513</v>
      </c>
      <c r="D43" s="11" t="str">
        <f t="shared" si="1"/>
        <v>Abrir anúncio ↗</v>
      </c>
      <c r="E43" s="12" t="s">
        <v>515</v>
      </c>
      <c r="F43" s="10" t="s">
        <v>86</v>
      </c>
      <c r="G43" s="12" t="s">
        <v>470</v>
      </c>
      <c r="H43" s="12" t="s">
        <v>519</v>
      </c>
      <c r="I43" s="10"/>
      <c r="J43" s="10"/>
      <c r="K43" s="12"/>
    </row>
    <row r="44" ht="15.75" customHeight="1">
      <c r="A44" s="3" t="s">
        <v>12</v>
      </c>
      <c r="B44" s="3" t="s">
        <v>82</v>
      </c>
      <c r="C44" s="3" t="s">
        <v>521</v>
      </c>
      <c r="D44" s="8" t="str">
        <f t="shared" si="1"/>
        <v>Abrir anúncio ↗</v>
      </c>
      <c r="E44" s="9" t="s">
        <v>524</v>
      </c>
      <c r="F44" s="3" t="s">
        <v>86</v>
      </c>
      <c r="G44" s="9" t="s">
        <v>470</v>
      </c>
      <c r="H44" s="9" t="s">
        <v>472</v>
      </c>
      <c r="I44" s="3"/>
      <c r="J44" s="3"/>
      <c r="K44" s="9"/>
    </row>
    <row r="45" ht="15.75" customHeight="1">
      <c r="A45" s="10" t="s">
        <v>12</v>
      </c>
      <c r="B45" s="10" t="s">
        <v>82</v>
      </c>
      <c r="C45" s="10" t="s">
        <v>532</v>
      </c>
      <c r="D45" s="11" t="str">
        <f t="shared" si="1"/>
        <v>Abrir anúncio ↗</v>
      </c>
      <c r="E45" s="12" t="s">
        <v>534</v>
      </c>
      <c r="F45" s="10" t="s">
        <v>29</v>
      </c>
      <c r="G45" s="12" t="s">
        <v>470</v>
      </c>
      <c r="H45" s="12" t="s">
        <v>472</v>
      </c>
      <c r="I45" s="10"/>
      <c r="J45" s="10"/>
      <c r="K45" s="12"/>
    </row>
    <row r="46" ht="15.75" customHeight="1">
      <c r="A46" s="3" t="s">
        <v>12</v>
      </c>
      <c r="B46" s="3" t="s">
        <v>82</v>
      </c>
      <c r="C46" s="3" t="s">
        <v>540</v>
      </c>
      <c r="D46" s="8" t="str">
        <f t="shared" si="1"/>
        <v>Abrir anúncio ↗</v>
      </c>
      <c r="E46" s="9" t="s">
        <v>543</v>
      </c>
      <c r="F46" s="3" t="s">
        <v>86</v>
      </c>
      <c r="G46" s="9" t="s">
        <v>470</v>
      </c>
      <c r="H46" s="9" t="s">
        <v>472</v>
      </c>
      <c r="I46" s="3"/>
      <c r="J46" s="3"/>
      <c r="K46" s="9"/>
    </row>
    <row r="47" ht="15.75" customHeight="1">
      <c r="A47" s="10" t="s">
        <v>12</v>
      </c>
      <c r="B47" s="10" t="s">
        <v>82</v>
      </c>
      <c r="C47" s="10" t="s">
        <v>548</v>
      </c>
      <c r="D47" s="11" t="str">
        <f t="shared" si="1"/>
        <v>Abrir anúncio ↗</v>
      </c>
      <c r="E47" s="12" t="s">
        <v>551</v>
      </c>
      <c r="F47" s="10" t="s">
        <v>86</v>
      </c>
      <c r="G47" s="12" t="s">
        <v>470</v>
      </c>
      <c r="H47" s="12" t="s">
        <v>472</v>
      </c>
      <c r="I47" s="10"/>
      <c r="J47" s="10"/>
      <c r="K47" s="12"/>
    </row>
    <row r="48" ht="15.75" customHeight="1">
      <c r="A48" s="3" t="s">
        <v>12</v>
      </c>
      <c r="B48" s="3" t="s">
        <v>82</v>
      </c>
      <c r="C48" s="3" t="s">
        <v>558</v>
      </c>
      <c r="D48" s="8" t="str">
        <f t="shared" si="1"/>
        <v>Abrir anúncio ↗</v>
      </c>
      <c r="E48" s="9" t="s">
        <v>561</v>
      </c>
      <c r="F48" s="3" t="s">
        <v>86</v>
      </c>
      <c r="G48" s="9" t="s">
        <v>470</v>
      </c>
      <c r="H48" s="9" t="s">
        <v>472</v>
      </c>
      <c r="I48" s="3"/>
      <c r="J48" s="3"/>
      <c r="K48" s="9"/>
    </row>
    <row r="49" ht="15.75" customHeight="1">
      <c r="A49" s="10" t="s">
        <v>12</v>
      </c>
      <c r="B49" s="10" t="s">
        <v>82</v>
      </c>
      <c r="C49" s="10" t="s">
        <v>567</v>
      </c>
      <c r="D49" s="11" t="str">
        <f t="shared" si="1"/>
        <v>Abrir anúncio ↗</v>
      </c>
      <c r="E49" s="12" t="s">
        <v>569</v>
      </c>
      <c r="F49" s="10" t="s">
        <v>86</v>
      </c>
      <c r="G49" s="12" t="s">
        <v>470</v>
      </c>
      <c r="H49" s="12" t="s">
        <v>472</v>
      </c>
      <c r="I49" s="10"/>
      <c r="J49" s="10"/>
      <c r="K49" s="12"/>
    </row>
    <row r="50" ht="15.75" customHeight="1">
      <c r="A50" s="3" t="s">
        <v>12</v>
      </c>
      <c r="B50" s="3" t="s">
        <v>82</v>
      </c>
      <c r="C50" s="3" t="s">
        <v>578</v>
      </c>
      <c r="D50" s="8" t="str">
        <f t="shared" si="1"/>
        <v>Abrir anúncio ↗</v>
      </c>
      <c r="E50" s="9" t="s">
        <v>580</v>
      </c>
      <c r="F50" s="3" t="s">
        <v>86</v>
      </c>
      <c r="G50" s="9" t="s">
        <v>470</v>
      </c>
      <c r="H50" s="9" t="s">
        <v>584</v>
      </c>
      <c r="I50" s="3"/>
      <c r="J50" s="3"/>
      <c r="K50" s="9"/>
    </row>
    <row r="51" ht="15.75" customHeight="1">
      <c r="A51" s="10" t="s">
        <v>12</v>
      </c>
      <c r="B51" s="10" t="s">
        <v>82</v>
      </c>
      <c r="C51" s="10" t="s">
        <v>589</v>
      </c>
      <c r="D51" s="11" t="str">
        <f t="shared" si="1"/>
        <v>Abrir anúncio ↗</v>
      </c>
      <c r="E51" s="12" t="s">
        <v>592</v>
      </c>
      <c r="F51" s="10" t="s">
        <v>86</v>
      </c>
      <c r="G51" s="12" t="s">
        <v>470</v>
      </c>
      <c r="H51" s="12" t="s">
        <v>472</v>
      </c>
      <c r="I51" s="10"/>
      <c r="J51" s="10"/>
      <c r="K51" s="12"/>
    </row>
    <row r="52" ht="15.75" customHeight="1">
      <c r="A52" s="3" t="s">
        <v>12</v>
      </c>
      <c r="B52" s="3" t="s">
        <v>82</v>
      </c>
      <c r="C52" s="3" t="s">
        <v>597</v>
      </c>
      <c r="D52" s="8" t="str">
        <f t="shared" si="1"/>
        <v>Abrir anúncio ↗</v>
      </c>
      <c r="E52" s="9" t="s">
        <v>600</v>
      </c>
      <c r="F52" s="3" t="s">
        <v>86</v>
      </c>
      <c r="G52" s="9" t="s">
        <v>602</v>
      </c>
      <c r="H52" s="9" t="s">
        <v>603</v>
      </c>
      <c r="I52" s="3"/>
      <c r="J52" s="3"/>
      <c r="K52" s="9"/>
    </row>
    <row r="53" ht="15.75" customHeight="1">
      <c r="A53" s="10" t="s">
        <v>12</v>
      </c>
      <c r="B53" s="10" t="s">
        <v>82</v>
      </c>
      <c r="C53" s="10" t="s">
        <v>607</v>
      </c>
      <c r="D53" s="11" t="str">
        <f t="shared" si="1"/>
        <v>Abrir anúncio ↗</v>
      </c>
      <c r="E53" s="12" t="s">
        <v>612</v>
      </c>
      <c r="F53" s="10" t="s">
        <v>86</v>
      </c>
      <c r="G53" s="12" t="s">
        <v>470</v>
      </c>
      <c r="H53" s="12" t="s">
        <v>472</v>
      </c>
      <c r="I53" s="10"/>
      <c r="J53" s="10"/>
      <c r="K53" s="12"/>
    </row>
    <row r="54" ht="15.75" customHeight="1">
      <c r="A54" s="3" t="s">
        <v>12</v>
      </c>
      <c r="B54" s="3" t="s">
        <v>82</v>
      </c>
      <c r="C54" s="3" t="s">
        <v>618</v>
      </c>
      <c r="D54" s="8" t="str">
        <f t="shared" si="1"/>
        <v>Abrir anúncio ↗</v>
      </c>
      <c r="E54" s="9" t="s">
        <v>620</v>
      </c>
      <c r="F54" s="3" t="s">
        <v>86</v>
      </c>
      <c r="G54" s="9" t="s">
        <v>470</v>
      </c>
      <c r="H54" s="9" t="s">
        <v>472</v>
      </c>
      <c r="I54" s="3"/>
      <c r="J54" s="3"/>
      <c r="K54" s="9"/>
    </row>
    <row r="55" ht="15.75" customHeight="1">
      <c r="A55" s="10" t="s">
        <v>12</v>
      </c>
      <c r="B55" s="10" t="s">
        <v>82</v>
      </c>
      <c r="C55" s="10" t="s">
        <v>625</v>
      </c>
      <c r="D55" s="11" t="str">
        <f t="shared" si="1"/>
        <v>Abrir anúncio ↗</v>
      </c>
      <c r="E55" s="12" t="s">
        <v>626</v>
      </c>
      <c r="F55" s="10" t="s">
        <v>86</v>
      </c>
      <c r="G55" s="12" t="s">
        <v>628</v>
      </c>
      <c r="H55" s="12" t="s">
        <v>630</v>
      </c>
      <c r="I55" s="10"/>
      <c r="J55" s="10"/>
      <c r="K55" s="12"/>
    </row>
    <row r="56" ht="15.75" customHeight="1">
      <c r="A56" s="3" t="s">
        <v>12</v>
      </c>
      <c r="B56" s="3" t="s">
        <v>82</v>
      </c>
      <c r="C56" s="3" t="s">
        <v>635</v>
      </c>
      <c r="D56" s="8" t="str">
        <f t="shared" si="1"/>
        <v>Abrir anúncio ↗</v>
      </c>
      <c r="E56" s="9" t="s">
        <v>639</v>
      </c>
      <c r="F56" s="3" t="s">
        <v>86</v>
      </c>
      <c r="G56" s="9" t="s">
        <v>470</v>
      </c>
      <c r="H56" s="9" t="s">
        <v>584</v>
      </c>
      <c r="I56" s="3"/>
      <c r="J56" s="3"/>
      <c r="K56" s="9"/>
    </row>
    <row r="57" ht="15.75" customHeight="1">
      <c r="A57" s="10" t="s">
        <v>12</v>
      </c>
      <c r="B57" s="10" t="s">
        <v>82</v>
      </c>
      <c r="C57" s="10" t="s">
        <v>643</v>
      </c>
      <c r="D57" s="11" t="str">
        <f t="shared" si="1"/>
        <v>Abrir anúncio ↗</v>
      </c>
      <c r="E57" s="12" t="s">
        <v>645</v>
      </c>
      <c r="F57" s="10" t="s">
        <v>86</v>
      </c>
      <c r="G57" s="12" t="s">
        <v>470</v>
      </c>
      <c r="H57" s="12" t="s">
        <v>472</v>
      </c>
      <c r="I57" s="10"/>
      <c r="J57" s="10"/>
      <c r="K57" s="12"/>
    </row>
    <row r="58" ht="15.75" customHeight="1">
      <c r="A58" s="3" t="s">
        <v>12</v>
      </c>
      <c r="B58" s="3" t="s">
        <v>82</v>
      </c>
      <c r="C58" s="3" t="s">
        <v>651</v>
      </c>
      <c r="D58" s="8" t="str">
        <f t="shared" si="1"/>
        <v>Abrir anúncio ↗</v>
      </c>
      <c r="E58" s="9" t="s">
        <v>652</v>
      </c>
      <c r="F58" s="3" t="s">
        <v>86</v>
      </c>
      <c r="G58" s="9" t="s">
        <v>470</v>
      </c>
      <c r="H58" s="9" t="s">
        <v>584</v>
      </c>
      <c r="I58" s="3"/>
      <c r="J58" s="3"/>
      <c r="K58" s="9"/>
    </row>
    <row r="59" ht="15.75" customHeight="1">
      <c r="A59" s="10" t="s">
        <v>12</v>
      </c>
      <c r="B59" s="10" t="s">
        <v>82</v>
      </c>
      <c r="C59" s="10" t="s">
        <v>658</v>
      </c>
      <c r="D59" s="11" t="str">
        <f t="shared" si="1"/>
        <v>Abrir anúncio ↗</v>
      </c>
      <c r="E59" s="12" t="s">
        <v>660</v>
      </c>
      <c r="F59" s="10" t="s">
        <v>86</v>
      </c>
      <c r="G59" s="12" t="s">
        <v>470</v>
      </c>
      <c r="H59" s="12" t="s">
        <v>584</v>
      </c>
      <c r="I59" s="10"/>
      <c r="J59" s="10"/>
      <c r="K59" s="12"/>
    </row>
    <row r="60" ht="15.75" customHeight="1">
      <c r="A60" s="3" t="s">
        <v>12</v>
      </c>
      <c r="B60" s="3" t="s">
        <v>82</v>
      </c>
      <c r="C60" s="3" t="s">
        <v>665</v>
      </c>
      <c r="D60" s="8" t="str">
        <f t="shared" si="1"/>
        <v>Abrir anúncio ↗</v>
      </c>
      <c r="E60" s="9" t="s">
        <v>666</v>
      </c>
      <c r="F60" s="3" t="s">
        <v>86</v>
      </c>
      <c r="G60" s="9" t="s">
        <v>470</v>
      </c>
      <c r="H60" s="9" t="s">
        <v>472</v>
      </c>
      <c r="I60" s="3"/>
      <c r="J60" s="3"/>
      <c r="K60" s="9"/>
    </row>
    <row r="61" ht="15.75" customHeight="1">
      <c r="A61" s="10" t="s">
        <v>12</v>
      </c>
      <c r="B61" s="10" t="s">
        <v>82</v>
      </c>
      <c r="C61" s="10" t="s">
        <v>671</v>
      </c>
      <c r="D61" s="11" t="str">
        <f t="shared" si="1"/>
        <v>Abrir anúncio ↗</v>
      </c>
      <c r="E61" s="12" t="s">
        <v>674</v>
      </c>
      <c r="F61" s="10" t="s">
        <v>86</v>
      </c>
      <c r="G61" s="12" t="s">
        <v>470</v>
      </c>
      <c r="H61" s="12" t="s">
        <v>472</v>
      </c>
      <c r="I61" s="10"/>
      <c r="J61" s="10"/>
      <c r="K61" s="12"/>
    </row>
    <row r="62" ht="15.75" customHeight="1">
      <c r="A62" s="3" t="s">
        <v>12</v>
      </c>
      <c r="B62" s="3" t="s">
        <v>82</v>
      </c>
      <c r="C62" s="3" t="s">
        <v>679</v>
      </c>
      <c r="D62" s="8" t="str">
        <f t="shared" si="1"/>
        <v>Abrir anúncio ↗</v>
      </c>
      <c r="E62" s="9" t="s">
        <v>681</v>
      </c>
      <c r="F62" s="3" t="s">
        <v>86</v>
      </c>
      <c r="G62" s="9" t="s">
        <v>470</v>
      </c>
      <c r="H62" s="9" t="s">
        <v>584</v>
      </c>
      <c r="I62" s="3"/>
      <c r="J62" s="3"/>
      <c r="K62" s="9"/>
    </row>
    <row r="63" ht="15.75" customHeight="1">
      <c r="A63" s="10" t="s">
        <v>12</v>
      </c>
      <c r="B63" s="10" t="s">
        <v>82</v>
      </c>
      <c r="C63" s="10" t="s">
        <v>687</v>
      </c>
      <c r="D63" s="11" t="str">
        <f t="shared" si="1"/>
        <v>Abrir anúncio ↗</v>
      </c>
      <c r="E63" s="12" t="s">
        <v>690</v>
      </c>
      <c r="F63" s="10" t="s">
        <v>86</v>
      </c>
      <c r="G63" s="12" t="s">
        <v>470</v>
      </c>
      <c r="H63" s="12" t="s">
        <v>584</v>
      </c>
      <c r="I63" s="10"/>
      <c r="J63" s="10"/>
      <c r="K63" s="12"/>
    </row>
    <row r="64" ht="15.75" customHeight="1">
      <c r="A64" s="3" t="s">
        <v>12</v>
      </c>
      <c r="B64" s="3" t="s">
        <v>82</v>
      </c>
      <c r="C64" s="3" t="s">
        <v>695</v>
      </c>
      <c r="D64" s="8" t="str">
        <f t="shared" si="1"/>
        <v>Abrir anúncio ↗</v>
      </c>
      <c r="E64" s="9" t="s">
        <v>699</v>
      </c>
      <c r="F64" s="3" t="s">
        <v>29</v>
      </c>
      <c r="G64" s="9" t="s">
        <v>470</v>
      </c>
      <c r="H64" s="9" t="s">
        <v>472</v>
      </c>
      <c r="I64" s="3"/>
      <c r="J64" s="3"/>
      <c r="K64" s="9"/>
    </row>
    <row r="65" ht="15.75" customHeight="1">
      <c r="A65" s="10" t="s">
        <v>12</v>
      </c>
      <c r="B65" s="10" t="s">
        <v>82</v>
      </c>
      <c r="C65" s="10" t="s">
        <v>705</v>
      </c>
      <c r="D65" s="11" t="str">
        <f t="shared" si="1"/>
        <v>Abrir anúncio ↗</v>
      </c>
      <c r="E65" s="12" t="s">
        <v>707</v>
      </c>
      <c r="F65" s="10" t="s">
        <v>86</v>
      </c>
      <c r="G65" s="12" t="s">
        <v>470</v>
      </c>
      <c r="H65" s="12" t="s">
        <v>584</v>
      </c>
      <c r="I65" s="10"/>
      <c r="J65" s="10"/>
      <c r="K65" s="12"/>
    </row>
    <row r="66" ht="15.75" customHeight="1">
      <c r="A66" s="3" t="s">
        <v>12</v>
      </c>
      <c r="B66" s="3" t="s">
        <v>82</v>
      </c>
      <c r="C66" s="3" t="s">
        <v>714</v>
      </c>
      <c r="D66" s="8" t="str">
        <f t="shared" si="1"/>
        <v>Abrir anúncio ↗</v>
      </c>
      <c r="E66" s="9" t="s">
        <v>715</v>
      </c>
      <c r="F66" s="3" t="s">
        <v>86</v>
      </c>
      <c r="G66" s="9" t="s">
        <v>470</v>
      </c>
      <c r="H66" s="9" t="s">
        <v>584</v>
      </c>
      <c r="I66" s="3"/>
      <c r="J66" s="3"/>
      <c r="K66" s="9"/>
    </row>
    <row r="67" ht="15.75" customHeight="1">
      <c r="A67" s="10" t="s">
        <v>12</v>
      </c>
      <c r="B67" s="10" t="s">
        <v>82</v>
      </c>
      <c r="C67" s="10" t="s">
        <v>720</v>
      </c>
      <c r="D67" s="11" t="str">
        <f t="shared" si="1"/>
        <v>Abrir anúncio ↗</v>
      </c>
      <c r="E67" s="12" t="s">
        <v>722</v>
      </c>
      <c r="F67" s="10" t="s">
        <v>86</v>
      </c>
      <c r="G67" s="12" t="s">
        <v>470</v>
      </c>
      <c r="H67" s="12" t="s">
        <v>472</v>
      </c>
      <c r="I67" s="10"/>
      <c r="J67" s="10"/>
      <c r="K67" s="12"/>
    </row>
    <row r="68" ht="15.75" customHeight="1">
      <c r="A68" s="3" t="s">
        <v>12</v>
      </c>
      <c r="B68" s="3" t="s">
        <v>82</v>
      </c>
      <c r="C68" s="3" t="s">
        <v>729</v>
      </c>
      <c r="D68" s="8" t="str">
        <f t="shared" si="1"/>
        <v>Abrir anúncio ↗</v>
      </c>
      <c r="E68" s="9" t="s">
        <v>731</v>
      </c>
      <c r="F68" s="3" t="s">
        <v>86</v>
      </c>
      <c r="G68" s="9" t="s">
        <v>470</v>
      </c>
      <c r="H68" s="9" t="s">
        <v>472</v>
      </c>
      <c r="I68" s="3"/>
      <c r="J68" s="3"/>
      <c r="K68" s="9"/>
    </row>
    <row r="69" ht="15.75" customHeight="1">
      <c r="A69" s="10" t="s">
        <v>12</v>
      </c>
      <c r="B69" s="10" t="s">
        <v>82</v>
      </c>
      <c r="C69" s="10" t="s">
        <v>738</v>
      </c>
      <c r="D69" s="11" t="str">
        <f t="shared" si="1"/>
        <v>Abrir anúncio ↗</v>
      </c>
      <c r="E69" s="12" t="s">
        <v>741</v>
      </c>
      <c r="F69" s="10" t="s">
        <v>29</v>
      </c>
      <c r="G69" s="12" t="s">
        <v>470</v>
      </c>
      <c r="H69" s="12" t="s">
        <v>472</v>
      </c>
      <c r="I69" s="10"/>
      <c r="J69" s="10"/>
      <c r="K69" s="12"/>
    </row>
    <row r="70" ht="15.75" customHeight="1">
      <c r="A70" s="3" t="s">
        <v>12</v>
      </c>
      <c r="B70" s="3" t="s">
        <v>82</v>
      </c>
      <c r="C70" s="3" t="s">
        <v>747</v>
      </c>
      <c r="D70" s="8" t="str">
        <f t="shared" si="1"/>
        <v>Abrir anúncio ↗</v>
      </c>
      <c r="E70" s="9" t="s">
        <v>748</v>
      </c>
      <c r="F70" s="3" t="s">
        <v>86</v>
      </c>
      <c r="G70" s="9" t="s">
        <v>470</v>
      </c>
      <c r="H70" s="9" t="s">
        <v>472</v>
      </c>
      <c r="I70" s="3"/>
      <c r="J70" s="3"/>
      <c r="K70" s="9"/>
    </row>
    <row r="71" ht="15.75" customHeight="1">
      <c r="A71" s="10" t="s">
        <v>12</v>
      </c>
      <c r="B71" s="10" t="s">
        <v>82</v>
      </c>
      <c r="C71" s="10" t="s">
        <v>755</v>
      </c>
      <c r="D71" s="11" t="str">
        <f t="shared" si="1"/>
        <v>Abrir anúncio ↗</v>
      </c>
      <c r="E71" s="12" t="s">
        <v>757</v>
      </c>
      <c r="F71" s="10" t="s">
        <v>86</v>
      </c>
      <c r="G71" s="12" t="s">
        <v>602</v>
      </c>
      <c r="H71" s="12" t="s">
        <v>759</v>
      </c>
      <c r="I71" s="10"/>
      <c r="J71" s="10"/>
      <c r="K71" s="12"/>
    </row>
    <row r="72" ht="15.75" customHeight="1">
      <c r="A72" s="3" t="s">
        <v>12</v>
      </c>
      <c r="B72" s="3" t="s">
        <v>82</v>
      </c>
      <c r="C72" s="3" t="s">
        <v>764</v>
      </c>
      <c r="D72" s="8" t="str">
        <f t="shared" si="1"/>
        <v>Abrir anúncio ↗</v>
      </c>
      <c r="E72" s="9" t="s">
        <v>767</v>
      </c>
      <c r="F72" s="3" t="s">
        <v>86</v>
      </c>
      <c r="G72" s="9" t="s">
        <v>470</v>
      </c>
      <c r="H72" s="9" t="s">
        <v>771</v>
      </c>
      <c r="I72" s="3"/>
      <c r="J72" s="3"/>
      <c r="K72" s="9"/>
    </row>
    <row r="73" ht="15.75" customHeight="1">
      <c r="A73" s="10" t="s">
        <v>12</v>
      </c>
      <c r="B73" s="10" t="s">
        <v>82</v>
      </c>
      <c r="C73" s="10" t="s">
        <v>775</v>
      </c>
      <c r="D73" s="11" t="str">
        <f t="shared" si="1"/>
        <v>Abrir anúncio ↗</v>
      </c>
      <c r="E73" s="12" t="s">
        <v>779</v>
      </c>
      <c r="F73" s="10" t="s">
        <v>86</v>
      </c>
      <c r="G73" s="12" t="s">
        <v>470</v>
      </c>
      <c r="H73" s="12" t="s">
        <v>519</v>
      </c>
      <c r="I73" s="10"/>
      <c r="J73" s="10"/>
      <c r="K73" s="12"/>
    </row>
    <row r="74" ht="15.75" customHeight="1">
      <c r="A74" s="3" t="s">
        <v>12</v>
      </c>
      <c r="B74" s="3" t="s">
        <v>82</v>
      </c>
      <c r="C74" s="3" t="s">
        <v>783</v>
      </c>
      <c r="D74" s="8" t="str">
        <f t="shared" si="1"/>
        <v>Abrir anúncio ↗</v>
      </c>
      <c r="E74" s="9" t="s">
        <v>785</v>
      </c>
      <c r="F74" s="3" t="s">
        <v>86</v>
      </c>
      <c r="G74" s="9" t="s">
        <v>470</v>
      </c>
      <c r="H74" s="9" t="s">
        <v>472</v>
      </c>
      <c r="I74" s="3"/>
      <c r="J74" s="3"/>
      <c r="K74" s="9"/>
    </row>
    <row r="75" ht="15.75" customHeight="1">
      <c r="A75" s="10" t="s">
        <v>12</v>
      </c>
      <c r="B75" s="10" t="s">
        <v>82</v>
      </c>
      <c r="C75" s="10" t="s">
        <v>792</v>
      </c>
      <c r="D75" s="11" t="str">
        <f t="shared" si="1"/>
        <v>Abrir anúncio ↗</v>
      </c>
      <c r="E75" s="12" t="s">
        <v>795</v>
      </c>
      <c r="F75" s="10" t="s">
        <v>86</v>
      </c>
      <c r="G75" s="12" t="s">
        <v>470</v>
      </c>
      <c r="H75" s="12" t="s">
        <v>472</v>
      </c>
      <c r="I75" s="10"/>
      <c r="J75" s="10"/>
      <c r="K75" s="12"/>
    </row>
    <row r="76" ht="15.75" customHeight="1">
      <c r="A76" s="3" t="s">
        <v>12</v>
      </c>
      <c r="B76" s="3" t="s">
        <v>82</v>
      </c>
      <c r="C76" s="3" t="s">
        <v>802</v>
      </c>
      <c r="D76" s="8" t="str">
        <f t="shared" si="1"/>
        <v>Abrir anúncio ↗</v>
      </c>
      <c r="E76" s="9" t="s">
        <v>804</v>
      </c>
      <c r="F76" s="3" t="s">
        <v>86</v>
      </c>
      <c r="G76" s="9" t="s">
        <v>470</v>
      </c>
      <c r="H76" s="9" t="s">
        <v>472</v>
      </c>
      <c r="I76" s="3"/>
      <c r="J76" s="3"/>
      <c r="K76" s="9"/>
    </row>
    <row r="77" ht="15.75" customHeight="1">
      <c r="A77" s="10" t="s">
        <v>12</v>
      </c>
      <c r="B77" s="10" t="s">
        <v>82</v>
      </c>
      <c r="C77" s="10" t="s">
        <v>812</v>
      </c>
      <c r="D77" s="11" t="str">
        <f t="shared" si="1"/>
        <v>Abrir anúncio ↗</v>
      </c>
      <c r="E77" s="12" t="s">
        <v>813</v>
      </c>
      <c r="F77" s="10" t="s">
        <v>86</v>
      </c>
      <c r="G77" s="12" t="s">
        <v>470</v>
      </c>
      <c r="H77" s="12" t="s">
        <v>584</v>
      </c>
      <c r="I77" s="10"/>
      <c r="J77" s="10"/>
      <c r="K77" s="12"/>
    </row>
    <row r="78" ht="15.75" customHeight="1">
      <c r="A78" s="3" t="s">
        <v>12</v>
      </c>
      <c r="B78" s="3" t="s">
        <v>82</v>
      </c>
      <c r="C78" s="3" t="s">
        <v>821</v>
      </c>
      <c r="D78" s="8" t="str">
        <f t="shared" si="1"/>
        <v>Abrir anúncio ↗</v>
      </c>
      <c r="E78" s="9" t="s">
        <v>823</v>
      </c>
      <c r="F78" s="3" t="s">
        <v>86</v>
      </c>
      <c r="G78" s="9" t="s">
        <v>470</v>
      </c>
      <c r="H78" s="9" t="s">
        <v>472</v>
      </c>
      <c r="I78" s="3"/>
      <c r="J78" s="3"/>
      <c r="K78" s="9"/>
    </row>
    <row r="79" ht="15.75" customHeight="1">
      <c r="A79" s="10" t="s">
        <v>12</v>
      </c>
      <c r="B79" s="10" t="s">
        <v>82</v>
      </c>
      <c r="C79" s="10" t="s">
        <v>828</v>
      </c>
      <c r="D79" s="11" t="str">
        <f t="shared" si="1"/>
        <v>Abrir anúncio ↗</v>
      </c>
      <c r="E79" s="12" t="s">
        <v>831</v>
      </c>
      <c r="F79" s="10" t="s">
        <v>86</v>
      </c>
      <c r="G79" s="12" t="s">
        <v>470</v>
      </c>
      <c r="H79" s="12" t="s">
        <v>519</v>
      </c>
      <c r="I79" s="10"/>
      <c r="J79" s="10"/>
      <c r="K79" s="12"/>
    </row>
    <row r="80" ht="15.75" customHeight="1">
      <c r="A80" s="3" t="s">
        <v>12</v>
      </c>
      <c r="B80" s="3" t="s">
        <v>82</v>
      </c>
      <c r="C80" s="3" t="s">
        <v>837</v>
      </c>
      <c r="D80" s="8" t="str">
        <f t="shared" si="1"/>
        <v>Abrir anúncio ↗</v>
      </c>
      <c r="E80" s="9" t="s">
        <v>840</v>
      </c>
      <c r="F80" s="3" t="s">
        <v>86</v>
      </c>
      <c r="G80" s="9" t="s">
        <v>470</v>
      </c>
      <c r="H80" s="9" t="s">
        <v>519</v>
      </c>
      <c r="I80" s="3"/>
      <c r="J80" s="3"/>
      <c r="K80" s="9"/>
    </row>
    <row r="81" ht="15.75" customHeight="1">
      <c r="A81" s="10" t="s">
        <v>12</v>
      </c>
      <c r="B81" s="10" t="s">
        <v>82</v>
      </c>
      <c r="C81" s="10" t="s">
        <v>848</v>
      </c>
      <c r="D81" s="11" t="str">
        <f t="shared" si="1"/>
        <v>Abrir anúncio ↗</v>
      </c>
      <c r="E81" s="12" t="s">
        <v>849</v>
      </c>
      <c r="F81" s="10" t="s">
        <v>86</v>
      </c>
      <c r="G81" s="12" t="s">
        <v>470</v>
      </c>
      <c r="H81" s="12" t="s">
        <v>472</v>
      </c>
      <c r="I81" s="10"/>
      <c r="J81" s="10"/>
      <c r="K81" s="12"/>
    </row>
    <row r="82" ht="15.75" customHeight="1">
      <c r="A82" s="3" t="s">
        <v>12</v>
      </c>
      <c r="B82" s="3" t="s">
        <v>82</v>
      </c>
      <c r="C82" s="3" t="s">
        <v>855</v>
      </c>
      <c r="D82" s="8" t="str">
        <f t="shared" si="1"/>
        <v>Abrir anúncio ↗</v>
      </c>
      <c r="E82" s="9" t="s">
        <v>856</v>
      </c>
      <c r="F82" s="3" t="s">
        <v>86</v>
      </c>
      <c r="G82" s="9" t="s">
        <v>470</v>
      </c>
      <c r="H82" s="9" t="s">
        <v>472</v>
      </c>
      <c r="I82" s="3"/>
      <c r="J82" s="3"/>
      <c r="K82" s="9"/>
    </row>
    <row r="83" ht="15.75" customHeight="1">
      <c r="A83" s="10" t="s">
        <v>12</v>
      </c>
      <c r="B83" s="10" t="s">
        <v>82</v>
      </c>
      <c r="C83" s="10" t="s">
        <v>864</v>
      </c>
      <c r="D83" s="11" t="str">
        <f t="shared" si="1"/>
        <v>Abrir anúncio ↗</v>
      </c>
      <c r="E83" s="12" t="s">
        <v>865</v>
      </c>
      <c r="F83" s="10" t="s">
        <v>86</v>
      </c>
      <c r="G83" s="12" t="s">
        <v>470</v>
      </c>
      <c r="H83" s="12" t="s">
        <v>472</v>
      </c>
      <c r="I83" s="10"/>
      <c r="J83" s="10"/>
      <c r="K83" s="12"/>
    </row>
    <row r="84" ht="15.75" customHeight="1">
      <c r="A84" s="3" t="s">
        <v>12</v>
      </c>
      <c r="B84" s="3" t="s">
        <v>82</v>
      </c>
      <c r="C84" s="3" t="s">
        <v>873</v>
      </c>
      <c r="D84" s="8" t="str">
        <f t="shared" si="1"/>
        <v>Abrir anúncio ↗</v>
      </c>
      <c r="E84" s="9" t="s">
        <v>876</v>
      </c>
      <c r="F84" s="3" t="s">
        <v>86</v>
      </c>
      <c r="G84" s="9" t="s">
        <v>470</v>
      </c>
      <c r="H84" s="9" t="s">
        <v>472</v>
      </c>
      <c r="I84" s="3"/>
      <c r="J84" s="3"/>
      <c r="K84" s="9"/>
    </row>
    <row r="85" ht="15.75" customHeight="1">
      <c r="A85" s="10" t="s">
        <v>12</v>
      </c>
      <c r="B85" s="10" t="s">
        <v>82</v>
      </c>
      <c r="C85" s="10" t="s">
        <v>881</v>
      </c>
      <c r="D85" s="11" t="str">
        <f t="shared" si="1"/>
        <v>Abrir anúncio ↗</v>
      </c>
      <c r="E85" s="12" t="s">
        <v>883</v>
      </c>
      <c r="F85" s="10" t="s">
        <v>86</v>
      </c>
      <c r="G85" s="12" t="s">
        <v>470</v>
      </c>
      <c r="H85" s="12" t="s">
        <v>519</v>
      </c>
      <c r="I85" s="10"/>
      <c r="J85" s="10"/>
      <c r="K85" s="12"/>
    </row>
    <row r="86" ht="15.75" customHeight="1">
      <c r="A86" s="3" t="s">
        <v>12</v>
      </c>
      <c r="B86" s="3" t="s">
        <v>82</v>
      </c>
      <c r="C86" s="3" t="s">
        <v>887</v>
      </c>
      <c r="D86" s="8" t="str">
        <f t="shared" si="1"/>
        <v>Abrir anúncio ↗</v>
      </c>
      <c r="E86" s="9" t="s">
        <v>889</v>
      </c>
      <c r="F86" s="3" t="s">
        <v>86</v>
      </c>
      <c r="G86" s="9" t="s">
        <v>470</v>
      </c>
      <c r="H86" s="9" t="s">
        <v>771</v>
      </c>
      <c r="I86" s="3"/>
      <c r="J86" s="3"/>
      <c r="K86" s="9"/>
    </row>
    <row r="87" ht="15.75" customHeight="1">
      <c r="A87" s="10" t="s">
        <v>12</v>
      </c>
      <c r="B87" s="10" t="s">
        <v>82</v>
      </c>
      <c r="C87" s="10" t="s">
        <v>898</v>
      </c>
      <c r="D87" s="11" t="str">
        <f t="shared" si="1"/>
        <v>Abrir anúncio ↗</v>
      </c>
      <c r="E87" s="12" t="s">
        <v>900</v>
      </c>
      <c r="F87" s="10" t="s">
        <v>86</v>
      </c>
      <c r="G87" s="12" t="s">
        <v>470</v>
      </c>
      <c r="H87" s="12" t="s">
        <v>472</v>
      </c>
      <c r="I87" s="10"/>
      <c r="J87" s="10"/>
      <c r="K87" s="12"/>
    </row>
    <row r="88" ht="15.75" customHeight="1">
      <c r="A88" s="3" t="s">
        <v>12</v>
      </c>
      <c r="B88" s="3" t="s">
        <v>82</v>
      </c>
      <c r="C88" s="3" t="s">
        <v>908</v>
      </c>
      <c r="D88" s="8" t="str">
        <f t="shared" si="1"/>
        <v>Abrir anúncio ↗</v>
      </c>
      <c r="E88" s="9" t="s">
        <v>909</v>
      </c>
      <c r="F88" s="3" t="s">
        <v>86</v>
      </c>
      <c r="G88" s="9" t="s">
        <v>470</v>
      </c>
      <c r="H88" s="9" t="s">
        <v>472</v>
      </c>
      <c r="I88" s="3"/>
      <c r="J88" s="3"/>
      <c r="K88" s="9"/>
    </row>
    <row r="89" ht="15.75" customHeight="1">
      <c r="A89" s="10" t="s">
        <v>12</v>
      </c>
      <c r="B89" s="10" t="s">
        <v>82</v>
      </c>
      <c r="C89" s="10" t="s">
        <v>916</v>
      </c>
      <c r="D89" s="11" t="str">
        <f t="shared" si="1"/>
        <v>Abrir anúncio ↗</v>
      </c>
      <c r="E89" s="12" t="s">
        <v>919</v>
      </c>
      <c r="F89" s="10" t="s">
        <v>86</v>
      </c>
      <c r="G89" s="12" t="s">
        <v>470</v>
      </c>
      <c r="H89" s="12" t="s">
        <v>584</v>
      </c>
      <c r="I89" s="10"/>
      <c r="J89" s="10"/>
      <c r="K89" s="12"/>
    </row>
    <row r="90" ht="15.75" customHeight="1">
      <c r="A90" s="3" t="s">
        <v>12</v>
      </c>
      <c r="B90" s="3" t="s">
        <v>82</v>
      </c>
      <c r="C90" s="3" t="s">
        <v>923</v>
      </c>
      <c r="D90" s="8" t="str">
        <f t="shared" si="1"/>
        <v>Abrir anúncio ↗</v>
      </c>
      <c r="E90" s="9" t="s">
        <v>926</v>
      </c>
      <c r="F90" s="3" t="s">
        <v>86</v>
      </c>
      <c r="G90" s="9" t="s">
        <v>470</v>
      </c>
      <c r="H90" s="9" t="s">
        <v>584</v>
      </c>
      <c r="I90" s="3"/>
      <c r="J90" s="3"/>
      <c r="K90" s="9"/>
    </row>
    <row r="91" ht="15.75" customHeight="1">
      <c r="A91" s="10" t="s">
        <v>12</v>
      </c>
      <c r="B91" s="10" t="s">
        <v>82</v>
      </c>
      <c r="C91" s="10" t="s">
        <v>933</v>
      </c>
      <c r="D91" s="11" t="str">
        <f t="shared" si="1"/>
        <v>Abrir anúncio ↗</v>
      </c>
      <c r="E91" s="12" t="s">
        <v>935</v>
      </c>
      <c r="F91" s="10" t="s">
        <v>86</v>
      </c>
      <c r="G91" s="12" t="s">
        <v>470</v>
      </c>
      <c r="H91" s="12" t="s">
        <v>472</v>
      </c>
      <c r="I91" s="10"/>
      <c r="J91" s="10"/>
      <c r="K91" s="12"/>
    </row>
    <row r="92" ht="15.75" customHeight="1">
      <c r="A92" s="3" t="s">
        <v>12</v>
      </c>
      <c r="B92" s="3" t="s">
        <v>82</v>
      </c>
      <c r="C92" s="3" t="s">
        <v>942</v>
      </c>
      <c r="D92" s="8" t="str">
        <f t="shared" si="1"/>
        <v>Abrir anúncio ↗</v>
      </c>
      <c r="E92" s="9" t="s">
        <v>944</v>
      </c>
      <c r="F92" s="3" t="s">
        <v>86</v>
      </c>
      <c r="G92" s="9" t="s">
        <v>470</v>
      </c>
      <c r="H92" s="9" t="s">
        <v>771</v>
      </c>
      <c r="I92" s="3"/>
      <c r="J92" s="3"/>
      <c r="K92" s="9"/>
    </row>
    <row r="93" ht="15.75" customHeight="1">
      <c r="A93" s="10" t="s">
        <v>12</v>
      </c>
      <c r="B93" s="10" t="s">
        <v>82</v>
      </c>
      <c r="C93" s="10" t="s">
        <v>951</v>
      </c>
      <c r="D93" s="11" t="str">
        <f t="shared" si="1"/>
        <v>Abrir anúncio ↗</v>
      </c>
      <c r="E93" s="12" t="s">
        <v>952</v>
      </c>
      <c r="F93" s="10" t="s">
        <v>86</v>
      </c>
      <c r="G93" s="12" t="s">
        <v>470</v>
      </c>
      <c r="H93" s="12" t="s">
        <v>584</v>
      </c>
      <c r="I93" s="10"/>
      <c r="J93" s="10"/>
      <c r="K93" s="12"/>
    </row>
    <row r="94" ht="15.75" customHeight="1">
      <c r="A94" s="3" t="s">
        <v>12</v>
      </c>
      <c r="B94" s="3" t="s">
        <v>82</v>
      </c>
      <c r="C94" s="3" t="s">
        <v>962</v>
      </c>
      <c r="D94" s="8" t="str">
        <f t="shared" si="1"/>
        <v>Abrir anúncio ↗</v>
      </c>
      <c r="E94" s="9" t="s">
        <v>964</v>
      </c>
      <c r="F94" s="3" t="s">
        <v>86</v>
      </c>
      <c r="G94" s="9" t="s">
        <v>965</v>
      </c>
      <c r="H94" s="9" t="s">
        <v>967</v>
      </c>
      <c r="I94" s="3"/>
      <c r="J94" s="3"/>
      <c r="K94" s="9"/>
    </row>
    <row r="95" ht="15.75" customHeight="1">
      <c r="A95" s="10" t="s">
        <v>12</v>
      </c>
      <c r="B95" s="10" t="s">
        <v>82</v>
      </c>
      <c r="C95" s="10" t="s">
        <v>971</v>
      </c>
      <c r="D95" s="11" t="str">
        <f t="shared" si="1"/>
        <v>Abrir anúncio ↗</v>
      </c>
      <c r="E95" s="12" t="s">
        <v>974</v>
      </c>
      <c r="F95" s="10" t="s">
        <v>86</v>
      </c>
      <c r="G95" s="12" t="s">
        <v>976</v>
      </c>
      <c r="H95" s="12" t="s">
        <v>979</v>
      </c>
      <c r="I95" s="10"/>
      <c r="J95" s="10"/>
      <c r="K95" s="12"/>
    </row>
    <row r="96" ht="15.75" customHeight="1">
      <c r="A96" s="3" t="s">
        <v>12</v>
      </c>
      <c r="B96" s="3" t="s">
        <v>82</v>
      </c>
      <c r="C96" s="3" t="s">
        <v>985</v>
      </c>
      <c r="D96" s="8" t="str">
        <f t="shared" si="1"/>
        <v>Abrir anúncio ↗</v>
      </c>
      <c r="E96" s="9" t="s">
        <v>986</v>
      </c>
      <c r="F96" s="3" t="s">
        <v>86</v>
      </c>
      <c r="G96" s="9" t="s">
        <v>991</v>
      </c>
      <c r="H96" s="9" t="s">
        <v>993</v>
      </c>
      <c r="I96" s="3"/>
      <c r="J96" s="3"/>
      <c r="K96" s="9"/>
    </row>
    <row r="97" ht="15.75" customHeight="1">
      <c r="A97" s="10" t="s">
        <v>12</v>
      </c>
      <c r="B97" s="10" t="s">
        <v>82</v>
      </c>
      <c r="C97" s="10" t="s">
        <v>997</v>
      </c>
      <c r="D97" s="11" t="str">
        <f t="shared" si="1"/>
        <v>Abrir anúncio ↗</v>
      </c>
      <c r="E97" s="12" t="s">
        <v>999</v>
      </c>
      <c r="F97" s="10" t="s">
        <v>86</v>
      </c>
      <c r="G97" s="12" t="s">
        <v>965</v>
      </c>
      <c r="H97" s="12" t="s">
        <v>1003</v>
      </c>
      <c r="I97" s="10"/>
      <c r="J97" s="10"/>
      <c r="K97" s="12"/>
    </row>
    <row r="98" ht="15.75" customHeight="1">
      <c r="A98" s="3" t="s">
        <v>12</v>
      </c>
      <c r="B98" s="3" t="s">
        <v>82</v>
      </c>
      <c r="C98" s="3" t="s">
        <v>1007</v>
      </c>
      <c r="D98" s="8" t="str">
        <f t="shared" si="1"/>
        <v>Abrir anúncio ↗</v>
      </c>
      <c r="E98" s="9" t="s">
        <v>1012</v>
      </c>
      <c r="F98" s="3" t="s">
        <v>86</v>
      </c>
      <c r="G98" s="9" t="s">
        <v>965</v>
      </c>
      <c r="H98" s="9" t="s">
        <v>1015</v>
      </c>
      <c r="I98" s="3"/>
      <c r="J98" s="3"/>
      <c r="K98" s="9"/>
    </row>
    <row r="99" ht="15.75" customHeight="1">
      <c r="A99" s="10" t="s">
        <v>12</v>
      </c>
      <c r="B99" s="10" t="s">
        <v>82</v>
      </c>
      <c r="C99" s="10" t="s">
        <v>1017</v>
      </c>
      <c r="D99" s="11" t="str">
        <f t="shared" si="1"/>
        <v>Abrir anúncio ↗</v>
      </c>
      <c r="E99" s="12" t="s">
        <v>1018</v>
      </c>
      <c r="F99" s="10" t="s">
        <v>86</v>
      </c>
      <c r="G99" s="12" t="s">
        <v>470</v>
      </c>
      <c r="H99" s="12" t="s">
        <v>472</v>
      </c>
      <c r="I99" s="10"/>
      <c r="J99" s="10"/>
      <c r="K99" s="12"/>
    </row>
    <row r="100" ht="15.75" customHeight="1">
      <c r="A100" s="3" t="s">
        <v>12</v>
      </c>
      <c r="B100" s="3" t="s">
        <v>82</v>
      </c>
      <c r="C100" s="3" t="s">
        <v>1025</v>
      </c>
      <c r="D100" s="8" t="str">
        <f t="shared" si="1"/>
        <v>Abrir anúncio ↗</v>
      </c>
      <c r="E100" s="9" t="s">
        <v>1028</v>
      </c>
      <c r="F100" s="3" t="s">
        <v>86</v>
      </c>
      <c r="G100" s="9" t="s">
        <v>470</v>
      </c>
      <c r="H100" s="9" t="s">
        <v>519</v>
      </c>
      <c r="I100" s="3"/>
      <c r="J100" s="3"/>
      <c r="K100" s="9"/>
    </row>
    <row r="101" ht="15.75" customHeight="1">
      <c r="A101" s="10" t="s">
        <v>12</v>
      </c>
      <c r="B101" s="10" t="s">
        <v>82</v>
      </c>
      <c r="C101" s="10" t="s">
        <v>1041</v>
      </c>
      <c r="D101" s="11" t="str">
        <f t="shared" si="1"/>
        <v>Abrir anúncio ↗</v>
      </c>
      <c r="E101" s="12" t="s">
        <v>1043</v>
      </c>
      <c r="F101" s="10" t="s">
        <v>29</v>
      </c>
      <c r="G101" s="12" t="s">
        <v>976</v>
      </c>
      <c r="H101" s="12" t="s">
        <v>1046</v>
      </c>
      <c r="I101" s="10"/>
      <c r="J101" s="10"/>
      <c r="K101" s="12"/>
    </row>
    <row r="102" ht="15.75" customHeight="1">
      <c r="A102" s="3" t="s">
        <v>12</v>
      </c>
      <c r="B102" s="3" t="s">
        <v>82</v>
      </c>
      <c r="C102" s="3" t="s">
        <v>1051</v>
      </c>
      <c r="D102" s="8" t="str">
        <f t="shared" si="1"/>
        <v>Abrir anúncio ↗</v>
      </c>
      <c r="E102" s="9" t="s">
        <v>1052</v>
      </c>
      <c r="F102" s="3" t="s">
        <v>86</v>
      </c>
      <c r="G102" s="9" t="s">
        <v>1054</v>
      </c>
      <c r="H102" s="9" t="s">
        <v>1056</v>
      </c>
      <c r="I102" s="3"/>
      <c r="J102" s="3"/>
      <c r="K102" s="9"/>
    </row>
    <row r="103" ht="15.75" customHeight="1">
      <c r="A103" s="10" t="s">
        <v>12</v>
      </c>
      <c r="B103" s="10" t="s">
        <v>82</v>
      </c>
      <c r="C103" s="10" t="s">
        <v>1061</v>
      </c>
      <c r="D103" s="11" t="str">
        <f t="shared" si="1"/>
        <v>Abrir anúncio ↗</v>
      </c>
      <c r="E103" s="12" t="s">
        <v>1064</v>
      </c>
      <c r="F103" s="10" t="s">
        <v>86</v>
      </c>
      <c r="G103" s="12" t="s">
        <v>470</v>
      </c>
      <c r="H103" s="12" t="s">
        <v>771</v>
      </c>
      <c r="I103" s="10"/>
      <c r="J103" s="10"/>
      <c r="K103" s="12"/>
    </row>
    <row r="104" ht="15.75" customHeight="1">
      <c r="A104" s="3" t="s">
        <v>12</v>
      </c>
      <c r="B104" s="3" t="s">
        <v>82</v>
      </c>
      <c r="C104" s="3" t="s">
        <v>1069</v>
      </c>
      <c r="D104" s="8" t="str">
        <f t="shared" si="1"/>
        <v>Abrir anúncio ↗</v>
      </c>
      <c r="E104" s="9" t="s">
        <v>1072</v>
      </c>
      <c r="F104" s="3" t="s">
        <v>86</v>
      </c>
      <c r="G104" s="9" t="s">
        <v>470</v>
      </c>
      <c r="H104" s="9" t="s">
        <v>519</v>
      </c>
      <c r="I104" s="3"/>
      <c r="J104" s="3"/>
      <c r="K104" s="9"/>
    </row>
    <row r="105" ht="15.75" customHeight="1">
      <c r="A105" s="10" t="s">
        <v>12</v>
      </c>
      <c r="B105" s="10" t="s">
        <v>82</v>
      </c>
      <c r="C105" s="10" t="s">
        <v>1080</v>
      </c>
      <c r="D105" s="11" t="str">
        <f t="shared" si="1"/>
        <v>Abrir anúncio ↗</v>
      </c>
      <c r="E105" s="12" t="s">
        <v>1084</v>
      </c>
      <c r="F105" s="10" t="s">
        <v>86</v>
      </c>
      <c r="G105" s="12" t="s">
        <v>470</v>
      </c>
      <c r="H105" s="12" t="s">
        <v>771</v>
      </c>
      <c r="I105" s="10"/>
      <c r="J105" s="10"/>
      <c r="K105" s="12"/>
    </row>
    <row r="106" ht="15.75" customHeight="1">
      <c r="A106" s="3" t="s">
        <v>12</v>
      </c>
      <c r="B106" s="3" t="s">
        <v>82</v>
      </c>
      <c r="C106" s="3" t="s">
        <v>1089</v>
      </c>
      <c r="D106" s="8" t="str">
        <f t="shared" si="1"/>
        <v>Abrir anúncio ↗</v>
      </c>
      <c r="E106" s="9" t="s">
        <v>1090</v>
      </c>
      <c r="F106" s="3" t="s">
        <v>86</v>
      </c>
      <c r="G106" s="9" t="s">
        <v>470</v>
      </c>
      <c r="H106" s="9" t="s">
        <v>519</v>
      </c>
      <c r="I106" s="3"/>
      <c r="J106" s="3"/>
      <c r="K106" s="9"/>
    </row>
    <row r="107" ht="15.75" customHeight="1">
      <c r="A107" s="10" t="s">
        <v>12</v>
      </c>
      <c r="B107" s="10" t="s">
        <v>82</v>
      </c>
      <c r="C107" s="10" t="s">
        <v>1101</v>
      </c>
      <c r="D107" s="11" t="str">
        <f t="shared" si="1"/>
        <v>Abrir anúncio ↗</v>
      </c>
      <c r="E107" s="12" t="s">
        <v>1104</v>
      </c>
      <c r="F107" s="10" t="s">
        <v>86</v>
      </c>
      <c r="G107" s="12" t="s">
        <v>470</v>
      </c>
      <c r="H107" s="12" t="s">
        <v>1106</v>
      </c>
      <c r="I107" s="10"/>
      <c r="J107" s="10"/>
      <c r="K107" s="12"/>
    </row>
    <row r="108" ht="15.75" customHeight="1">
      <c r="A108" s="3" t="s">
        <v>12</v>
      </c>
      <c r="B108" s="3" t="s">
        <v>82</v>
      </c>
      <c r="C108" s="3" t="s">
        <v>1115</v>
      </c>
      <c r="D108" s="8" t="str">
        <f t="shared" si="1"/>
        <v>Abrir anúncio ↗</v>
      </c>
      <c r="E108" s="9" t="s">
        <v>1119</v>
      </c>
      <c r="F108" s="3" t="s">
        <v>86</v>
      </c>
      <c r="G108" s="9" t="s">
        <v>470</v>
      </c>
      <c r="H108" s="9" t="s">
        <v>771</v>
      </c>
      <c r="I108" s="3"/>
      <c r="J108" s="3"/>
      <c r="K108" s="9"/>
    </row>
    <row r="109" ht="15.75" customHeight="1">
      <c r="A109" s="10" t="s">
        <v>12</v>
      </c>
      <c r="B109" s="10" t="s">
        <v>82</v>
      </c>
      <c r="C109" s="10" t="s">
        <v>1127</v>
      </c>
      <c r="D109" s="11" t="str">
        <f t="shared" si="1"/>
        <v>Abrir anúncio ↗</v>
      </c>
      <c r="E109" s="12" t="s">
        <v>1129</v>
      </c>
      <c r="F109" s="10" t="s">
        <v>86</v>
      </c>
      <c r="G109" s="12" t="s">
        <v>470</v>
      </c>
      <c r="H109" s="12" t="s">
        <v>472</v>
      </c>
      <c r="I109" s="10"/>
      <c r="J109" s="10"/>
      <c r="K109" s="12"/>
    </row>
    <row r="110" ht="15.75" customHeight="1">
      <c r="A110" s="3" t="s">
        <v>12</v>
      </c>
      <c r="B110" s="3" t="s">
        <v>82</v>
      </c>
      <c r="C110" s="3" t="s">
        <v>1137</v>
      </c>
      <c r="D110" s="8" t="str">
        <f t="shared" si="1"/>
        <v>Abrir anúncio ↗</v>
      </c>
      <c r="E110" s="9" t="s">
        <v>1138</v>
      </c>
      <c r="F110" s="3" t="s">
        <v>86</v>
      </c>
      <c r="G110" s="9" t="s">
        <v>470</v>
      </c>
      <c r="H110" s="9" t="s">
        <v>771</v>
      </c>
      <c r="I110" s="3"/>
      <c r="J110" s="3"/>
      <c r="K110" s="9"/>
    </row>
    <row r="111" ht="15.75" customHeight="1">
      <c r="A111" s="10" t="s">
        <v>12</v>
      </c>
      <c r="B111" s="10" t="s">
        <v>82</v>
      </c>
      <c r="C111" s="10" t="s">
        <v>1144</v>
      </c>
      <c r="D111" s="11" t="str">
        <f t="shared" si="1"/>
        <v>Abrir anúncio ↗</v>
      </c>
      <c r="E111" s="12" t="s">
        <v>1146</v>
      </c>
      <c r="F111" s="10" t="s">
        <v>86</v>
      </c>
      <c r="G111" s="12" t="s">
        <v>470</v>
      </c>
      <c r="H111" s="12" t="s">
        <v>771</v>
      </c>
      <c r="I111" s="10"/>
      <c r="J111" s="10"/>
      <c r="K111" s="12"/>
    </row>
    <row r="112" ht="15.75" customHeight="1">
      <c r="A112" s="3" t="s">
        <v>12</v>
      </c>
      <c r="B112" s="3" t="s">
        <v>82</v>
      </c>
      <c r="C112" s="3" t="s">
        <v>1155</v>
      </c>
      <c r="D112" s="8" t="str">
        <f t="shared" si="1"/>
        <v>Abrir anúncio ↗</v>
      </c>
      <c r="E112" s="9" t="s">
        <v>1156</v>
      </c>
      <c r="F112" s="3" t="s">
        <v>86</v>
      </c>
      <c r="G112" s="9" t="s">
        <v>470</v>
      </c>
      <c r="H112" s="9" t="s">
        <v>771</v>
      </c>
      <c r="I112" s="3"/>
      <c r="J112" s="3"/>
      <c r="K112" s="9"/>
    </row>
    <row r="113" ht="15.75" customHeight="1">
      <c r="A113" s="10" t="s">
        <v>12</v>
      </c>
      <c r="B113" s="10" t="s">
        <v>82</v>
      </c>
      <c r="C113" s="10" t="s">
        <v>1163</v>
      </c>
      <c r="D113" s="11" t="str">
        <f t="shared" si="1"/>
        <v>Abrir anúncio ↗</v>
      </c>
      <c r="E113" s="12" t="s">
        <v>1164</v>
      </c>
      <c r="F113" s="10" t="s">
        <v>86</v>
      </c>
      <c r="G113" s="12" t="s">
        <v>470</v>
      </c>
      <c r="H113" s="12" t="s">
        <v>1106</v>
      </c>
      <c r="I113" s="10"/>
      <c r="J113" s="10"/>
      <c r="K113" s="12"/>
    </row>
    <row r="114" ht="15.75" customHeight="1">
      <c r="A114" s="3" t="s">
        <v>12</v>
      </c>
      <c r="B114" s="3" t="s">
        <v>82</v>
      </c>
      <c r="C114" s="3" t="s">
        <v>1171</v>
      </c>
      <c r="D114" s="8" t="str">
        <f t="shared" si="1"/>
        <v>Abrir anúncio ↗</v>
      </c>
      <c r="E114" s="9" t="s">
        <v>1173</v>
      </c>
      <c r="F114" s="3" t="s">
        <v>86</v>
      </c>
      <c r="G114" s="9" t="s">
        <v>470</v>
      </c>
      <c r="H114" s="9" t="s">
        <v>584</v>
      </c>
      <c r="I114" s="3"/>
      <c r="J114" s="3"/>
      <c r="K114" s="9"/>
    </row>
    <row r="115" ht="15.75" customHeight="1">
      <c r="A115" s="10" t="s">
        <v>12</v>
      </c>
      <c r="B115" s="10" t="s">
        <v>82</v>
      </c>
      <c r="C115" s="10" t="s">
        <v>1180</v>
      </c>
      <c r="D115" s="11" t="str">
        <f t="shared" si="1"/>
        <v>Abrir anúncio ↗</v>
      </c>
      <c r="E115" s="12" t="s">
        <v>1182</v>
      </c>
      <c r="F115" s="10" t="s">
        <v>29</v>
      </c>
      <c r="G115" s="12" t="s">
        <v>470</v>
      </c>
      <c r="H115" s="12" t="s">
        <v>472</v>
      </c>
      <c r="I115" s="10"/>
      <c r="J115" s="10"/>
      <c r="K115" s="12"/>
    </row>
    <row r="116" ht="15.75" customHeight="1">
      <c r="A116" s="3" t="s">
        <v>12</v>
      </c>
      <c r="B116" s="3" t="s">
        <v>82</v>
      </c>
      <c r="C116" s="3" t="s">
        <v>1190</v>
      </c>
      <c r="D116" s="8" t="str">
        <f t="shared" si="1"/>
        <v>Abrir anúncio ↗</v>
      </c>
      <c r="E116" s="9" t="s">
        <v>1193</v>
      </c>
      <c r="F116" s="3" t="s">
        <v>86</v>
      </c>
      <c r="G116" s="9" t="s">
        <v>470</v>
      </c>
      <c r="H116" s="9" t="s">
        <v>519</v>
      </c>
      <c r="I116" s="3"/>
      <c r="J116" s="3"/>
      <c r="K116" s="9"/>
    </row>
    <row r="117" ht="15.75" customHeight="1">
      <c r="A117" s="10" t="s">
        <v>12</v>
      </c>
      <c r="B117" s="10" t="s">
        <v>82</v>
      </c>
      <c r="C117" s="10" t="s">
        <v>1202</v>
      </c>
      <c r="D117" s="11" t="str">
        <f t="shared" si="1"/>
        <v>Abrir anúncio ↗</v>
      </c>
      <c r="E117" s="12" t="s">
        <v>1206</v>
      </c>
      <c r="F117" s="10" t="s">
        <v>86</v>
      </c>
      <c r="G117" s="12" t="s">
        <v>470</v>
      </c>
      <c r="H117" s="12" t="s">
        <v>771</v>
      </c>
      <c r="I117" s="10"/>
      <c r="J117" s="10"/>
      <c r="K117" s="12"/>
    </row>
    <row r="118" ht="15.75" customHeight="1">
      <c r="A118" s="3" t="s">
        <v>12</v>
      </c>
      <c r="B118" s="3" t="s">
        <v>82</v>
      </c>
      <c r="C118" s="3" t="s">
        <v>1216</v>
      </c>
      <c r="D118" s="8" t="str">
        <f t="shared" si="1"/>
        <v>Abrir anúncio ↗</v>
      </c>
      <c r="E118" s="9" t="s">
        <v>1218</v>
      </c>
      <c r="F118" s="3" t="s">
        <v>86</v>
      </c>
      <c r="G118" s="9" t="s">
        <v>470</v>
      </c>
      <c r="H118" s="9" t="s">
        <v>519</v>
      </c>
      <c r="I118" s="3"/>
      <c r="J118" s="3"/>
      <c r="K118" s="9"/>
    </row>
    <row r="119" ht="15.75" customHeight="1">
      <c r="A119" s="10" t="s">
        <v>12</v>
      </c>
      <c r="B119" s="10" t="s">
        <v>82</v>
      </c>
      <c r="C119" s="10" t="s">
        <v>1227</v>
      </c>
      <c r="D119" s="11" t="str">
        <f t="shared" si="1"/>
        <v>Abrir anúncio ↗</v>
      </c>
      <c r="E119" s="12" t="s">
        <v>1229</v>
      </c>
      <c r="F119" s="10" t="s">
        <v>86</v>
      </c>
      <c r="G119" s="12" t="s">
        <v>470</v>
      </c>
      <c r="H119" s="12" t="s">
        <v>771</v>
      </c>
      <c r="I119" s="10"/>
      <c r="J119" s="10"/>
      <c r="K119" s="12"/>
    </row>
    <row r="120" ht="15.75" customHeight="1">
      <c r="A120" s="3" t="s">
        <v>12</v>
      </c>
      <c r="B120" s="3" t="s">
        <v>82</v>
      </c>
      <c r="C120" s="3" t="s">
        <v>1234</v>
      </c>
      <c r="D120" s="8" t="str">
        <f t="shared" si="1"/>
        <v>Abrir anúncio ↗</v>
      </c>
      <c r="E120" s="9" t="s">
        <v>1238</v>
      </c>
      <c r="F120" s="3" t="s">
        <v>86</v>
      </c>
      <c r="G120" s="9" t="s">
        <v>470</v>
      </c>
      <c r="H120" s="9" t="s">
        <v>584</v>
      </c>
      <c r="I120" s="3"/>
      <c r="J120" s="3"/>
      <c r="K120" s="9"/>
    </row>
    <row r="121" ht="15.75" customHeight="1">
      <c r="A121" s="10" t="s">
        <v>12</v>
      </c>
      <c r="B121" s="10" t="s">
        <v>82</v>
      </c>
      <c r="C121" s="10" t="s">
        <v>1244</v>
      </c>
      <c r="D121" s="11" t="str">
        <f t="shared" si="1"/>
        <v>Abrir anúncio ↗</v>
      </c>
      <c r="E121" s="12" t="s">
        <v>1248</v>
      </c>
      <c r="F121" s="10" t="s">
        <v>86</v>
      </c>
      <c r="G121" s="12" t="s">
        <v>470</v>
      </c>
      <c r="H121" s="12" t="s">
        <v>584</v>
      </c>
      <c r="I121" s="10"/>
      <c r="J121" s="10"/>
      <c r="K121" s="12"/>
    </row>
    <row r="122" ht="15.75" customHeight="1">
      <c r="A122" s="3" t="s">
        <v>12</v>
      </c>
      <c r="B122" s="3" t="s">
        <v>82</v>
      </c>
      <c r="C122" s="3" t="s">
        <v>1254</v>
      </c>
      <c r="D122" s="8" t="str">
        <f t="shared" si="1"/>
        <v>Abrir anúncio ↗</v>
      </c>
      <c r="E122" s="9" t="s">
        <v>1257</v>
      </c>
      <c r="F122" s="3" t="s">
        <v>86</v>
      </c>
      <c r="G122" s="9" t="s">
        <v>470</v>
      </c>
      <c r="H122" s="9" t="s">
        <v>584</v>
      </c>
      <c r="I122" s="3"/>
      <c r="J122" s="3"/>
      <c r="K122" s="9"/>
    </row>
    <row r="123" ht="15.75" customHeight="1">
      <c r="A123" s="10" t="s">
        <v>12</v>
      </c>
      <c r="B123" s="10" t="s">
        <v>82</v>
      </c>
      <c r="C123" s="10" t="s">
        <v>1265</v>
      </c>
      <c r="D123" s="11" t="str">
        <f t="shared" si="1"/>
        <v>Abrir anúncio ↗</v>
      </c>
      <c r="E123" s="12" t="s">
        <v>1267</v>
      </c>
      <c r="F123" s="10" t="s">
        <v>86</v>
      </c>
      <c r="G123" s="12" t="s">
        <v>470</v>
      </c>
      <c r="H123" s="12" t="s">
        <v>472</v>
      </c>
      <c r="I123" s="10"/>
      <c r="J123" s="10"/>
      <c r="K123" s="12"/>
    </row>
    <row r="124" ht="15.75" customHeight="1">
      <c r="A124" s="3" t="s">
        <v>12</v>
      </c>
      <c r="B124" s="3" t="s">
        <v>82</v>
      </c>
      <c r="C124" s="3" t="s">
        <v>1274</v>
      </c>
      <c r="D124" s="8" t="str">
        <f t="shared" si="1"/>
        <v>Abrir anúncio ↗</v>
      </c>
      <c r="E124" s="9" t="s">
        <v>1277</v>
      </c>
      <c r="F124" s="3" t="s">
        <v>86</v>
      </c>
      <c r="G124" s="9" t="s">
        <v>470</v>
      </c>
      <c r="H124" s="9" t="s">
        <v>771</v>
      </c>
      <c r="I124" s="3"/>
      <c r="J124" s="3"/>
      <c r="K124" s="9"/>
    </row>
    <row r="125" ht="15.75" customHeight="1">
      <c r="A125" s="10" t="s">
        <v>12</v>
      </c>
      <c r="B125" s="10" t="s">
        <v>82</v>
      </c>
      <c r="C125" s="10" t="s">
        <v>1285</v>
      </c>
      <c r="D125" s="11" t="str">
        <f t="shared" si="1"/>
        <v>Abrir anúncio ↗</v>
      </c>
      <c r="E125" s="12" t="s">
        <v>1287</v>
      </c>
      <c r="F125" s="10" t="s">
        <v>86</v>
      </c>
      <c r="G125" s="12" t="s">
        <v>470</v>
      </c>
      <c r="H125" s="12" t="s">
        <v>472</v>
      </c>
      <c r="I125" s="10"/>
      <c r="J125" s="10"/>
      <c r="K125" s="12"/>
    </row>
    <row r="126" ht="15.75" customHeight="1">
      <c r="A126" s="3" t="s">
        <v>12</v>
      </c>
      <c r="B126" s="3" t="s">
        <v>82</v>
      </c>
      <c r="C126" s="3" t="s">
        <v>1293</v>
      </c>
      <c r="D126" s="8" t="str">
        <f t="shared" si="1"/>
        <v>Abrir anúncio ↗</v>
      </c>
      <c r="E126" s="9" t="s">
        <v>1295</v>
      </c>
      <c r="F126" s="3" t="s">
        <v>86</v>
      </c>
      <c r="G126" s="9" t="s">
        <v>470</v>
      </c>
      <c r="H126" s="9" t="s">
        <v>584</v>
      </c>
      <c r="I126" s="3"/>
      <c r="J126" s="3"/>
      <c r="K126" s="9"/>
    </row>
    <row r="127" ht="15.75" customHeight="1">
      <c r="A127" s="10" t="s">
        <v>12</v>
      </c>
      <c r="B127" s="10" t="s">
        <v>82</v>
      </c>
      <c r="C127" s="10" t="s">
        <v>1301</v>
      </c>
      <c r="D127" s="11" t="str">
        <f t="shared" si="1"/>
        <v>Abrir anúncio ↗</v>
      </c>
      <c r="E127" s="12" t="s">
        <v>1302</v>
      </c>
      <c r="F127" s="10" t="s">
        <v>86</v>
      </c>
      <c r="G127" s="12" t="s">
        <v>470</v>
      </c>
      <c r="H127" s="12" t="s">
        <v>584</v>
      </c>
      <c r="I127" s="10"/>
      <c r="J127" s="10"/>
      <c r="K127" s="12"/>
    </row>
    <row r="128" ht="15.75" customHeight="1">
      <c r="A128" s="3" t="s">
        <v>12</v>
      </c>
      <c r="B128" s="3" t="s">
        <v>82</v>
      </c>
      <c r="C128" s="3" t="s">
        <v>1308</v>
      </c>
      <c r="D128" s="8" t="str">
        <f t="shared" si="1"/>
        <v>Abrir anúncio ↗</v>
      </c>
      <c r="E128" s="9" t="s">
        <v>1309</v>
      </c>
      <c r="F128" s="3" t="s">
        <v>86</v>
      </c>
      <c r="G128" s="9" t="s">
        <v>470</v>
      </c>
      <c r="H128" s="9" t="s">
        <v>1312</v>
      </c>
      <c r="I128" s="3"/>
      <c r="J128" s="3"/>
      <c r="K128" s="9"/>
    </row>
    <row r="129" ht="15.75" customHeight="1">
      <c r="A129" s="10" t="s">
        <v>12</v>
      </c>
      <c r="B129" s="10" t="s">
        <v>82</v>
      </c>
      <c r="C129" s="10" t="s">
        <v>1316</v>
      </c>
      <c r="D129" s="11" t="str">
        <f t="shared" si="1"/>
        <v>Abrir anúncio ↗</v>
      </c>
      <c r="E129" s="12" t="s">
        <v>1318</v>
      </c>
      <c r="F129" s="10" t="s">
        <v>86</v>
      </c>
      <c r="G129" s="12" t="s">
        <v>470</v>
      </c>
      <c r="H129" s="12" t="s">
        <v>1312</v>
      </c>
      <c r="I129" s="10"/>
      <c r="J129" s="10"/>
      <c r="K129" s="12"/>
    </row>
    <row r="130" ht="15.75" customHeight="1">
      <c r="A130" s="3" t="s">
        <v>12</v>
      </c>
      <c r="B130" s="3" t="s">
        <v>82</v>
      </c>
      <c r="C130" s="3" t="s">
        <v>1324</v>
      </c>
      <c r="D130" s="8" t="str">
        <f t="shared" si="1"/>
        <v>Abrir anúncio ↗</v>
      </c>
      <c r="E130" s="9" t="s">
        <v>1327</v>
      </c>
      <c r="F130" s="3" t="s">
        <v>86</v>
      </c>
      <c r="G130" s="9" t="s">
        <v>470</v>
      </c>
      <c r="H130" s="9" t="s">
        <v>584</v>
      </c>
      <c r="I130" s="3"/>
      <c r="J130" s="3"/>
      <c r="K130" s="9"/>
    </row>
    <row r="131" ht="15.75" customHeight="1">
      <c r="A131" s="10" t="s">
        <v>12</v>
      </c>
      <c r="B131" s="10" t="s">
        <v>82</v>
      </c>
      <c r="C131" s="10" t="s">
        <v>1333</v>
      </c>
      <c r="D131" s="11" t="str">
        <f t="shared" si="1"/>
        <v>Abrir anúncio ↗</v>
      </c>
      <c r="E131" s="12" t="s">
        <v>1334</v>
      </c>
      <c r="F131" s="10" t="s">
        <v>86</v>
      </c>
      <c r="G131" s="12" t="s">
        <v>470</v>
      </c>
      <c r="H131" s="12" t="s">
        <v>771</v>
      </c>
      <c r="I131" s="10"/>
      <c r="J131" s="10"/>
      <c r="K131" s="12"/>
    </row>
    <row r="132" ht="15.75" customHeight="1">
      <c r="A132" s="3" t="s">
        <v>12</v>
      </c>
      <c r="B132" s="3" t="s">
        <v>82</v>
      </c>
      <c r="C132" s="3" t="s">
        <v>1341</v>
      </c>
      <c r="D132" s="8" t="str">
        <f t="shared" si="1"/>
        <v>Abrir anúncio ↗</v>
      </c>
      <c r="E132" s="9" t="s">
        <v>1344</v>
      </c>
      <c r="F132" s="3" t="s">
        <v>86</v>
      </c>
      <c r="G132" s="9" t="s">
        <v>470</v>
      </c>
      <c r="H132" s="9" t="s">
        <v>1312</v>
      </c>
      <c r="I132" s="3"/>
      <c r="J132" s="3"/>
      <c r="K132" s="9"/>
    </row>
    <row r="133" ht="15.75" customHeight="1">
      <c r="A133" s="10" t="s">
        <v>12</v>
      </c>
      <c r="B133" s="10" t="s">
        <v>82</v>
      </c>
      <c r="C133" s="10" t="s">
        <v>1349</v>
      </c>
      <c r="D133" s="11" t="str">
        <f t="shared" si="1"/>
        <v>Abrir anúncio ↗</v>
      </c>
      <c r="E133" s="12" t="s">
        <v>1352</v>
      </c>
      <c r="F133" s="10" t="s">
        <v>86</v>
      </c>
      <c r="G133" s="12" t="s">
        <v>470</v>
      </c>
      <c r="H133" s="12" t="s">
        <v>584</v>
      </c>
      <c r="I133" s="10"/>
      <c r="J133" s="10"/>
      <c r="K133" s="12"/>
    </row>
    <row r="134" ht="15.75" customHeight="1">
      <c r="A134" s="3" t="s">
        <v>12</v>
      </c>
      <c r="B134" s="3" t="s">
        <v>82</v>
      </c>
      <c r="C134" s="3" t="s">
        <v>1359</v>
      </c>
      <c r="D134" s="8" t="str">
        <f t="shared" si="1"/>
        <v>Abrir anúncio ↗</v>
      </c>
      <c r="E134" s="9" t="s">
        <v>1362</v>
      </c>
      <c r="F134" s="3" t="s">
        <v>86</v>
      </c>
      <c r="G134" s="9" t="s">
        <v>470</v>
      </c>
      <c r="H134" s="9" t="s">
        <v>519</v>
      </c>
      <c r="I134" s="3"/>
      <c r="J134" s="3"/>
      <c r="K134" s="9"/>
    </row>
    <row r="135" ht="15.75" customHeight="1">
      <c r="A135" s="10" t="s">
        <v>12</v>
      </c>
      <c r="B135" s="10" t="s">
        <v>82</v>
      </c>
      <c r="C135" s="10" t="s">
        <v>1368</v>
      </c>
      <c r="D135" s="11" t="str">
        <f t="shared" si="1"/>
        <v>Abrir anúncio ↗</v>
      </c>
      <c r="E135" s="12" t="s">
        <v>1373</v>
      </c>
      <c r="F135" s="10" t="s">
        <v>86</v>
      </c>
      <c r="G135" s="12" t="s">
        <v>470</v>
      </c>
      <c r="H135" s="12" t="s">
        <v>771</v>
      </c>
      <c r="I135" s="10"/>
      <c r="J135" s="10"/>
      <c r="K135" s="12"/>
    </row>
    <row r="136" ht="15.75" customHeight="1">
      <c r="A136" s="3" t="s">
        <v>12</v>
      </c>
      <c r="B136" s="3" t="s">
        <v>82</v>
      </c>
      <c r="C136" s="3" t="s">
        <v>1383</v>
      </c>
      <c r="D136" s="8" t="str">
        <f t="shared" si="1"/>
        <v>Abrir anúncio ↗</v>
      </c>
      <c r="E136" s="9" t="s">
        <v>1384</v>
      </c>
      <c r="F136" s="3" t="s">
        <v>86</v>
      </c>
      <c r="G136" s="9" t="s">
        <v>470</v>
      </c>
      <c r="H136" s="9" t="s">
        <v>584</v>
      </c>
      <c r="I136" s="3"/>
      <c r="J136" s="3"/>
      <c r="K136" s="9"/>
    </row>
    <row r="137" ht="15.75" customHeight="1">
      <c r="A137" s="10" t="s">
        <v>12</v>
      </c>
      <c r="B137" s="10" t="s">
        <v>82</v>
      </c>
      <c r="C137" s="10" t="s">
        <v>1392</v>
      </c>
      <c r="D137" s="11" t="str">
        <f t="shared" si="1"/>
        <v>Abrir anúncio ↗</v>
      </c>
      <c r="E137" s="12" t="s">
        <v>1395</v>
      </c>
      <c r="F137" s="10" t="s">
        <v>86</v>
      </c>
      <c r="G137" s="12" t="s">
        <v>470</v>
      </c>
      <c r="H137" s="12" t="s">
        <v>771</v>
      </c>
      <c r="I137" s="10"/>
      <c r="J137" s="10"/>
      <c r="K137" s="12"/>
    </row>
    <row r="138" ht="15.75" customHeight="1">
      <c r="A138" s="3" t="s">
        <v>12</v>
      </c>
      <c r="B138" s="3" t="s">
        <v>82</v>
      </c>
      <c r="C138" s="3" t="s">
        <v>1402</v>
      </c>
      <c r="D138" s="8" t="str">
        <f t="shared" si="1"/>
        <v>Abrir anúncio ↗</v>
      </c>
      <c r="E138" s="9" t="s">
        <v>1404</v>
      </c>
      <c r="F138" s="3" t="s">
        <v>86</v>
      </c>
      <c r="G138" s="9" t="s">
        <v>470</v>
      </c>
      <c r="H138" s="9" t="s">
        <v>472</v>
      </c>
      <c r="I138" s="3"/>
      <c r="J138" s="3"/>
      <c r="K138" s="9"/>
    </row>
    <row r="139" ht="15.75" customHeight="1">
      <c r="A139" s="10" t="s">
        <v>12</v>
      </c>
      <c r="B139" s="10" t="s">
        <v>82</v>
      </c>
      <c r="C139" s="10" t="s">
        <v>1411</v>
      </c>
      <c r="D139" s="11" t="str">
        <f t="shared" si="1"/>
        <v>Abrir anúncio ↗</v>
      </c>
      <c r="E139" s="12" t="s">
        <v>1413</v>
      </c>
      <c r="F139" s="10" t="s">
        <v>86</v>
      </c>
      <c r="G139" s="12" t="s">
        <v>470</v>
      </c>
      <c r="H139" s="12" t="s">
        <v>584</v>
      </c>
      <c r="I139" s="10"/>
      <c r="J139" s="10"/>
      <c r="K139" s="12"/>
    </row>
    <row r="140" ht="15.75" customHeight="1">
      <c r="A140" s="3" t="s">
        <v>12</v>
      </c>
      <c r="B140" s="3" t="s">
        <v>82</v>
      </c>
      <c r="C140" s="3" t="s">
        <v>1420</v>
      </c>
      <c r="D140" s="8" t="str">
        <f t="shared" si="1"/>
        <v>Abrir anúncio ↗</v>
      </c>
      <c r="E140" s="9" t="s">
        <v>1421</v>
      </c>
      <c r="F140" s="3" t="s">
        <v>86</v>
      </c>
      <c r="G140" s="9" t="s">
        <v>470</v>
      </c>
      <c r="H140" s="9" t="s">
        <v>584</v>
      </c>
      <c r="I140" s="3"/>
      <c r="J140" s="3"/>
      <c r="K140" s="9"/>
    </row>
    <row r="141" ht="15.75" customHeight="1">
      <c r="A141" s="10" t="s">
        <v>12</v>
      </c>
      <c r="B141" s="10" t="s">
        <v>82</v>
      </c>
      <c r="C141" s="10" t="s">
        <v>1429</v>
      </c>
      <c r="D141" s="11" t="str">
        <f t="shared" si="1"/>
        <v>Abrir anúncio ↗</v>
      </c>
      <c r="E141" s="12" t="s">
        <v>1431</v>
      </c>
      <c r="F141" s="10" t="s">
        <v>86</v>
      </c>
      <c r="G141" s="12" t="s">
        <v>470</v>
      </c>
      <c r="H141" s="12" t="s">
        <v>584</v>
      </c>
      <c r="I141" s="10"/>
      <c r="J141" s="10"/>
      <c r="K141" s="12"/>
    </row>
    <row r="142" ht="15.75" customHeight="1">
      <c r="A142" s="3" t="s">
        <v>12</v>
      </c>
      <c r="B142" s="3" t="s">
        <v>82</v>
      </c>
      <c r="C142" s="3" t="s">
        <v>1437</v>
      </c>
      <c r="D142" s="8" t="str">
        <f t="shared" si="1"/>
        <v>Abrir anúncio ↗</v>
      </c>
      <c r="E142" s="9" t="s">
        <v>1439</v>
      </c>
      <c r="F142" s="3" t="s">
        <v>86</v>
      </c>
      <c r="G142" s="9" t="s">
        <v>470</v>
      </c>
      <c r="H142" s="9" t="s">
        <v>1312</v>
      </c>
      <c r="I142" s="3"/>
      <c r="J142" s="3"/>
      <c r="K142" s="9"/>
    </row>
    <row r="143" ht="15.75" customHeight="1">
      <c r="A143" s="10" t="s">
        <v>12</v>
      </c>
      <c r="B143" s="10" t="s">
        <v>82</v>
      </c>
      <c r="C143" s="10" t="s">
        <v>1445</v>
      </c>
      <c r="D143" s="11" t="str">
        <f t="shared" si="1"/>
        <v>Abrir anúncio ↗</v>
      </c>
      <c r="E143" s="12" t="s">
        <v>1449</v>
      </c>
      <c r="F143" s="10" t="s">
        <v>86</v>
      </c>
      <c r="G143" s="12" t="s">
        <v>470</v>
      </c>
      <c r="H143" s="12" t="s">
        <v>472</v>
      </c>
      <c r="I143" s="10"/>
      <c r="J143" s="10"/>
      <c r="K143" s="12"/>
    </row>
    <row r="144" ht="15.75" customHeight="1">
      <c r="A144" s="3" t="s">
        <v>12</v>
      </c>
      <c r="B144" s="3" t="s">
        <v>82</v>
      </c>
      <c r="C144" s="3" t="s">
        <v>1455</v>
      </c>
      <c r="D144" s="8" t="str">
        <f t="shared" si="1"/>
        <v>Abrir anúncio ↗</v>
      </c>
      <c r="E144" s="9" t="s">
        <v>1457</v>
      </c>
      <c r="F144" s="3" t="s">
        <v>86</v>
      </c>
      <c r="G144" s="9" t="s">
        <v>470</v>
      </c>
      <c r="H144" s="9" t="s">
        <v>1312</v>
      </c>
      <c r="I144" s="3"/>
      <c r="J144" s="3"/>
      <c r="K144" s="9"/>
    </row>
    <row r="145" ht="15.75" customHeight="1">
      <c r="A145" s="10" t="s">
        <v>12</v>
      </c>
      <c r="B145" s="10" t="s">
        <v>82</v>
      </c>
      <c r="C145" s="10" t="s">
        <v>1464</v>
      </c>
      <c r="D145" s="11" t="str">
        <f t="shared" si="1"/>
        <v>Abrir anúncio ↗</v>
      </c>
      <c r="E145" s="12" t="s">
        <v>1467</v>
      </c>
      <c r="F145" s="10" t="s">
        <v>86</v>
      </c>
      <c r="G145" s="12" t="s">
        <v>470</v>
      </c>
      <c r="H145" s="12" t="s">
        <v>584</v>
      </c>
      <c r="I145" s="10"/>
      <c r="J145" s="10"/>
      <c r="K145" s="12"/>
    </row>
    <row r="146" ht="15.75" customHeight="1">
      <c r="A146" s="3" t="s">
        <v>12</v>
      </c>
      <c r="B146" s="3" t="s">
        <v>82</v>
      </c>
      <c r="C146" s="3" t="s">
        <v>1472</v>
      </c>
      <c r="D146" s="8" t="str">
        <f t="shared" si="1"/>
        <v>Abrir anúncio ↗</v>
      </c>
      <c r="E146" s="9" t="s">
        <v>1475</v>
      </c>
      <c r="F146" s="3" t="s">
        <v>86</v>
      </c>
      <c r="G146" s="9" t="s">
        <v>470</v>
      </c>
      <c r="H146" s="9" t="s">
        <v>584</v>
      </c>
      <c r="I146" s="3"/>
      <c r="J146" s="3"/>
      <c r="K146" s="9"/>
    </row>
    <row r="147" ht="15.75" customHeight="1">
      <c r="A147" s="10" t="s">
        <v>12</v>
      </c>
      <c r="B147" s="10" t="s">
        <v>82</v>
      </c>
      <c r="C147" s="10" t="s">
        <v>1483</v>
      </c>
      <c r="D147" s="11" t="str">
        <f t="shared" si="1"/>
        <v>Abrir anúncio ↗</v>
      </c>
      <c r="E147" s="12" t="s">
        <v>1485</v>
      </c>
      <c r="F147" s="10" t="s">
        <v>86</v>
      </c>
      <c r="G147" s="12" t="s">
        <v>470</v>
      </c>
      <c r="H147" s="12" t="s">
        <v>472</v>
      </c>
      <c r="I147" s="10"/>
      <c r="J147" s="10"/>
      <c r="K147" s="12"/>
    </row>
    <row r="148" ht="15.75" customHeight="1">
      <c r="A148" s="3" t="s">
        <v>12</v>
      </c>
      <c r="B148" s="3" t="s">
        <v>82</v>
      </c>
      <c r="C148" s="3" t="s">
        <v>1492</v>
      </c>
      <c r="D148" s="8" t="str">
        <f t="shared" si="1"/>
        <v>Abrir anúncio ↗</v>
      </c>
      <c r="E148" s="9" t="s">
        <v>1493</v>
      </c>
      <c r="F148" s="3" t="s">
        <v>86</v>
      </c>
      <c r="G148" s="9" t="s">
        <v>470</v>
      </c>
      <c r="H148" s="9" t="s">
        <v>584</v>
      </c>
      <c r="I148" s="3"/>
      <c r="J148" s="3"/>
      <c r="K148" s="9"/>
    </row>
    <row r="149" ht="15.75" customHeight="1">
      <c r="A149" s="10" t="s">
        <v>12</v>
      </c>
      <c r="B149" s="10" t="s">
        <v>82</v>
      </c>
      <c r="C149" s="10" t="s">
        <v>1502</v>
      </c>
      <c r="D149" s="11" t="str">
        <f t="shared" si="1"/>
        <v>Abrir anúncio ↗</v>
      </c>
      <c r="E149" s="12" t="s">
        <v>1503</v>
      </c>
      <c r="F149" s="10" t="s">
        <v>86</v>
      </c>
      <c r="G149" s="12" t="s">
        <v>470</v>
      </c>
      <c r="H149" s="12" t="s">
        <v>771</v>
      </c>
      <c r="I149" s="10"/>
      <c r="J149" s="10"/>
      <c r="K149" s="12"/>
    </row>
    <row r="150" ht="15.75" customHeight="1">
      <c r="A150" s="3" t="s">
        <v>12</v>
      </c>
      <c r="B150" s="3" t="s">
        <v>82</v>
      </c>
      <c r="C150" s="3" t="s">
        <v>1512</v>
      </c>
      <c r="D150" s="8" t="str">
        <f t="shared" si="1"/>
        <v>Abrir anúncio ↗</v>
      </c>
      <c r="E150" s="9" t="s">
        <v>1515</v>
      </c>
      <c r="F150" s="3" t="s">
        <v>86</v>
      </c>
      <c r="G150" s="9" t="s">
        <v>1054</v>
      </c>
      <c r="H150" s="9" t="s">
        <v>1519</v>
      </c>
      <c r="I150" s="3"/>
      <c r="J150" s="3"/>
      <c r="K150" s="9"/>
    </row>
    <row r="151" ht="15.75" customHeight="1">
      <c r="A151" s="10" t="s">
        <v>12</v>
      </c>
      <c r="B151" s="10" t="s">
        <v>82</v>
      </c>
      <c r="C151" s="10" t="s">
        <v>1521</v>
      </c>
      <c r="D151" s="11" t="str">
        <f t="shared" si="1"/>
        <v>Abrir anúncio ↗</v>
      </c>
      <c r="E151" s="12" t="s">
        <v>1526</v>
      </c>
      <c r="F151" s="10" t="s">
        <v>86</v>
      </c>
      <c r="G151" s="12" t="s">
        <v>1054</v>
      </c>
      <c r="H151" s="12" t="s">
        <v>1519</v>
      </c>
      <c r="I151" s="10"/>
      <c r="J151" s="10"/>
      <c r="K151" s="12"/>
    </row>
    <row r="152" ht="15.75" customHeight="1">
      <c r="A152" s="3" t="s">
        <v>12</v>
      </c>
      <c r="B152" s="3" t="s">
        <v>82</v>
      </c>
      <c r="C152" s="3" t="s">
        <v>1532</v>
      </c>
      <c r="D152" s="8" t="str">
        <f t="shared" si="1"/>
        <v>Abrir anúncio ↗</v>
      </c>
      <c r="E152" s="9" t="s">
        <v>1537</v>
      </c>
      <c r="F152" s="3" t="s">
        <v>86</v>
      </c>
      <c r="G152" s="9" t="s">
        <v>991</v>
      </c>
      <c r="H152" s="9" t="s">
        <v>993</v>
      </c>
      <c r="I152" s="3"/>
      <c r="J152" s="3"/>
      <c r="K152" s="9"/>
    </row>
    <row r="153" ht="15.75" customHeight="1">
      <c r="A153" s="10" t="s">
        <v>12</v>
      </c>
      <c r="B153" s="10" t="s">
        <v>82</v>
      </c>
      <c r="C153" s="10" t="s">
        <v>1545</v>
      </c>
      <c r="D153" s="11" t="str">
        <f t="shared" si="1"/>
        <v>Abrir anúncio ↗</v>
      </c>
      <c r="E153" s="12" t="s">
        <v>1548</v>
      </c>
      <c r="F153" s="10" t="s">
        <v>86</v>
      </c>
      <c r="G153" s="12" t="s">
        <v>991</v>
      </c>
      <c r="H153" s="12" t="s">
        <v>993</v>
      </c>
      <c r="I153" s="10"/>
      <c r="J153" s="10"/>
      <c r="K153" s="12"/>
    </row>
    <row r="154" ht="15.75" customHeight="1">
      <c r="A154" s="3" t="s">
        <v>12</v>
      </c>
      <c r="B154" s="3" t="s">
        <v>82</v>
      </c>
      <c r="C154" s="3" t="s">
        <v>1554</v>
      </c>
      <c r="D154" s="8" t="str">
        <f t="shared" si="1"/>
        <v>Abrir anúncio ↗</v>
      </c>
      <c r="E154" s="9" t="s">
        <v>1558</v>
      </c>
      <c r="F154" s="3" t="s">
        <v>86</v>
      </c>
      <c r="G154" s="9" t="s">
        <v>1054</v>
      </c>
      <c r="H154" s="9" t="s">
        <v>1563</v>
      </c>
      <c r="I154" s="3"/>
      <c r="J154" s="3"/>
      <c r="K154" s="9"/>
    </row>
    <row r="155" ht="15.75" customHeight="1">
      <c r="A155" s="10" t="s">
        <v>12</v>
      </c>
      <c r="B155" s="10" t="s">
        <v>82</v>
      </c>
      <c r="C155" s="10" t="s">
        <v>1568</v>
      </c>
      <c r="D155" s="11" t="str">
        <f t="shared" si="1"/>
        <v>Abrir anúncio ↗</v>
      </c>
      <c r="E155" s="12" t="s">
        <v>1571</v>
      </c>
      <c r="F155" s="10" t="s">
        <v>86</v>
      </c>
      <c r="G155" s="12" t="s">
        <v>470</v>
      </c>
      <c r="H155" s="12" t="s">
        <v>771</v>
      </c>
      <c r="I155" s="10"/>
      <c r="J155" s="10"/>
      <c r="K155" s="12"/>
    </row>
    <row r="156" ht="15.75" customHeight="1">
      <c r="A156" s="3" t="s">
        <v>12</v>
      </c>
      <c r="B156" s="3" t="s">
        <v>82</v>
      </c>
      <c r="C156" s="3" t="s">
        <v>1578</v>
      </c>
      <c r="D156" s="8" t="str">
        <f t="shared" si="1"/>
        <v>Abrir anúncio ↗</v>
      </c>
      <c r="E156" s="9" t="s">
        <v>1581</v>
      </c>
      <c r="F156" s="3" t="s">
        <v>86</v>
      </c>
      <c r="G156" s="9" t="s">
        <v>470</v>
      </c>
      <c r="H156" s="9" t="s">
        <v>472</v>
      </c>
      <c r="I156" s="3"/>
      <c r="J156" s="3"/>
      <c r="K156" s="9"/>
    </row>
    <row r="157" ht="15.75" customHeight="1">
      <c r="A157" s="10" t="s">
        <v>12</v>
      </c>
      <c r="B157" s="10" t="s">
        <v>82</v>
      </c>
      <c r="C157" s="10" t="s">
        <v>1589</v>
      </c>
      <c r="D157" s="11" t="str">
        <f t="shared" si="1"/>
        <v>Abrir anúncio ↗</v>
      </c>
      <c r="E157" s="12" t="s">
        <v>1591</v>
      </c>
      <c r="F157" s="10" t="s">
        <v>86</v>
      </c>
      <c r="G157" s="12" t="s">
        <v>470</v>
      </c>
      <c r="H157" s="12" t="s">
        <v>472</v>
      </c>
      <c r="I157" s="10"/>
      <c r="J157" s="10"/>
      <c r="K157" s="12"/>
    </row>
    <row r="158" ht="15.75" customHeight="1">
      <c r="A158" s="3" t="s">
        <v>12</v>
      </c>
      <c r="B158" s="3" t="s">
        <v>82</v>
      </c>
      <c r="C158" s="3" t="s">
        <v>1600</v>
      </c>
      <c r="D158" s="8" t="str">
        <f t="shared" si="1"/>
        <v>Abrir anúncio ↗</v>
      </c>
      <c r="E158" s="9" t="s">
        <v>1604</v>
      </c>
      <c r="F158" s="3" t="s">
        <v>86</v>
      </c>
      <c r="G158" s="9" t="s">
        <v>470</v>
      </c>
      <c r="H158" s="9" t="s">
        <v>472</v>
      </c>
      <c r="I158" s="3"/>
      <c r="J158" s="3"/>
      <c r="K158" s="9"/>
    </row>
    <row r="159" ht="15.75" customHeight="1">
      <c r="A159" s="10" t="s">
        <v>12</v>
      </c>
      <c r="B159" s="10" t="s">
        <v>82</v>
      </c>
      <c r="C159" s="10" t="s">
        <v>1612</v>
      </c>
      <c r="D159" s="11" t="str">
        <f t="shared" si="1"/>
        <v>Abrir anúncio ↗</v>
      </c>
      <c r="E159" s="12" t="s">
        <v>1615</v>
      </c>
      <c r="F159" s="10" t="s">
        <v>86</v>
      </c>
      <c r="G159" s="12" t="s">
        <v>470</v>
      </c>
      <c r="H159" s="12" t="s">
        <v>771</v>
      </c>
      <c r="I159" s="10"/>
      <c r="J159" s="10"/>
      <c r="K159" s="12"/>
    </row>
    <row r="160" ht="15.75" customHeight="1">
      <c r="A160" s="3" t="s">
        <v>12</v>
      </c>
      <c r="B160" s="3" t="s">
        <v>82</v>
      </c>
      <c r="C160" s="3" t="s">
        <v>1624</v>
      </c>
      <c r="D160" s="8" t="str">
        <f t="shared" si="1"/>
        <v>Abrir anúncio ↗</v>
      </c>
      <c r="E160" s="9" t="s">
        <v>1628</v>
      </c>
      <c r="F160" s="3" t="s">
        <v>86</v>
      </c>
      <c r="G160" s="9" t="s">
        <v>470</v>
      </c>
      <c r="H160" s="9" t="s">
        <v>771</v>
      </c>
      <c r="I160" s="3"/>
      <c r="J160" s="3"/>
      <c r="K160" s="9"/>
    </row>
    <row r="161" ht="15.75" customHeight="1">
      <c r="A161" s="10" t="s">
        <v>12</v>
      </c>
      <c r="B161" s="10" t="s">
        <v>82</v>
      </c>
      <c r="C161" s="10" t="s">
        <v>1633</v>
      </c>
      <c r="D161" s="11" t="str">
        <f t="shared" si="1"/>
        <v>Abrir anúncio ↗</v>
      </c>
      <c r="E161" s="12" t="s">
        <v>1638</v>
      </c>
      <c r="F161" s="10" t="s">
        <v>86</v>
      </c>
      <c r="G161" s="12" t="s">
        <v>470</v>
      </c>
      <c r="H161" s="12" t="s">
        <v>472</v>
      </c>
      <c r="I161" s="10"/>
      <c r="J161" s="10"/>
      <c r="K161" s="12"/>
    </row>
    <row r="162" ht="15.75" customHeight="1">
      <c r="A162" s="3" t="s">
        <v>12</v>
      </c>
      <c r="B162" s="3" t="s">
        <v>82</v>
      </c>
      <c r="C162" s="3" t="s">
        <v>1645</v>
      </c>
      <c r="D162" s="8" t="str">
        <f t="shared" si="1"/>
        <v>Abrir anúncio ↗</v>
      </c>
      <c r="E162" s="9" t="s">
        <v>1648</v>
      </c>
      <c r="F162" s="3" t="s">
        <v>86</v>
      </c>
      <c r="G162" s="9" t="s">
        <v>1054</v>
      </c>
      <c r="H162" s="9" t="s">
        <v>1651</v>
      </c>
      <c r="I162" s="3"/>
      <c r="J162" s="3"/>
      <c r="K162" s="9"/>
    </row>
    <row r="163" ht="15.75" customHeight="1">
      <c r="A163" s="10" t="s">
        <v>12</v>
      </c>
      <c r="B163" s="10" t="s">
        <v>82</v>
      </c>
      <c r="C163" s="10" t="s">
        <v>1656</v>
      </c>
      <c r="D163" s="11" t="str">
        <f t="shared" si="1"/>
        <v>Abrir anúncio ↗</v>
      </c>
      <c r="E163" s="12" t="s">
        <v>1658</v>
      </c>
      <c r="F163" s="10" t="s">
        <v>86</v>
      </c>
      <c r="G163" s="12" t="s">
        <v>1662</v>
      </c>
      <c r="H163" s="12" t="s">
        <v>1665</v>
      </c>
      <c r="I163" s="10"/>
      <c r="J163" s="10"/>
      <c r="K163" s="12"/>
    </row>
    <row r="164" ht="15.75" customHeight="1">
      <c r="A164" s="3" t="s">
        <v>12</v>
      </c>
      <c r="B164" s="3" t="s">
        <v>82</v>
      </c>
      <c r="C164" s="3" t="s">
        <v>1668</v>
      </c>
      <c r="D164" s="8" t="str">
        <f t="shared" si="1"/>
        <v>Abrir anúncio ↗</v>
      </c>
      <c r="E164" s="9" t="s">
        <v>1671</v>
      </c>
      <c r="F164" s="3" t="s">
        <v>86</v>
      </c>
      <c r="G164" s="9" t="s">
        <v>965</v>
      </c>
      <c r="H164" s="9" t="s">
        <v>1676</v>
      </c>
      <c r="I164" s="3"/>
      <c r="J164" s="3"/>
      <c r="K164" s="9"/>
    </row>
    <row r="165" ht="15.75" customHeight="1">
      <c r="A165" s="10" t="s">
        <v>12</v>
      </c>
      <c r="B165" s="10" t="s">
        <v>82</v>
      </c>
      <c r="C165" s="10" t="s">
        <v>1678</v>
      </c>
      <c r="D165" s="11" t="str">
        <f t="shared" si="1"/>
        <v>Abrir anúncio ↗</v>
      </c>
      <c r="E165" s="12" t="s">
        <v>1683</v>
      </c>
      <c r="F165" s="10" t="s">
        <v>86</v>
      </c>
      <c r="G165" s="12" t="s">
        <v>470</v>
      </c>
      <c r="H165" s="12" t="s">
        <v>472</v>
      </c>
      <c r="I165" s="10"/>
      <c r="J165" s="10"/>
      <c r="K165" s="12"/>
    </row>
    <row r="166" ht="15.75" customHeight="1">
      <c r="A166" s="3" t="s">
        <v>12</v>
      </c>
      <c r="B166" s="3" t="s">
        <v>82</v>
      </c>
      <c r="C166" s="3" t="s">
        <v>1690</v>
      </c>
      <c r="D166" s="8" t="str">
        <f t="shared" si="1"/>
        <v>Abrir anúncio ↗</v>
      </c>
      <c r="E166" s="9" t="s">
        <v>1694</v>
      </c>
      <c r="F166" s="3" t="s">
        <v>86</v>
      </c>
      <c r="G166" s="9" t="s">
        <v>470</v>
      </c>
      <c r="H166" s="9" t="s">
        <v>472</v>
      </c>
      <c r="I166" s="3"/>
      <c r="J166" s="3"/>
      <c r="K166" s="9"/>
    </row>
    <row r="167" ht="15.75" customHeight="1">
      <c r="A167" s="10" t="s">
        <v>12</v>
      </c>
      <c r="B167" s="10" t="s">
        <v>82</v>
      </c>
      <c r="C167" s="10" t="s">
        <v>1702</v>
      </c>
      <c r="D167" s="11" t="str">
        <f t="shared" si="1"/>
        <v>Abrir anúncio ↗</v>
      </c>
      <c r="E167" s="12" t="s">
        <v>1704</v>
      </c>
      <c r="F167" s="10" t="s">
        <v>86</v>
      </c>
      <c r="G167" s="12" t="s">
        <v>470</v>
      </c>
      <c r="H167" s="12" t="s">
        <v>472</v>
      </c>
      <c r="I167" s="10"/>
      <c r="J167" s="10"/>
      <c r="K167" s="12"/>
    </row>
    <row r="168" ht="15.75" customHeight="1">
      <c r="A168" s="3" t="s">
        <v>12</v>
      </c>
      <c r="B168" s="3" t="s">
        <v>82</v>
      </c>
      <c r="C168" s="3" t="s">
        <v>1712</v>
      </c>
      <c r="D168" s="8" t="str">
        <f t="shared" si="1"/>
        <v>Abrir anúncio ↗</v>
      </c>
      <c r="E168" s="9" t="s">
        <v>1715</v>
      </c>
      <c r="F168" s="3" t="s">
        <v>29</v>
      </c>
      <c r="G168" s="9" t="s">
        <v>470</v>
      </c>
      <c r="H168" s="9" t="s">
        <v>519</v>
      </c>
      <c r="I168" s="3"/>
      <c r="J168" s="3"/>
      <c r="K168" s="9"/>
    </row>
    <row r="169" ht="15.75" customHeight="1">
      <c r="A169" s="10" t="s">
        <v>12</v>
      </c>
      <c r="B169" s="10" t="s">
        <v>82</v>
      </c>
      <c r="C169" s="10" t="s">
        <v>1722</v>
      </c>
      <c r="D169" s="11" t="str">
        <f t="shared" si="1"/>
        <v>Abrir anúncio ↗</v>
      </c>
      <c r="E169" s="12" t="s">
        <v>1724</v>
      </c>
      <c r="F169" s="10" t="s">
        <v>86</v>
      </c>
      <c r="G169" s="12" t="s">
        <v>470</v>
      </c>
      <c r="H169" s="12" t="s">
        <v>771</v>
      </c>
      <c r="I169" s="10"/>
      <c r="J169" s="10"/>
      <c r="K169" s="12"/>
    </row>
    <row r="170" ht="15.75" customHeight="1">
      <c r="A170" s="3" t="s">
        <v>12</v>
      </c>
      <c r="B170" s="3" t="s">
        <v>82</v>
      </c>
      <c r="C170" s="3" t="s">
        <v>1732</v>
      </c>
      <c r="D170" s="8" t="str">
        <f t="shared" si="1"/>
        <v>Abrir anúncio ↗</v>
      </c>
      <c r="E170" s="9" t="s">
        <v>1735</v>
      </c>
      <c r="F170" s="3" t="s">
        <v>86</v>
      </c>
      <c r="G170" s="9" t="s">
        <v>1662</v>
      </c>
      <c r="H170" s="9" t="s">
        <v>1740</v>
      </c>
      <c r="I170" s="3"/>
      <c r="J170" s="3"/>
      <c r="K170" s="9"/>
    </row>
    <row r="171" ht="15.75" customHeight="1">
      <c r="A171" s="10" t="s">
        <v>12</v>
      </c>
      <c r="B171" s="10" t="s">
        <v>82</v>
      </c>
      <c r="C171" s="10" t="s">
        <v>1745</v>
      </c>
      <c r="D171" s="11" t="str">
        <f t="shared" si="1"/>
        <v>Abrir anúncio ↗</v>
      </c>
      <c r="E171" s="12" t="s">
        <v>1747</v>
      </c>
      <c r="F171" s="10" t="s">
        <v>86</v>
      </c>
      <c r="G171" s="12" t="s">
        <v>1054</v>
      </c>
      <c r="H171" s="12" t="s">
        <v>1750</v>
      </c>
      <c r="I171" s="10"/>
      <c r="J171" s="10"/>
      <c r="K171" s="12"/>
    </row>
    <row r="172" ht="15.75" customHeight="1">
      <c r="A172" s="3" t="s">
        <v>12</v>
      </c>
      <c r="B172" s="3" t="s">
        <v>82</v>
      </c>
      <c r="C172" s="3" t="s">
        <v>1756</v>
      </c>
      <c r="D172" s="8" t="str">
        <f t="shared" si="1"/>
        <v>Abrir anúncio ↗</v>
      </c>
      <c r="E172" s="9" t="s">
        <v>1758</v>
      </c>
      <c r="F172" s="3" t="s">
        <v>86</v>
      </c>
      <c r="G172" s="9" t="s">
        <v>1054</v>
      </c>
      <c r="H172" s="9" t="s">
        <v>1651</v>
      </c>
      <c r="I172" s="3"/>
      <c r="J172" s="3"/>
      <c r="K172" s="9"/>
    </row>
    <row r="173" ht="15.75" customHeight="1">
      <c r="A173" s="10" t="s">
        <v>12</v>
      </c>
      <c r="B173" s="10" t="s">
        <v>82</v>
      </c>
      <c r="C173" s="10" t="s">
        <v>1768</v>
      </c>
      <c r="D173" s="11" t="str">
        <f t="shared" si="1"/>
        <v>Abrir anúncio ↗</v>
      </c>
      <c r="E173" s="12" t="s">
        <v>1769</v>
      </c>
      <c r="F173" s="10" t="s">
        <v>86</v>
      </c>
      <c r="G173" s="12" t="s">
        <v>1054</v>
      </c>
      <c r="H173" s="12" t="s">
        <v>1056</v>
      </c>
      <c r="I173" s="10"/>
      <c r="J173" s="10"/>
      <c r="K173" s="12"/>
    </row>
    <row r="174" ht="15.75" customHeight="1">
      <c r="A174" s="3" t="s">
        <v>12</v>
      </c>
      <c r="B174" s="3" t="s">
        <v>82</v>
      </c>
      <c r="C174" s="3" t="s">
        <v>1777</v>
      </c>
      <c r="D174" s="8" t="str">
        <f t="shared" si="1"/>
        <v>Abrir anúncio ↗</v>
      </c>
      <c r="E174" s="9" t="s">
        <v>1780</v>
      </c>
      <c r="F174" s="3" t="s">
        <v>86</v>
      </c>
      <c r="G174" s="9" t="s">
        <v>470</v>
      </c>
      <c r="H174" s="9" t="s">
        <v>519</v>
      </c>
      <c r="I174" s="3"/>
      <c r="J174" s="3"/>
      <c r="K174" s="9"/>
    </row>
    <row r="175" ht="15.75" customHeight="1">
      <c r="A175" s="10" t="s">
        <v>12</v>
      </c>
      <c r="B175" s="10" t="s">
        <v>82</v>
      </c>
      <c r="C175" s="10" t="s">
        <v>1788</v>
      </c>
      <c r="D175" s="11" t="str">
        <f t="shared" si="1"/>
        <v>Abrir anúncio ↗</v>
      </c>
      <c r="E175" s="12" t="s">
        <v>1791</v>
      </c>
      <c r="F175" s="10" t="s">
        <v>86</v>
      </c>
      <c r="G175" s="12" t="s">
        <v>470</v>
      </c>
      <c r="H175" s="12" t="s">
        <v>584</v>
      </c>
      <c r="I175" s="10"/>
      <c r="J175" s="10"/>
      <c r="K175" s="12"/>
    </row>
    <row r="176" ht="15.75" customHeight="1">
      <c r="A176" s="3" t="s">
        <v>12</v>
      </c>
      <c r="B176" s="3" t="s">
        <v>82</v>
      </c>
      <c r="C176" s="3" t="s">
        <v>1798</v>
      </c>
      <c r="D176" s="8" t="str">
        <f t="shared" si="1"/>
        <v>Abrir anúncio ↗</v>
      </c>
      <c r="E176" s="9" t="s">
        <v>1801</v>
      </c>
      <c r="F176" s="3" t="s">
        <v>86</v>
      </c>
      <c r="G176" s="9" t="s">
        <v>1054</v>
      </c>
      <c r="H176" s="9" t="s">
        <v>1804</v>
      </c>
      <c r="I176" s="3"/>
      <c r="J176" s="3"/>
      <c r="K176" s="9"/>
    </row>
    <row r="177" ht="15.75" customHeight="1">
      <c r="A177" s="10" t="s">
        <v>12</v>
      </c>
      <c r="B177" s="10" t="s">
        <v>82</v>
      </c>
      <c r="C177" s="10" t="s">
        <v>1811</v>
      </c>
      <c r="D177" s="11" t="str">
        <f t="shared" si="1"/>
        <v>Abrir anúncio ↗</v>
      </c>
      <c r="E177" s="12" t="s">
        <v>1813</v>
      </c>
      <c r="F177" s="10" t="s">
        <v>86</v>
      </c>
      <c r="G177" s="12" t="s">
        <v>1054</v>
      </c>
      <c r="H177" s="12" t="s">
        <v>1815</v>
      </c>
      <c r="I177" s="10"/>
      <c r="J177" s="10"/>
      <c r="K177" s="12"/>
    </row>
    <row r="178" ht="15.75" customHeight="1">
      <c r="A178" s="3" t="s">
        <v>12</v>
      </c>
      <c r="B178" s="3" t="s">
        <v>82</v>
      </c>
      <c r="C178" s="3" t="s">
        <v>1821</v>
      </c>
      <c r="D178" s="8" t="str">
        <f t="shared" si="1"/>
        <v>Abrir anúncio ↗</v>
      </c>
      <c r="E178" s="9" t="s">
        <v>1822</v>
      </c>
      <c r="F178" s="3" t="s">
        <v>86</v>
      </c>
      <c r="G178" s="9" t="s">
        <v>470</v>
      </c>
      <c r="H178" s="9" t="s">
        <v>472</v>
      </c>
      <c r="I178" s="3"/>
      <c r="J178" s="3"/>
      <c r="K178" s="9"/>
    </row>
    <row r="179" ht="15.75" customHeight="1">
      <c r="A179" s="10" t="s">
        <v>12</v>
      </c>
      <c r="B179" s="10" t="s">
        <v>82</v>
      </c>
      <c r="C179" s="10" t="s">
        <v>1831</v>
      </c>
      <c r="D179" s="11" t="str">
        <f t="shared" si="1"/>
        <v>Abrir anúncio ↗</v>
      </c>
      <c r="E179" s="12" t="s">
        <v>1832</v>
      </c>
      <c r="F179" s="10" t="s">
        <v>29</v>
      </c>
      <c r="G179" s="12" t="s">
        <v>470</v>
      </c>
      <c r="H179" s="12" t="s">
        <v>472</v>
      </c>
      <c r="I179" s="10"/>
      <c r="J179" s="10"/>
      <c r="K179" s="12"/>
    </row>
    <row r="180" ht="15.75" customHeight="1">
      <c r="A180" s="3" t="s">
        <v>12</v>
      </c>
      <c r="B180" s="3" t="s">
        <v>82</v>
      </c>
      <c r="C180" s="3" t="s">
        <v>1840</v>
      </c>
      <c r="D180" s="8" t="str">
        <f t="shared" si="1"/>
        <v>Abrir anúncio ↗</v>
      </c>
      <c r="E180" s="9" t="s">
        <v>1843</v>
      </c>
      <c r="F180" s="3" t="s">
        <v>86</v>
      </c>
      <c r="G180" s="9" t="s">
        <v>470</v>
      </c>
      <c r="H180" s="9" t="s">
        <v>472</v>
      </c>
      <c r="I180" s="3"/>
      <c r="J180" s="3"/>
      <c r="K180" s="9"/>
    </row>
    <row r="181" ht="15.75" customHeight="1">
      <c r="A181" s="10" t="s">
        <v>12</v>
      </c>
      <c r="B181" s="10" t="s">
        <v>82</v>
      </c>
      <c r="C181" s="10" t="s">
        <v>1850</v>
      </c>
      <c r="D181" s="11" t="str">
        <f t="shared" si="1"/>
        <v>Abrir anúncio ↗</v>
      </c>
      <c r="E181" s="12" t="s">
        <v>1852</v>
      </c>
      <c r="F181" s="10" t="s">
        <v>86</v>
      </c>
      <c r="G181" s="12" t="s">
        <v>470</v>
      </c>
      <c r="H181" s="12" t="s">
        <v>472</v>
      </c>
      <c r="I181" s="10"/>
      <c r="J181" s="10"/>
      <c r="K181" s="12"/>
    </row>
    <row r="182" ht="15.75" customHeight="1">
      <c r="A182" s="3" t="s">
        <v>12</v>
      </c>
      <c r="B182" s="3" t="s">
        <v>82</v>
      </c>
      <c r="C182" s="3" t="s">
        <v>1860</v>
      </c>
      <c r="D182" s="8" t="str">
        <f t="shared" si="1"/>
        <v>Abrir anúncio ↗</v>
      </c>
      <c r="E182" s="9" t="s">
        <v>1863</v>
      </c>
      <c r="F182" s="3" t="s">
        <v>29</v>
      </c>
      <c r="G182" s="9" t="s">
        <v>470</v>
      </c>
      <c r="H182" s="9" t="s">
        <v>584</v>
      </c>
      <c r="I182" s="3"/>
      <c r="J182" s="3"/>
      <c r="K182" s="9"/>
    </row>
    <row r="183" ht="15.75" customHeight="1">
      <c r="A183" s="10" t="s">
        <v>12</v>
      </c>
      <c r="B183" s="10" t="s">
        <v>82</v>
      </c>
      <c r="C183" s="10" t="s">
        <v>1872</v>
      </c>
      <c r="D183" s="11" t="str">
        <f t="shared" si="1"/>
        <v>Abrir anúncio ↗</v>
      </c>
      <c r="E183" s="12" t="s">
        <v>1874</v>
      </c>
      <c r="F183" s="10" t="s">
        <v>86</v>
      </c>
      <c r="G183" s="12" t="s">
        <v>470</v>
      </c>
      <c r="H183" s="12" t="s">
        <v>584</v>
      </c>
      <c r="I183" s="10"/>
      <c r="J183" s="10"/>
      <c r="K183" s="12"/>
    </row>
    <row r="184" ht="15.75" customHeight="1">
      <c r="A184" s="3" t="s">
        <v>12</v>
      </c>
      <c r="B184" s="3" t="s">
        <v>82</v>
      </c>
      <c r="C184" s="3" t="s">
        <v>1879</v>
      </c>
      <c r="D184" s="8" t="str">
        <f t="shared" si="1"/>
        <v>Abrir anúncio ↗</v>
      </c>
      <c r="E184" s="9" t="s">
        <v>1882</v>
      </c>
      <c r="F184" s="3" t="s">
        <v>29</v>
      </c>
      <c r="G184" s="9" t="s">
        <v>470</v>
      </c>
      <c r="H184" s="9" t="s">
        <v>472</v>
      </c>
      <c r="I184" s="3"/>
      <c r="J184" s="3"/>
      <c r="K184" s="9"/>
    </row>
    <row r="185" ht="15.75" customHeight="1">
      <c r="A185" s="10" t="s">
        <v>12</v>
      </c>
      <c r="B185" s="10" t="s">
        <v>82</v>
      </c>
      <c r="C185" s="10" t="s">
        <v>1888</v>
      </c>
      <c r="D185" s="11" t="str">
        <f t="shared" si="1"/>
        <v>Abrir anúncio ↗</v>
      </c>
      <c r="E185" s="12" t="s">
        <v>1892</v>
      </c>
      <c r="F185" s="10" t="s">
        <v>86</v>
      </c>
      <c r="G185" s="12" t="s">
        <v>965</v>
      </c>
      <c r="H185" s="12" t="s">
        <v>1897</v>
      </c>
      <c r="I185" s="10"/>
      <c r="J185" s="10"/>
      <c r="K185" s="12"/>
    </row>
    <row r="186" ht="15.75" customHeight="1">
      <c r="A186" s="3" t="s">
        <v>12</v>
      </c>
      <c r="B186" s="3" t="s">
        <v>82</v>
      </c>
      <c r="C186" s="3" t="s">
        <v>1902</v>
      </c>
      <c r="D186" s="8" t="str">
        <f t="shared" si="1"/>
        <v>Abrir anúncio ↗</v>
      </c>
      <c r="E186" s="9" t="s">
        <v>1904</v>
      </c>
      <c r="F186" s="3" t="s">
        <v>86</v>
      </c>
      <c r="G186" s="9" t="s">
        <v>965</v>
      </c>
      <c r="H186" s="9" t="s">
        <v>1676</v>
      </c>
      <c r="I186" s="3"/>
      <c r="J186" s="3"/>
      <c r="K186" s="9"/>
    </row>
    <row r="187" ht="15.75" customHeight="1">
      <c r="A187" s="10" t="s">
        <v>12</v>
      </c>
      <c r="B187" s="10" t="s">
        <v>82</v>
      </c>
      <c r="C187" s="10" t="s">
        <v>1910</v>
      </c>
      <c r="D187" s="11" t="str">
        <f t="shared" si="1"/>
        <v>Abrir anúncio ↗</v>
      </c>
      <c r="E187" s="12" t="s">
        <v>1913</v>
      </c>
      <c r="F187" s="10" t="s">
        <v>86</v>
      </c>
      <c r="G187" s="12" t="s">
        <v>965</v>
      </c>
      <c r="H187" s="12" t="s">
        <v>1003</v>
      </c>
      <c r="I187" s="10"/>
      <c r="J187" s="10"/>
      <c r="K187" s="12"/>
    </row>
    <row r="188" ht="15.75" customHeight="1">
      <c r="A188" s="3" t="s">
        <v>12</v>
      </c>
      <c r="B188" s="3" t="s">
        <v>82</v>
      </c>
      <c r="C188" s="3" t="s">
        <v>1919</v>
      </c>
      <c r="D188" s="8" t="str">
        <f t="shared" si="1"/>
        <v>Abrir anúncio ↗</v>
      </c>
      <c r="E188" s="9" t="s">
        <v>1922</v>
      </c>
      <c r="F188" s="3" t="s">
        <v>86</v>
      </c>
      <c r="G188" s="9" t="s">
        <v>965</v>
      </c>
      <c r="H188" s="9" t="s">
        <v>1015</v>
      </c>
      <c r="I188" s="3"/>
      <c r="J188" s="3"/>
      <c r="K188" s="9"/>
    </row>
    <row r="189" ht="15.75" customHeight="1">
      <c r="A189" s="10" t="s">
        <v>12</v>
      </c>
      <c r="B189" s="10" t="s">
        <v>82</v>
      </c>
      <c r="C189" s="10" t="s">
        <v>1930</v>
      </c>
      <c r="D189" s="11" t="str">
        <f t="shared" si="1"/>
        <v>Abrir anúncio ↗</v>
      </c>
      <c r="E189" s="12" t="s">
        <v>1932</v>
      </c>
      <c r="F189" s="10" t="s">
        <v>86</v>
      </c>
      <c r="G189" s="12" t="s">
        <v>965</v>
      </c>
      <c r="H189" s="12" t="s">
        <v>1934</v>
      </c>
      <c r="I189" s="10"/>
      <c r="J189" s="10"/>
      <c r="K189" s="12"/>
    </row>
    <row r="190" ht="15.75" customHeight="1">
      <c r="A190" s="3" t="s">
        <v>12</v>
      </c>
      <c r="B190" s="3" t="s">
        <v>82</v>
      </c>
      <c r="C190" s="3" t="s">
        <v>1940</v>
      </c>
      <c r="D190" s="8" t="str">
        <f t="shared" si="1"/>
        <v>Abrir anúncio ↗</v>
      </c>
      <c r="E190" s="9" t="s">
        <v>1439</v>
      </c>
      <c r="F190" s="3" t="s">
        <v>86</v>
      </c>
      <c r="G190" s="9" t="s">
        <v>991</v>
      </c>
      <c r="H190" s="9" t="s">
        <v>993</v>
      </c>
      <c r="I190" s="3"/>
      <c r="J190" s="3"/>
      <c r="K190" s="9"/>
    </row>
    <row r="191" ht="15.75" customHeight="1">
      <c r="A191" s="10" t="s">
        <v>12</v>
      </c>
      <c r="B191" s="10" t="s">
        <v>82</v>
      </c>
      <c r="C191" s="10" t="s">
        <v>1949</v>
      </c>
      <c r="D191" s="11" t="str">
        <f t="shared" si="1"/>
        <v>Abrir anúncio ↗</v>
      </c>
      <c r="E191" s="12" t="s">
        <v>1954</v>
      </c>
      <c r="F191" s="10" t="s">
        <v>86</v>
      </c>
      <c r="G191" s="12" t="s">
        <v>1957</v>
      </c>
      <c r="H191" s="12" t="s">
        <v>1958</v>
      </c>
      <c r="I191" s="10"/>
      <c r="J191" s="10"/>
      <c r="K191" s="12"/>
    </row>
    <row r="192" ht="15.75" customHeight="1">
      <c r="A192" s="3" t="s">
        <v>12</v>
      </c>
      <c r="B192" s="3" t="s">
        <v>82</v>
      </c>
      <c r="C192" s="3" t="s">
        <v>1965</v>
      </c>
      <c r="D192" s="8" t="str">
        <f t="shared" si="1"/>
        <v>Abrir anúncio ↗</v>
      </c>
      <c r="E192" s="9" t="s">
        <v>1968</v>
      </c>
      <c r="F192" s="3" t="s">
        <v>29</v>
      </c>
      <c r="G192" s="9" t="s">
        <v>965</v>
      </c>
      <c r="H192" s="9" t="s">
        <v>1934</v>
      </c>
      <c r="I192" s="3"/>
      <c r="J192" s="3"/>
      <c r="K192" s="9"/>
    </row>
    <row r="193" ht="15.75" customHeight="1">
      <c r="A193" s="10" t="s">
        <v>12</v>
      </c>
      <c r="B193" s="10" t="s">
        <v>82</v>
      </c>
      <c r="C193" s="10" t="s">
        <v>1977</v>
      </c>
      <c r="D193" s="11" t="str">
        <f t="shared" si="1"/>
        <v>Abrir anúncio ↗</v>
      </c>
      <c r="E193" s="12" t="s">
        <v>1979</v>
      </c>
      <c r="F193" s="10" t="s">
        <v>29</v>
      </c>
      <c r="G193" s="12" t="s">
        <v>965</v>
      </c>
      <c r="H193" s="12" t="s">
        <v>967</v>
      </c>
      <c r="I193" s="10"/>
      <c r="J193" s="10"/>
      <c r="K193" s="12"/>
    </row>
    <row r="194" ht="15.75" customHeight="1">
      <c r="A194" s="3" t="s">
        <v>12</v>
      </c>
      <c r="B194" s="3" t="s">
        <v>82</v>
      </c>
      <c r="C194" s="3" t="s">
        <v>1986</v>
      </c>
      <c r="D194" s="8" t="str">
        <f t="shared" si="1"/>
        <v>Abrir anúncio ↗</v>
      </c>
      <c r="E194" s="9" t="s">
        <v>1988</v>
      </c>
      <c r="F194" s="3" t="s">
        <v>29</v>
      </c>
      <c r="G194" s="9" t="s">
        <v>965</v>
      </c>
      <c r="H194" s="9" t="s">
        <v>1996</v>
      </c>
      <c r="I194" s="3"/>
      <c r="J194" s="3"/>
      <c r="K194" s="9"/>
    </row>
    <row r="195" ht="15.75" customHeight="1">
      <c r="A195" s="10" t="s">
        <v>12</v>
      </c>
      <c r="B195" s="10" t="s">
        <v>82</v>
      </c>
      <c r="C195" s="10" t="s">
        <v>2002</v>
      </c>
      <c r="D195" s="11" t="str">
        <f t="shared" si="1"/>
        <v>Abrir anúncio ↗</v>
      </c>
      <c r="E195" s="12" t="s">
        <v>2003</v>
      </c>
      <c r="F195" s="10" t="s">
        <v>29</v>
      </c>
      <c r="G195" s="12" t="s">
        <v>965</v>
      </c>
      <c r="H195" s="12" t="s">
        <v>2008</v>
      </c>
      <c r="I195" s="10"/>
      <c r="J195" s="10"/>
      <c r="K195" s="12"/>
    </row>
    <row r="196" ht="15.75" customHeight="1">
      <c r="A196" s="3" t="s">
        <v>12</v>
      </c>
      <c r="B196" s="3" t="s">
        <v>82</v>
      </c>
      <c r="C196" s="3" t="s">
        <v>2012</v>
      </c>
      <c r="D196" s="8" t="str">
        <f t="shared" si="1"/>
        <v>Abrir anúncio ↗</v>
      </c>
      <c r="E196" s="9" t="s">
        <v>2014</v>
      </c>
      <c r="F196" s="3" t="s">
        <v>29</v>
      </c>
      <c r="G196" s="9" t="s">
        <v>965</v>
      </c>
      <c r="H196" s="9" t="s">
        <v>2018</v>
      </c>
      <c r="I196" s="3"/>
      <c r="J196" s="3"/>
      <c r="K196" s="9"/>
    </row>
    <row r="197" ht="15.75" customHeight="1">
      <c r="A197" s="10" t="s">
        <v>12</v>
      </c>
      <c r="B197" s="10" t="s">
        <v>82</v>
      </c>
      <c r="C197" s="10" t="s">
        <v>2023</v>
      </c>
      <c r="D197" s="11" t="str">
        <f t="shared" si="1"/>
        <v>Abrir anúncio ↗</v>
      </c>
      <c r="E197" s="12" t="s">
        <v>2025</v>
      </c>
      <c r="F197" s="10" t="s">
        <v>29</v>
      </c>
      <c r="G197" s="12" t="s">
        <v>965</v>
      </c>
      <c r="H197" s="12" t="s">
        <v>967</v>
      </c>
      <c r="I197" s="10"/>
      <c r="J197" s="10"/>
      <c r="K197" s="12"/>
    </row>
    <row r="198" ht="15.75" customHeight="1">
      <c r="A198" s="3" t="s">
        <v>12</v>
      </c>
      <c r="B198" s="3" t="s">
        <v>82</v>
      </c>
      <c r="C198" s="3" t="s">
        <v>2033</v>
      </c>
      <c r="D198" s="8" t="str">
        <f t="shared" si="1"/>
        <v>Abrir anúncio ↗</v>
      </c>
      <c r="E198" s="9" t="s">
        <v>2036</v>
      </c>
      <c r="F198" s="3" t="s">
        <v>29</v>
      </c>
      <c r="G198" s="9" t="s">
        <v>965</v>
      </c>
      <c r="H198" s="9" t="s">
        <v>1996</v>
      </c>
      <c r="I198" s="3"/>
      <c r="J198" s="3"/>
      <c r="K198" s="9"/>
    </row>
    <row r="199" ht="15.75" customHeight="1">
      <c r="A199" s="10" t="s">
        <v>12</v>
      </c>
      <c r="B199" s="10" t="s">
        <v>82</v>
      </c>
      <c r="C199" s="10" t="s">
        <v>2045</v>
      </c>
      <c r="D199" s="11" t="str">
        <f t="shared" si="1"/>
        <v>Abrir anúncio ↗</v>
      </c>
      <c r="E199" s="12" t="s">
        <v>2047</v>
      </c>
      <c r="F199" s="10" t="s">
        <v>29</v>
      </c>
      <c r="G199" s="12" t="s">
        <v>965</v>
      </c>
      <c r="H199" s="12" t="s">
        <v>967</v>
      </c>
      <c r="I199" s="10"/>
      <c r="J199" s="10"/>
      <c r="K199" s="12"/>
    </row>
    <row r="200" ht="15.75" customHeight="1">
      <c r="A200" s="3" t="s">
        <v>12</v>
      </c>
      <c r="B200" s="3" t="s">
        <v>82</v>
      </c>
      <c r="C200" s="3" t="s">
        <v>2056</v>
      </c>
      <c r="D200" s="8" t="str">
        <f t="shared" si="1"/>
        <v>Abrir anúncio ↗</v>
      </c>
      <c r="E200" s="9" t="s">
        <v>2059</v>
      </c>
      <c r="F200" s="3" t="s">
        <v>86</v>
      </c>
      <c r="G200" s="9" t="s">
        <v>1054</v>
      </c>
      <c r="H200" s="9" t="s">
        <v>1056</v>
      </c>
      <c r="I200" s="3"/>
      <c r="J200" s="3"/>
      <c r="K200" s="9"/>
    </row>
    <row r="201" ht="15.75" customHeight="1">
      <c r="A201" s="10" t="s">
        <v>12</v>
      </c>
      <c r="B201" s="10" t="s">
        <v>82</v>
      </c>
      <c r="C201" s="10" t="s">
        <v>2064</v>
      </c>
      <c r="D201" s="11" t="str">
        <f t="shared" si="1"/>
        <v>Abrir anúncio ↗</v>
      </c>
      <c r="E201" s="12" t="s">
        <v>2068</v>
      </c>
      <c r="F201" s="10" t="s">
        <v>29</v>
      </c>
      <c r="G201" s="12" t="s">
        <v>965</v>
      </c>
      <c r="H201" s="12" t="s">
        <v>2008</v>
      </c>
      <c r="I201" s="10"/>
      <c r="J201" s="10"/>
      <c r="K201" s="12"/>
    </row>
    <row r="202" ht="15.75" customHeight="1">
      <c r="A202" s="3" t="s">
        <v>12</v>
      </c>
      <c r="B202" s="3" t="s">
        <v>82</v>
      </c>
      <c r="C202" s="3" t="s">
        <v>2074</v>
      </c>
      <c r="D202" s="8" t="str">
        <f t="shared" si="1"/>
        <v>Abrir anúncio ↗</v>
      </c>
      <c r="E202" s="9" t="s">
        <v>2077</v>
      </c>
      <c r="F202" s="3" t="s">
        <v>29</v>
      </c>
      <c r="G202" s="9" t="s">
        <v>965</v>
      </c>
      <c r="H202" s="9" t="s">
        <v>2008</v>
      </c>
      <c r="I202" s="3"/>
      <c r="J202" s="3"/>
      <c r="K202" s="9"/>
    </row>
    <row r="203" ht="15.75" customHeight="1">
      <c r="A203" s="10" t="s">
        <v>12</v>
      </c>
      <c r="B203" s="10" t="s">
        <v>82</v>
      </c>
      <c r="C203" s="10" t="s">
        <v>2082</v>
      </c>
      <c r="D203" s="11" t="str">
        <f t="shared" si="1"/>
        <v>Abrir anúncio ↗</v>
      </c>
      <c r="E203" s="12" t="s">
        <v>2085</v>
      </c>
      <c r="F203" s="10" t="s">
        <v>86</v>
      </c>
      <c r="G203" s="12" t="s">
        <v>602</v>
      </c>
      <c r="H203" s="12" t="s">
        <v>603</v>
      </c>
      <c r="I203" s="10"/>
      <c r="J203" s="10"/>
      <c r="K203" s="12"/>
    </row>
    <row r="204" ht="15.75" customHeight="1">
      <c r="A204" s="3" t="s">
        <v>12</v>
      </c>
      <c r="B204" s="3" t="s">
        <v>82</v>
      </c>
      <c r="C204" s="3" t="s">
        <v>2090</v>
      </c>
      <c r="D204" s="8" t="str">
        <f t="shared" si="1"/>
        <v>Abrir anúncio ↗</v>
      </c>
      <c r="E204" s="9" t="s">
        <v>2094</v>
      </c>
      <c r="F204" s="3" t="s">
        <v>86</v>
      </c>
      <c r="G204" s="9" t="s">
        <v>1054</v>
      </c>
      <c r="H204" s="9" t="s">
        <v>1563</v>
      </c>
      <c r="I204" s="3"/>
      <c r="J204" s="3"/>
      <c r="K204" s="9"/>
    </row>
    <row r="205" ht="15.75" customHeight="1">
      <c r="A205" s="10" t="s">
        <v>12</v>
      </c>
      <c r="B205" s="10" t="s">
        <v>82</v>
      </c>
      <c r="C205" s="10" t="s">
        <v>2103</v>
      </c>
      <c r="D205" s="11" t="str">
        <f t="shared" si="1"/>
        <v>Abrir anúncio ↗</v>
      </c>
      <c r="E205" s="12" t="s">
        <v>2105</v>
      </c>
      <c r="F205" s="10" t="s">
        <v>86</v>
      </c>
      <c r="G205" s="12" t="s">
        <v>1054</v>
      </c>
      <c r="H205" s="12" t="s">
        <v>1056</v>
      </c>
      <c r="I205" s="10"/>
      <c r="J205" s="10"/>
      <c r="K205" s="12"/>
    </row>
    <row r="206" ht="15.75" customHeight="1">
      <c r="A206" s="3" t="s">
        <v>12</v>
      </c>
      <c r="B206" s="3" t="s">
        <v>82</v>
      </c>
      <c r="C206" s="3" t="s">
        <v>2112</v>
      </c>
      <c r="D206" s="8" t="str">
        <f t="shared" si="1"/>
        <v>Abrir anúncio ↗</v>
      </c>
      <c r="E206" s="9" t="s">
        <v>2115</v>
      </c>
      <c r="F206" s="3" t="s">
        <v>29</v>
      </c>
      <c r="G206" s="9" t="s">
        <v>1054</v>
      </c>
      <c r="H206" s="9" t="s">
        <v>2118</v>
      </c>
      <c r="I206" s="3"/>
      <c r="J206" s="3"/>
      <c r="K206" s="9"/>
    </row>
    <row r="207" ht="15.75" customHeight="1">
      <c r="A207" s="10" t="s">
        <v>12</v>
      </c>
      <c r="B207" s="10" t="s">
        <v>82</v>
      </c>
      <c r="C207" s="10" t="s">
        <v>2123</v>
      </c>
      <c r="D207" s="11" t="str">
        <f t="shared" si="1"/>
        <v>Abrir anúncio ↗</v>
      </c>
      <c r="E207" s="12" t="s">
        <v>2124</v>
      </c>
      <c r="F207" s="10" t="s">
        <v>86</v>
      </c>
      <c r="G207" s="12" t="s">
        <v>1054</v>
      </c>
      <c r="H207" s="12" t="s">
        <v>1750</v>
      </c>
      <c r="I207" s="10"/>
      <c r="J207" s="10"/>
      <c r="K207" s="12"/>
    </row>
    <row r="208" ht="15.75" customHeight="1">
      <c r="A208" s="3" t="s">
        <v>12</v>
      </c>
      <c r="B208" s="3" t="s">
        <v>82</v>
      </c>
      <c r="C208" s="3" t="s">
        <v>2132</v>
      </c>
      <c r="D208" s="8" t="str">
        <f t="shared" si="1"/>
        <v>Abrir anúncio ↗</v>
      </c>
      <c r="E208" s="9" t="s">
        <v>2135</v>
      </c>
      <c r="F208" s="3" t="s">
        <v>29</v>
      </c>
      <c r="G208" s="9" t="s">
        <v>470</v>
      </c>
      <c r="H208" s="9" t="s">
        <v>519</v>
      </c>
      <c r="I208" s="3"/>
      <c r="J208" s="3"/>
      <c r="K208" s="9"/>
    </row>
    <row r="209" ht="15.75" customHeight="1">
      <c r="A209" s="10" t="s">
        <v>12</v>
      </c>
      <c r="B209" s="10" t="s">
        <v>82</v>
      </c>
      <c r="C209" s="10" t="s">
        <v>2144</v>
      </c>
      <c r="D209" s="11" t="str">
        <f t="shared" si="1"/>
        <v>Abrir anúncio ↗</v>
      </c>
      <c r="E209" s="12" t="s">
        <v>2147</v>
      </c>
      <c r="F209" s="10" t="s">
        <v>86</v>
      </c>
      <c r="G209" s="12" t="s">
        <v>470</v>
      </c>
      <c r="H209" s="12" t="s">
        <v>584</v>
      </c>
      <c r="I209" s="10"/>
      <c r="J209" s="10"/>
      <c r="K209" s="12"/>
    </row>
    <row r="210" ht="15.75" customHeight="1">
      <c r="A210" s="3" t="s">
        <v>12</v>
      </c>
      <c r="B210" s="3" t="s">
        <v>82</v>
      </c>
      <c r="C210" s="3" t="s">
        <v>2157</v>
      </c>
      <c r="D210" s="8" t="str">
        <f t="shared" si="1"/>
        <v>Abrir anúncio ↗</v>
      </c>
      <c r="E210" s="9" t="s">
        <v>2159</v>
      </c>
      <c r="F210" s="3" t="s">
        <v>86</v>
      </c>
      <c r="G210" s="9" t="s">
        <v>470</v>
      </c>
      <c r="H210" s="9" t="s">
        <v>472</v>
      </c>
      <c r="I210" s="3"/>
      <c r="J210" s="3"/>
      <c r="K210" s="9"/>
    </row>
    <row r="211" ht="15.75" customHeight="1">
      <c r="A211" s="10" t="s">
        <v>12</v>
      </c>
      <c r="B211" s="10" t="s">
        <v>82</v>
      </c>
      <c r="C211" s="10" t="s">
        <v>2164</v>
      </c>
      <c r="D211" s="11" t="str">
        <f t="shared" si="1"/>
        <v>Abrir anúncio ↗</v>
      </c>
      <c r="E211" s="12" t="s">
        <v>2168</v>
      </c>
      <c r="F211" s="10" t="s">
        <v>86</v>
      </c>
      <c r="G211" s="12" t="s">
        <v>470</v>
      </c>
      <c r="H211" s="12" t="s">
        <v>771</v>
      </c>
      <c r="I211" s="10"/>
      <c r="J211" s="10"/>
      <c r="K211" s="12"/>
    </row>
    <row r="212" ht="15.75" customHeight="1">
      <c r="A212" s="3" t="s">
        <v>12</v>
      </c>
      <c r="B212" s="3" t="s">
        <v>82</v>
      </c>
      <c r="C212" s="3" t="s">
        <v>2178</v>
      </c>
      <c r="D212" s="8" t="str">
        <f t="shared" si="1"/>
        <v>Abrir anúncio ↗</v>
      </c>
      <c r="E212" s="9" t="s">
        <v>2182</v>
      </c>
      <c r="F212" s="3" t="s">
        <v>86</v>
      </c>
      <c r="G212" s="9" t="s">
        <v>470</v>
      </c>
      <c r="H212" s="9" t="s">
        <v>472</v>
      </c>
      <c r="I212" s="3"/>
      <c r="J212" s="3"/>
      <c r="K212" s="9"/>
    </row>
    <row r="213" ht="15.75" customHeight="1">
      <c r="A213" s="10" t="s">
        <v>12</v>
      </c>
      <c r="B213" s="10" t="s">
        <v>82</v>
      </c>
      <c r="C213" s="10" t="s">
        <v>2187</v>
      </c>
      <c r="D213" s="11" t="str">
        <f t="shared" si="1"/>
        <v>Abrir anúncio ↗</v>
      </c>
      <c r="E213" s="12" t="s">
        <v>2192</v>
      </c>
      <c r="F213" s="10" t="s">
        <v>86</v>
      </c>
      <c r="G213" s="12" t="s">
        <v>470</v>
      </c>
      <c r="H213" s="12" t="s">
        <v>472</v>
      </c>
      <c r="I213" s="10"/>
      <c r="J213" s="10"/>
      <c r="K213" s="12"/>
    </row>
    <row r="214" ht="15.75" customHeight="1">
      <c r="A214" s="3" t="s">
        <v>12</v>
      </c>
      <c r="B214" s="3" t="s">
        <v>82</v>
      </c>
      <c r="C214" s="3" t="s">
        <v>2198</v>
      </c>
      <c r="D214" s="8" t="str">
        <f t="shared" si="1"/>
        <v>Abrir anúncio ↗</v>
      </c>
      <c r="E214" s="9" t="s">
        <v>2203</v>
      </c>
      <c r="F214" s="3" t="s">
        <v>29</v>
      </c>
      <c r="G214" s="9" t="s">
        <v>965</v>
      </c>
      <c r="H214" s="9" t="s">
        <v>967</v>
      </c>
      <c r="I214" s="3"/>
      <c r="J214" s="3"/>
      <c r="K214" s="9"/>
    </row>
    <row r="215" ht="15.75" customHeight="1">
      <c r="A215" s="10" t="s">
        <v>12</v>
      </c>
      <c r="B215" s="10" t="s">
        <v>82</v>
      </c>
      <c r="C215" s="10" t="s">
        <v>2211</v>
      </c>
      <c r="D215" s="11" t="str">
        <f t="shared" si="1"/>
        <v>Abrir anúncio ↗</v>
      </c>
      <c r="E215" s="12" t="s">
        <v>2214</v>
      </c>
      <c r="F215" s="10" t="s">
        <v>86</v>
      </c>
      <c r="G215" s="12" t="s">
        <v>965</v>
      </c>
      <c r="H215" s="12" t="s">
        <v>1676</v>
      </c>
      <c r="I215" s="10"/>
      <c r="J215" s="10"/>
      <c r="K215" s="12"/>
    </row>
    <row r="216" ht="15.75" customHeight="1">
      <c r="A216" s="3" t="s">
        <v>12</v>
      </c>
      <c r="B216" s="3" t="s">
        <v>82</v>
      </c>
      <c r="C216" s="3" t="s">
        <v>2221</v>
      </c>
      <c r="D216" s="8" t="str">
        <f t="shared" si="1"/>
        <v>Abrir anúncio ↗</v>
      </c>
      <c r="E216" s="9" t="s">
        <v>2224</v>
      </c>
      <c r="F216" s="3" t="s">
        <v>86</v>
      </c>
      <c r="G216" s="9" t="s">
        <v>602</v>
      </c>
      <c r="H216" s="9" t="s">
        <v>603</v>
      </c>
      <c r="I216" s="3"/>
      <c r="J216" s="3"/>
      <c r="K216" s="9"/>
    </row>
    <row r="217" ht="15.75" customHeight="1">
      <c r="A217" s="10" t="s">
        <v>12</v>
      </c>
      <c r="B217" s="10" t="s">
        <v>82</v>
      </c>
      <c r="C217" s="10" t="s">
        <v>2232</v>
      </c>
      <c r="D217" s="11" t="str">
        <f t="shared" si="1"/>
        <v>Abrir anúncio ↗</v>
      </c>
      <c r="E217" s="12" t="s">
        <v>2235</v>
      </c>
      <c r="F217" s="10" t="s">
        <v>86</v>
      </c>
      <c r="G217" s="12" t="s">
        <v>470</v>
      </c>
      <c r="H217" s="12" t="s">
        <v>472</v>
      </c>
      <c r="I217" s="10"/>
      <c r="J217" s="10"/>
      <c r="K217" s="12"/>
    </row>
    <row r="218" ht="15.75" customHeight="1">
      <c r="A218" s="3" t="s">
        <v>12</v>
      </c>
      <c r="B218" s="3" t="s">
        <v>82</v>
      </c>
      <c r="C218" s="3" t="s">
        <v>2245</v>
      </c>
      <c r="D218" s="8" t="str">
        <f t="shared" si="1"/>
        <v>Abrir anúncio ↗</v>
      </c>
      <c r="E218" s="9" t="s">
        <v>2248</v>
      </c>
      <c r="F218" s="3" t="s">
        <v>86</v>
      </c>
      <c r="G218" s="9" t="s">
        <v>470</v>
      </c>
      <c r="H218" s="9" t="s">
        <v>472</v>
      </c>
      <c r="I218" s="3"/>
      <c r="J218" s="3"/>
      <c r="K218" s="9"/>
    </row>
    <row r="219" ht="15.75" customHeight="1">
      <c r="A219" s="10" t="s">
        <v>12</v>
      </c>
      <c r="B219" s="10" t="s">
        <v>82</v>
      </c>
      <c r="C219" s="10" t="s">
        <v>2258</v>
      </c>
      <c r="D219" s="11" t="str">
        <f t="shared" si="1"/>
        <v>Abrir anúncio ↗</v>
      </c>
      <c r="E219" s="12" t="s">
        <v>1769</v>
      </c>
      <c r="F219" s="10" t="s">
        <v>86</v>
      </c>
      <c r="G219" s="12" t="s">
        <v>965</v>
      </c>
      <c r="H219" s="12" t="s">
        <v>1015</v>
      </c>
      <c r="I219" s="10"/>
      <c r="J219" s="10"/>
      <c r="K219" s="12"/>
    </row>
    <row r="220" ht="15.75" customHeight="1">
      <c r="A220" s="3" t="s">
        <v>12</v>
      </c>
      <c r="B220" s="3" t="s">
        <v>82</v>
      </c>
      <c r="C220" s="3" t="s">
        <v>2268</v>
      </c>
      <c r="D220" s="8" t="str">
        <f t="shared" si="1"/>
        <v>Abrir anúncio ↗</v>
      </c>
      <c r="E220" s="9" t="s">
        <v>2270</v>
      </c>
      <c r="F220" s="3" t="s">
        <v>86</v>
      </c>
      <c r="G220" s="9" t="s">
        <v>965</v>
      </c>
      <c r="H220" s="9" t="s">
        <v>2008</v>
      </c>
      <c r="I220" s="3"/>
      <c r="J220" s="3"/>
      <c r="K220" s="9"/>
    </row>
    <row r="221" ht="15.75" customHeight="1">
      <c r="A221" s="10" t="s">
        <v>12</v>
      </c>
      <c r="B221" s="10" t="s">
        <v>82</v>
      </c>
      <c r="C221" s="10" t="s">
        <v>2277</v>
      </c>
      <c r="D221" s="11" t="str">
        <f t="shared" si="1"/>
        <v>Abrir anúncio ↗</v>
      </c>
      <c r="E221" s="12" t="s">
        <v>2281</v>
      </c>
      <c r="F221" s="10" t="s">
        <v>86</v>
      </c>
      <c r="G221" s="12" t="s">
        <v>965</v>
      </c>
      <c r="H221" s="12" t="s">
        <v>1015</v>
      </c>
      <c r="I221" s="10"/>
      <c r="J221" s="10"/>
      <c r="K221" s="12"/>
    </row>
    <row r="222" ht="15.75" customHeight="1">
      <c r="A222" s="3" t="s">
        <v>12</v>
      </c>
      <c r="B222" s="3" t="s">
        <v>82</v>
      </c>
      <c r="C222" s="3" t="s">
        <v>2287</v>
      </c>
      <c r="D222" s="8" t="str">
        <f t="shared" si="1"/>
        <v>Abrir anúncio ↗</v>
      </c>
      <c r="E222" s="9" t="s">
        <v>2290</v>
      </c>
      <c r="F222" s="3" t="s">
        <v>29</v>
      </c>
      <c r="G222" s="9" t="s">
        <v>965</v>
      </c>
      <c r="H222" s="9" t="s">
        <v>2293</v>
      </c>
      <c r="I222" s="3"/>
      <c r="J222" s="3"/>
      <c r="K222" s="9"/>
    </row>
    <row r="223" ht="15.75" customHeight="1">
      <c r="A223" s="10" t="s">
        <v>12</v>
      </c>
      <c r="B223" s="10" t="s">
        <v>82</v>
      </c>
      <c r="C223" s="10" t="s">
        <v>2299</v>
      </c>
      <c r="D223" s="11" t="str">
        <f t="shared" si="1"/>
        <v>Abrir anúncio ↗</v>
      </c>
      <c r="E223" s="12" t="s">
        <v>2302</v>
      </c>
      <c r="F223" s="10" t="s">
        <v>86</v>
      </c>
      <c r="G223" s="12" t="s">
        <v>976</v>
      </c>
      <c r="H223" s="12" t="s">
        <v>2306</v>
      </c>
      <c r="I223" s="10"/>
      <c r="J223" s="10"/>
      <c r="K223" s="12"/>
    </row>
    <row r="224" ht="15.75" customHeight="1">
      <c r="A224" s="3" t="s">
        <v>12</v>
      </c>
      <c r="B224" s="3" t="s">
        <v>82</v>
      </c>
      <c r="C224" s="3" t="s">
        <v>2310</v>
      </c>
      <c r="D224" s="8" t="str">
        <f t="shared" si="1"/>
        <v>Abrir anúncio ↗</v>
      </c>
      <c r="E224" s="9" t="s">
        <v>2314</v>
      </c>
      <c r="F224" s="3" t="s">
        <v>86</v>
      </c>
      <c r="G224" s="9" t="s">
        <v>2317</v>
      </c>
      <c r="H224" s="9" t="s">
        <v>2318</v>
      </c>
      <c r="I224" s="3"/>
      <c r="J224" s="3"/>
      <c r="K224" s="9"/>
    </row>
    <row r="225" ht="15.75" customHeight="1">
      <c r="A225" s="10" t="s">
        <v>12</v>
      </c>
      <c r="B225" s="10" t="s">
        <v>82</v>
      </c>
      <c r="C225" s="10" t="s">
        <v>2322</v>
      </c>
      <c r="D225" s="11" t="str">
        <f t="shared" si="1"/>
        <v>Abrir anúncio ↗</v>
      </c>
      <c r="E225" s="12" t="s">
        <v>2325</v>
      </c>
      <c r="F225" s="10" t="s">
        <v>86</v>
      </c>
      <c r="G225" s="12" t="s">
        <v>470</v>
      </c>
      <c r="H225" s="12" t="s">
        <v>472</v>
      </c>
      <c r="I225" s="10"/>
      <c r="J225" s="10"/>
      <c r="K225" s="12"/>
    </row>
    <row r="226" ht="15.75" customHeight="1">
      <c r="A226" s="3" t="s">
        <v>12</v>
      </c>
      <c r="B226" s="3" t="s">
        <v>82</v>
      </c>
      <c r="C226" s="3" t="s">
        <v>2333</v>
      </c>
      <c r="D226" s="8" t="str">
        <f t="shared" si="1"/>
        <v>Abrir anúncio ↗</v>
      </c>
      <c r="E226" s="9" t="s">
        <v>2336</v>
      </c>
      <c r="F226" s="3" t="s">
        <v>86</v>
      </c>
      <c r="G226" s="9" t="s">
        <v>470</v>
      </c>
      <c r="H226" s="9" t="s">
        <v>519</v>
      </c>
      <c r="I226" s="3"/>
      <c r="J226" s="3"/>
      <c r="K226" s="9"/>
    </row>
    <row r="227" ht="15.75" customHeight="1">
      <c r="A227" s="10" t="s">
        <v>12</v>
      </c>
      <c r="B227" s="10" t="s">
        <v>82</v>
      </c>
      <c r="C227" s="10" t="s">
        <v>2344</v>
      </c>
      <c r="D227" s="11" t="str">
        <f t="shared" si="1"/>
        <v>Abrir anúncio ↗</v>
      </c>
      <c r="E227" s="12" t="s">
        <v>2346</v>
      </c>
      <c r="F227" s="10" t="s">
        <v>86</v>
      </c>
      <c r="G227" s="12" t="s">
        <v>470</v>
      </c>
      <c r="H227" s="12" t="s">
        <v>771</v>
      </c>
      <c r="I227" s="10"/>
      <c r="J227" s="10"/>
      <c r="K227" s="12"/>
    </row>
    <row r="228" ht="15.75" customHeight="1">
      <c r="A228" s="3" t="s">
        <v>12</v>
      </c>
      <c r="B228" s="3" t="s">
        <v>82</v>
      </c>
      <c r="C228" s="3" t="s">
        <v>2354</v>
      </c>
      <c r="D228" s="8" t="str">
        <f t="shared" si="1"/>
        <v>Abrir anúncio ↗</v>
      </c>
      <c r="E228" s="9" t="s">
        <v>2356</v>
      </c>
      <c r="F228" s="3" t="s">
        <v>86</v>
      </c>
      <c r="G228" s="9" t="s">
        <v>470</v>
      </c>
      <c r="H228" s="9" t="s">
        <v>472</v>
      </c>
      <c r="I228" s="3"/>
      <c r="J228" s="3"/>
      <c r="K228" s="9"/>
    </row>
    <row r="229" ht="15.75" customHeight="1">
      <c r="A229" s="10" t="s">
        <v>12</v>
      </c>
      <c r="B229" s="10" t="s">
        <v>82</v>
      </c>
      <c r="C229" s="10" t="s">
        <v>2363</v>
      </c>
      <c r="D229" s="11" t="str">
        <f t="shared" si="1"/>
        <v>Abrir anúncio ↗</v>
      </c>
      <c r="E229" s="12" t="s">
        <v>2367</v>
      </c>
      <c r="F229" s="10" t="s">
        <v>86</v>
      </c>
      <c r="G229" s="12" t="s">
        <v>470</v>
      </c>
      <c r="H229" s="12" t="s">
        <v>1312</v>
      </c>
      <c r="I229" s="10"/>
      <c r="J229" s="10"/>
      <c r="K229" s="12"/>
    </row>
    <row r="230" ht="15.75" customHeight="1">
      <c r="A230" s="3" t="s">
        <v>12</v>
      </c>
      <c r="B230" s="3" t="s">
        <v>82</v>
      </c>
      <c r="C230" s="3" t="s">
        <v>2374</v>
      </c>
      <c r="D230" s="8" t="str">
        <f t="shared" si="1"/>
        <v>Abrir anúncio ↗</v>
      </c>
      <c r="E230" s="9" t="s">
        <v>2378</v>
      </c>
      <c r="F230" s="3" t="s">
        <v>86</v>
      </c>
      <c r="G230" s="9" t="s">
        <v>470</v>
      </c>
      <c r="H230" s="9" t="s">
        <v>1106</v>
      </c>
      <c r="I230" s="3"/>
      <c r="J230" s="3"/>
      <c r="K230" s="9"/>
    </row>
    <row r="231" ht="15.75" customHeight="1">
      <c r="A231" s="10" t="s">
        <v>12</v>
      </c>
      <c r="B231" s="10" t="s">
        <v>82</v>
      </c>
      <c r="C231" s="10" t="s">
        <v>2388</v>
      </c>
      <c r="D231" s="11" t="str">
        <f t="shared" si="1"/>
        <v>Abrir anúncio ↗</v>
      </c>
      <c r="E231" s="12" t="s">
        <v>2391</v>
      </c>
      <c r="F231" s="10" t="s">
        <v>86</v>
      </c>
      <c r="G231" s="12" t="s">
        <v>470</v>
      </c>
      <c r="H231" s="12" t="s">
        <v>584</v>
      </c>
      <c r="I231" s="10"/>
      <c r="J231" s="10"/>
      <c r="K231" s="12"/>
    </row>
    <row r="232" ht="15.75" customHeight="1">
      <c r="A232" s="3" t="s">
        <v>12</v>
      </c>
      <c r="B232" s="3" t="s">
        <v>82</v>
      </c>
      <c r="C232" s="3" t="s">
        <v>2399</v>
      </c>
      <c r="D232" s="8" t="str">
        <f t="shared" si="1"/>
        <v>Abrir anúncio ↗</v>
      </c>
      <c r="E232" s="9" t="s">
        <v>2402</v>
      </c>
      <c r="F232" s="3" t="s">
        <v>86</v>
      </c>
      <c r="G232" s="9" t="s">
        <v>470</v>
      </c>
      <c r="H232" s="9" t="s">
        <v>584</v>
      </c>
      <c r="I232" s="3"/>
      <c r="J232" s="3"/>
      <c r="K232" s="9"/>
    </row>
    <row r="233" ht="15.75" customHeight="1">
      <c r="A233" s="10" t="s">
        <v>12</v>
      </c>
      <c r="B233" s="10" t="s">
        <v>82</v>
      </c>
      <c r="C233" s="10" t="s">
        <v>2411</v>
      </c>
      <c r="D233" s="11" t="str">
        <f t="shared" si="1"/>
        <v>Abrir anúncio ↗</v>
      </c>
      <c r="E233" s="12" t="s">
        <v>2414</v>
      </c>
      <c r="F233" s="10" t="s">
        <v>86</v>
      </c>
      <c r="G233" s="12" t="s">
        <v>470</v>
      </c>
      <c r="H233" s="12" t="s">
        <v>1312</v>
      </c>
      <c r="I233" s="10"/>
      <c r="J233" s="10"/>
      <c r="K233" s="12"/>
    </row>
    <row r="234" ht="15.75" customHeight="1">
      <c r="A234" s="3" t="s">
        <v>12</v>
      </c>
      <c r="B234" s="3" t="s">
        <v>82</v>
      </c>
      <c r="C234" s="3" t="s">
        <v>2422</v>
      </c>
      <c r="D234" s="8" t="str">
        <f t="shared" si="1"/>
        <v>Abrir anúncio ↗</v>
      </c>
      <c r="E234" s="9" t="s">
        <v>2425</v>
      </c>
      <c r="F234" s="3" t="s">
        <v>86</v>
      </c>
      <c r="G234" s="9" t="s">
        <v>470</v>
      </c>
      <c r="H234" s="9" t="s">
        <v>472</v>
      </c>
      <c r="I234" s="3"/>
      <c r="J234" s="3"/>
      <c r="K234" s="9"/>
    </row>
    <row r="235" ht="15.75" customHeight="1">
      <c r="A235" s="10" t="s">
        <v>12</v>
      </c>
      <c r="B235" s="10" t="s">
        <v>82</v>
      </c>
      <c r="C235" s="10" t="s">
        <v>2435</v>
      </c>
      <c r="D235" s="11" t="str">
        <f t="shared" si="1"/>
        <v>Abrir anúncio ↗</v>
      </c>
      <c r="E235" s="12" t="s">
        <v>2436</v>
      </c>
      <c r="F235" s="10" t="s">
        <v>86</v>
      </c>
      <c r="G235" s="12" t="s">
        <v>470</v>
      </c>
      <c r="H235" s="12" t="s">
        <v>519</v>
      </c>
      <c r="I235" s="10"/>
      <c r="J235" s="10"/>
      <c r="K235" s="12"/>
    </row>
    <row r="236" ht="15.75" customHeight="1">
      <c r="A236" s="3" t="s">
        <v>12</v>
      </c>
      <c r="B236" s="3" t="s">
        <v>82</v>
      </c>
      <c r="C236" s="3" t="s">
        <v>2444</v>
      </c>
      <c r="D236" s="8" t="str">
        <f t="shared" si="1"/>
        <v>Abrir anúncio ↗</v>
      </c>
      <c r="E236" s="9" t="s">
        <v>2446</v>
      </c>
      <c r="F236" s="3" t="s">
        <v>86</v>
      </c>
      <c r="G236" s="9" t="s">
        <v>470</v>
      </c>
      <c r="H236" s="9" t="s">
        <v>519</v>
      </c>
      <c r="I236" s="3"/>
      <c r="J236" s="3"/>
      <c r="K236" s="9"/>
    </row>
    <row r="237" ht="15.75" customHeight="1">
      <c r="A237" s="10" t="s">
        <v>12</v>
      </c>
      <c r="B237" s="10" t="s">
        <v>82</v>
      </c>
      <c r="C237" s="10" t="s">
        <v>2454</v>
      </c>
      <c r="D237" s="11" t="str">
        <f t="shared" si="1"/>
        <v>Abrir anúncio ↗</v>
      </c>
      <c r="E237" s="12" t="s">
        <v>2457</v>
      </c>
      <c r="F237" s="10" t="s">
        <v>86</v>
      </c>
      <c r="G237" s="12" t="s">
        <v>470</v>
      </c>
      <c r="H237" s="12" t="s">
        <v>1312</v>
      </c>
      <c r="I237" s="10"/>
      <c r="J237" s="10"/>
      <c r="K237" s="12"/>
    </row>
    <row r="238" ht="15.75" customHeight="1">
      <c r="A238" s="3" t="s">
        <v>12</v>
      </c>
      <c r="B238" s="3" t="s">
        <v>82</v>
      </c>
      <c r="C238" s="3" t="s">
        <v>2465</v>
      </c>
      <c r="D238" s="8" t="str">
        <f t="shared" si="1"/>
        <v>Abrir anúncio ↗</v>
      </c>
      <c r="E238" s="9" t="s">
        <v>2468</v>
      </c>
      <c r="F238" s="3" t="s">
        <v>86</v>
      </c>
      <c r="G238" s="9" t="s">
        <v>470</v>
      </c>
      <c r="H238" s="9" t="s">
        <v>472</v>
      </c>
      <c r="I238" s="3"/>
      <c r="J238" s="3"/>
      <c r="K238" s="9"/>
    </row>
    <row r="239" ht="15.75" customHeight="1">
      <c r="A239" s="10" t="s">
        <v>12</v>
      </c>
      <c r="B239" s="10" t="s">
        <v>82</v>
      </c>
      <c r="C239" s="10" t="s">
        <v>2474</v>
      </c>
      <c r="D239" s="11" t="str">
        <f t="shared" si="1"/>
        <v>Abrir anúncio ↗</v>
      </c>
      <c r="E239" s="12" t="s">
        <v>2477</v>
      </c>
      <c r="F239" s="10" t="s">
        <v>86</v>
      </c>
      <c r="G239" s="12" t="s">
        <v>470</v>
      </c>
      <c r="H239" s="12" t="s">
        <v>584</v>
      </c>
      <c r="I239" s="10"/>
      <c r="J239" s="10"/>
      <c r="K239" s="12"/>
    </row>
    <row r="240" ht="15.75" customHeight="1">
      <c r="A240" s="3" t="s">
        <v>12</v>
      </c>
      <c r="B240" s="3" t="s">
        <v>82</v>
      </c>
      <c r="C240" s="3" t="s">
        <v>2484</v>
      </c>
      <c r="D240" s="8" t="str">
        <f t="shared" si="1"/>
        <v>Abrir anúncio ↗</v>
      </c>
      <c r="E240" s="9" t="s">
        <v>2489</v>
      </c>
      <c r="F240" s="3" t="s">
        <v>86</v>
      </c>
      <c r="G240" s="9" t="s">
        <v>470</v>
      </c>
      <c r="H240" s="9" t="s">
        <v>1312</v>
      </c>
      <c r="I240" s="3"/>
      <c r="J240" s="3"/>
      <c r="K240" s="9"/>
    </row>
    <row r="241" ht="15.75" customHeight="1">
      <c r="A241" s="10" t="s">
        <v>12</v>
      </c>
      <c r="B241" s="10" t="s">
        <v>82</v>
      </c>
      <c r="C241" s="10" t="s">
        <v>2496</v>
      </c>
      <c r="D241" s="11" t="str">
        <f t="shared" si="1"/>
        <v>Abrir anúncio ↗</v>
      </c>
      <c r="E241" s="12" t="s">
        <v>2498</v>
      </c>
      <c r="F241" s="10" t="s">
        <v>86</v>
      </c>
      <c r="G241" s="12" t="s">
        <v>470</v>
      </c>
      <c r="H241" s="12" t="s">
        <v>771</v>
      </c>
      <c r="I241" s="10"/>
      <c r="J241" s="10"/>
      <c r="K241" s="12"/>
    </row>
    <row r="242" ht="15.75" customHeight="1">
      <c r="A242" s="3" t="s">
        <v>12</v>
      </c>
      <c r="B242" s="3" t="s">
        <v>82</v>
      </c>
      <c r="C242" s="3" t="s">
        <v>2505</v>
      </c>
      <c r="D242" s="8" t="str">
        <f t="shared" si="1"/>
        <v>Abrir anúncio ↗</v>
      </c>
      <c r="E242" s="9" t="s">
        <v>2509</v>
      </c>
      <c r="F242" s="3" t="s">
        <v>86</v>
      </c>
      <c r="G242" s="9" t="s">
        <v>470</v>
      </c>
      <c r="H242" s="9" t="s">
        <v>771</v>
      </c>
      <c r="I242" s="3"/>
      <c r="J242" s="3"/>
      <c r="K242" s="9"/>
    </row>
    <row r="243" ht="15.75" customHeight="1">
      <c r="A243" s="10" t="s">
        <v>12</v>
      </c>
      <c r="B243" s="10" t="s">
        <v>82</v>
      </c>
      <c r="C243" s="10" t="s">
        <v>2517</v>
      </c>
      <c r="D243" s="11" t="str">
        <f t="shared" si="1"/>
        <v>Abrir anúncio ↗</v>
      </c>
      <c r="E243" s="12" t="s">
        <v>2521</v>
      </c>
      <c r="F243" s="10" t="s">
        <v>86</v>
      </c>
      <c r="G243" s="12" t="s">
        <v>470</v>
      </c>
      <c r="H243" s="12" t="s">
        <v>472</v>
      </c>
      <c r="I243" s="10"/>
      <c r="J243" s="10"/>
      <c r="K243" s="12"/>
    </row>
    <row r="244" ht="15.75" customHeight="1">
      <c r="A244" s="3" t="s">
        <v>12</v>
      </c>
      <c r="B244" s="3" t="s">
        <v>82</v>
      </c>
      <c r="C244" s="3" t="s">
        <v>2526</v>
      </c>
      <c r="D244" s="8" t="str">
        <f t="shared" si="1"/>
        <v>Abrir anúncio ↗</v>
      </c>
      <c r="E244" s="9" t="s">
        <v>2529</v>
      </c>
      <c r="F244" s="3" t="s">
        <v>86</v>
      </c>
      <c r="G244" s="9" t="s">
        <v>470</v>
      </c>
      <c r="H244" s="9" t="s">
        <v>1106</v>
      </c>
      <c r="I244" s="3"/>
      <c r="J244" s="3"/>
      <c r="K244" s="9"/>
    </row>
    <row r="245" ht="15.75" customHeight="1">
      <c r="A245" s="10" t="s">
        <v>12</v>
      </c>
      <c r="B245" s="10" t="s">
        <v>82</v>
      </c>
      <c r="C245" s="10" t="s">
        <v>2537</v>
      </c>
      <c r="D245" s="11" t="str">
        <f t="shared" si="1"/>
        <v>Abrir anúncio ↗</v>
      </c>
      <c r="E245" s="12" t="s">
        <v>2541</v>
      </c>
      <c r="F245" s="10" t="s">
        <v>86</v>
      </c>
      <c r="G245" s="12" t="s">
        <v>470</v>
      </c>
      <c r="H245" s="12" t="s">
        <v>519</v>
      </c>
      <c r="I245" s="10"/>
      <c r="J245" s="10"/>
      <c r="K245" s="12"/>
    </row>
    <row r="246" ht="15.75" customHeight="1">
      <c r="A246" s="3" t="s">
        <v>12</v>
      </c>
      <c r="B246" s="3" t="s">
        <v>82</v>
      </c>
      <c r="C246" s="3" t="s">
        <v>2547</v>
      </c>
      <c r="D246" s="8" t="str">
        <f t="shared" si="1"/>
        <v>Abrir anúncio ↗</v>
      </c>
      <c r="E246" s="9" t="s">
        <v>2550</v>
      </c>
      <c r="F246" s="3" t="s">
        <v>86</v>
      </c>
      <c r="G246" s="9" t="s">
        <v>470</v>
      </c>
      <c r="H246" s="9" t="s">
        <v>584</v>
      </c>
      <c r="I246" s="3"/>
      <c r="J246" s="3"/>
      <c r="K246" s="9"/>
    </row>
    <row r="247" ht="15.75" customHeight="1">
      <c r="A247" s="10" t="s">
        <v>12</v>
      </c>
      <c r="B247" s="10" t="s">
        <v>82</v>
      </c>
      <c r="C247" s="10" t="s">
        <v>2557</v>
      </c>
      <c r="D247" s="11" t="str">
        <f t="shared" si="1"/>
        <v>Abrir anúncio ↗</v>
      </c>
      <c r="E247" s="12" t="s">
        <v>2561</v>
      </c>
      <c r="F247" s="10" t="s">
        <v>86</v>
      </c>
      <c r="G247" s="12" t="s">
        <v>470</v>
      </c>
      <c r="H247" s="12" t="s">
        <v>584</v>
      </c>
      <c r="I247" s="10"/>
      <c r="J247" s="10"/>
      <c r="K247" s="12"/>
    </row>
    <row r="248" ht="15.75" customHeight="1">
      <c r="A248" s="3" t="s">
        <v>12</v>
      </c>
      <c r="B248" s="3" t="s">
        <v>82</v>
      </c>
      <c r="C248" s="3" t="s">
        <v>2568</v>
      </c>
      <c r="D248" s="8" t="str">
        <f t="shared" si="1"/>
        <v>Abrir anúncio ↗</v>
      </c>
      <c r="E248" s="9" t="s">
        <v>2573</v>
      </c>
      <c r="F248" s="3" t="s">
        <v>86</v>
      </c>
      <c r="G248" s="9" t="s">
        <v>470</v>
      </c>
      <c r="H248" s="9" t="s">
        <v>1106</v>
      </c>
      <c r="I248" s="3"/>
      <c r="J248" s="3"/>
      <c r="K248" s="9"/>
    </row>
    <row r="249" ht="15.75" customHeight="1">
      <c r="A249" s="10" t="s">
        <v>12</v>
      </c>
      <c r="B249" s="10" t="s">
        <v>82</v>
      </c>
      <c r="C249" s="10" t="s">
        <v>2579</v>
      </c>
      <c r="D249" s="11" t="str">
        <f t="shared" si="1"/>
        <v>Abrir anúncio ↗</v>
      </c>
      <c r="E249" s="12" t="s">
        <v>2582</v>
      </c>
      <c r="F249" s="10" t="s">
        <v>86</v>
      </c>
      <c r="G249" s="12" t="s">
        <v>470</v>
      </c>
      <c r="H249" s="12" t="s">
        <v>472</v>
      </c>
      <c r="I249" s="10"/>
      <c r="J249" s="10"/>
      <c r="K249" s="12"/>
    </row>
    <row r="250" ht="15.75" customHeight="1">
      <c r="A250" s="3" t="s">
        <v>12</v>
      </c>
      <c r="B250" s="3" t="s">
        <v>82</v>
      </c>
      <c r="C250" s="3" t="s">
        <v>2591</v>
      </c>
      <c r="D250" s="8" t="str">
        <f t="shared" si="1"/>
        <v>Abrir anúncio ↗</v>
      </c>
      <c r="E250" s="9" t="s">
        <v>2594</v>
      </c>
      <c r="F250" s="3" t="s">
        <v>86</v>
      </c>
      <c r="G250" s="9" t="s">
        <v>470</v>
      </c>
      <c r="H250" s="9" t="s">
        <v>519</v>
      </c>
      <c r="I250" s="3"/>
      <c r="J250" s="3"/>
      <c r="K250" s="9"/>
    </row>
    <row r="251" ht="15.75" customHeight="1">
      <c r="A251" s="10" t="s">
        <v>12</v>
      </c>
      <c r="B251" s="10" t="s">
        <v>82</v>
      </c>
      <c r="C251" s="10" t="s">
        <v>2600</v>
      </c>
      <c r="D251" s="11" t="str">
        <f t="shared" si="1"/>
        <v>Abrir anúncio ↗</v>
      </c>
      <c r="E251" s="12" t="s">
        <v>2603</v>
      </c>
      <c r="F251" s="10" t="s">
        <v>86</v>
      </c>
      <c r="G251" s="12" t="s">
        <v>470</v>
      </c>
      <c r="H251" s="12" t="s">
        <v>472</v>
      </c>
      <c r="I251" s="10"/>
      <c r="J251" s="10"/>
      <c r="K251" s="12"/>
    </row>
    <row r="252" ht="15.75" customHeight="1">
      <c r="A252" s="3" t="s">
        <v>12</v>
      </c>
      <c r="B252" s="3" t="s">
        <v>82</v>
      </c>
      <c r="C252" s="3" t="s">
        <v>2609</v>
      </c>
      <c r="D252" s="8" t="str">
        <f t="shared" si="1"/>
        <v>Abrir anúncio ↗</v>
      </c>
      <c r="E252" s="9" t="s">
        <v>2613</v>
      </c>
      <c r="F252" s="3" t="s">
        <v>86</v>
      </c>
      <c r="G252" s="9" t="s">
        <v>470</v>
      </c>
      <c r="H252" s="9" t="s">
        <v>1312</v>
      </c>
      <c r="I252" s="3"/>
      <c r="J252" s="3"/>
      <c r="K252" s="9"/>
    </row>
    <row r="253" ht="15.75" customHeight="1">
      <c r="A253" s="10" t="s">
        <v>12</v>
      </c>
      <c r="B253" s="10" t="s">
        <v>82</v>
      </c>
      <c r="C253" s="10" t="s">
        <v>2620</v>
      </c>
      <c r="D253" s="11" t="str">
        <f t="shared" si="1"/>
        <v>Abrir anúncio ↗</v>
      </c>
      <c r="E253" s="12" t="s">
        <v>2625</v>
      </c>
      <c r="F253" s="10" t="s">
        <v>86</v>
      </c>
      <c r="G253" s="12" t="s">
        <v>470</v>
      </c>
      <c r="H253" s="12" t="s">
        <v>771</v>
      </c>
      <c r="I253" s="10"/>
      <c r="J253" s="10"/>
      <c r="K253" s="12"/>
    </row>
    <row r="254" ht="15.75" customHeight="1">
      <c r="A254" s="3" t="s">
        <v>12</v>
      </c>
      <c r="B254" s="3" t="s">
        <v>82</v>
      </c>
      <c r="C254" s="3" t="s">
        <v>2631</v>
      </c>
      <c r="D254" s="8" t="str">
        <f t="shared" si="1"/>
        <v>Abrir anúncio ↗</v>
      </c>
      <c r="E254" s="9" t="s">
        <v>2635</v>
      </c>
      <c r="F254" s="3" t="s">
        <v>86</v>
      </c>
      <c r="G254" s="9" t="s">
        <v>470</v>
      </c>
      <c r="H254" s="9" t="s">
        <v>771</v>
      </c>
      <c r="I254" s="3"/>
      <c r="J254" s="3"/>
      <c r="K254" s="9"/>
    </row>
    <row r="255" ht="15.75" customHeight="1">
      <c r="A255" s="10" t="s">
        <v>12</v>
      </c>
      <c r="B255" s="10" t="s">
        <v>82</v>
      </c>
      <c r="C255" s="10" t="s">
        <v>2641</v>
      </c>
      <c r="D255" s="11" t="str">
        <f t="shared" si="1"/>
        <v>Abrir anúncio ↗</v>
      </c>
      <c r="E255" s="12" t="s">
        <v>2645</v>
      </c>
      <c r="F255" s="10" t="s">
        <v>86</v>
      </c>
      <c r="G255" s="12" t="s">
        <v>470</v>
      </c>
      <c r="H255" s="12" t="s">
        <v>584</v>
      </c>
      <c r="I255" s="10"/>
      <c r="J255" s="10"/>
      <c r="K255" s="12"/>
    </row>
    <row r="256" ht="15.75" customHeight="1">
      <c r="A256" s="3" t="s">
        <v>12</v>
      </c>
      <c r="B256" s="3" t="s">
        <v>82</v>
      </c>
      <c r="C256" s="3" t="s">
        <v>2651</v>
      </c>
      <c r="D256" s="8" t="str">
        <f t="shared" si="1"/>
        <v>Abrir anúncio ↗</v>
      </c>
      <c r="E256" s="9" t="s">
        <v>2652</v>
      </c>
      <c r="F256" s="3" t="s">
        <v>86</v>
      </c>
      <c r="G256" s="9" t="s">
        <v>470</v>
      </c>
      <c r="H256" s="9" t="s">
        <v>1312</v>
      </c>
      <c r="I256" s="3"/>
      <c r="J256" s="3"/>
      <c r="K256" s="9"/>
    </row>
    <row r="257" ht="15.75" customHeight="1">
      <c r="A257" s="10" t="s">
        <v>12</v>
      </c>
      <c r="B257" s="10" t="s">
        <v>82</v>
      </c>
      <c r="C257" s="10" t="s">
        <v>2660</v>
      </c>
      <c r="D257" s="11" t="str">
        <f t="shared" si="1"/>
        <v>Abrir anúncio ↗</v>
      </c>
      <c r="E257" s="12" t="s">
        <v>2662</v>
      </c>
      <c r="F257" s="10" t="s">
        <v>86</v>
      </c>
      <c r="G257" s="12" t="s">
        <v>470</v>
      </c>
      <c r="H257" s="12" t="s">
        <v>584</v>
      </c>
      <c r="I257" s="10"/>
      <c r="J257" s="10"/>
      <c r="K257" s="12"/>
    </row>
    <row r="258" ht="15.75" customHeight="1">
      <c r="A258" s="3" t="s">
        <v>12</v>
      </c>
      <c r="B258" s="3" t="s">
        <v>82</v>
      </c>
      <c r="C258" s="3" t="s">
        <v>2669</v>
      </c>
      <c r="D258" s="8" t="str">
        <f t="shared" si="1"/>
        <v>Abrir anúncio ↗</v>
      </c>
      <c r="E258" s="9" t="s">
        <v>2671</v>
      </c>
      <c r="F258" s="3" t="s">
        <v>86</v>
      </c>
      <c r="G258" s="9" t="s">
        <v>470</v>
      </c>
      <c r="H258" s="9" t="s">
        <v>519</v>
      </c>
      <c r="I258" s="3"/>
      <c r="J258" s="3"/>
      <c r="K258" s="9"/>
    </row>
    <row r="259" ht="15.75" customHeight="1">
      <c r="A259" s="10" t="s">
        <v>12</v>
      </c>
      <c r="B259" s="10" t="s">
        <v>82</v>
      </c>
      <c r="C259" s="10" t="s">
        <v>2678</v>
      </c>
      <c r="D259" s="11" t="str">
        <f t="shared" si="1"/>
        <v>Abrir anúncio ↗</v>
      </c>
      <c r="E259" s="12" t="s">
        <v>2679</v>
      </c>
      <c r="F259" s="10" t="s">
        <v>86</v>
      </c>
      <c r="G259" s="12" t="s">
        <v>470</v>
      </c>
      <c r="H259" s="12" t="s">
        <v>1312</v>
      </c>
      <c r="I259" s="10"/>
      <c r="J259" s="10"/>
      <c r="K259" s="12"/>
    </row>
    <row r="260" ht="15.75" customHeight="1">
      <c r="A260" s="3" t="s">
        <v>12</v>
      </c>
      <c r="B260" s="3" t="s">
        <v>82</v>
      </c>
      <c r="C260" s="3" t="s">
        <v>2687</v>
      </c>
      <c r="D260" s="8" t="str">
        <f t="shared" si="1"/>
        <v>Abrir anúncio ↗</v>
      </c>
      <c r="E260" s="9" t="s">
        <v>2689</v>
      </c>
      <c r="F260" s="3" t="s">
        <v>86</v>
      </c>
      <c r="G260" s="9" t="s">
        <v>470</v>
      </c>
      <c r="H260" s="9" t="s">
        <v>584</v>
      </c>
      <c r="I260" s="3"/>
      <c r="J260" s="3"/>
      <c r="K260" s="9"/>
    </row>
    <row r="261" ht="15.75" customHeight="1">
      <c r="A261" s="10" t="s">
        <v>12</v>
      </c>
      <c r="B261" s="10" t="s">
        <v>82</v>
      </c>
      <c r="C261" s="10" t="s">
        <v>2698</v>
      </c>
      <c r="D261" s="11" t="str">
        <f t="shared" si="1"/>
        <v>Abrir anúncio ↗</v>
      </c>
      <c r="E261" s="12" t="s">
        <v>2700</v>
      </c>
      <c r="F261" s="10" t="s">
        <v>86</v>
      </c>
      <c r="G261" s="12" t="s">
        <v>470</v>
      </c>
      <c r="H261" s="12" t="s">
        <v>771</v>
      </c>
      <c r="I261" s="10"/>
      <c r="J261" s="10"/>
      <c r="K261" s="12"/>
    </row>
    <row r="262" ht="15.75" customHeight="1">
      <c r="A262" s="3" t="s">
        <v>12</v>
      </c>
      <c r="B262" s="3" t="s">
        <v>82</v>
      </c>
      <c r="C262" s="3" t="s">
        <v>2706</v>
      </c>
      <c r="D262" s="8" t="str">
        <f t="shared" si="1"/>
        <v>Abrir anúncio ↗</v>
      </c>
      <c r="E262" s="9" t="s">
        <v>2709</v>
      </c>
      <c r="F262" s="3" t="s">
        <v>86</v>
      </c>
      <c r="G262" s="9" t="s">
        <v>470</v>
      </c>
      <c r="H262" s="9" t="s">
        <v>1312</v>
      </c>
      <c r="I262" s="3"/>
      <c r="J262" s="3"/>
      <c r="K262" s="9"/>
    </row>
    <row r="263" ht="15.75" customHeight="1">
      <c r="A263" s="10" t="s">
        <v>12</v>
      </c>
      <c r="B263" s="10" t="s">
        <v>82</v>
      </c>
      <c r="C263" s="10" t="s">
        <v>2715</v>
      </c>
      <c r="D263" s="11" t="str">
        <f t="shared" si="1"/>
        <v>Abrir anúncio ↗</v>
      </c>
      <c r="E263" s="12" t="s">
        <v>2718</v>
      </c>
      <c r="F263" s="10" t="s">
        <v>86</v>
      </c>
      <c r="G263" s="12" t="s">
        <v>470</v>
      </c>
      <c r="H263" s="12" t="s">
        <v>584</v>
      </c>
      <c r="I263" s="10"/>
      <c r="J263" s="10"/>
      <c r="K263" s="12"/>
    </row>
    <row r="264" ht="15.75" customHeight="1">
      <c r="A264" s="3" t="s">
        <v>12</v>
      </c>
      <c r="B264" s="3" t="s">
        <v>82</v>
      </c>
      <c r="C264" s="3" t="s">
        <v>2725</v>
      </c>
      <c r="D264" s="8" t="str">
        <f t="shared" si="1"/>
        <v>Abrir anúncio ↗</v>
      </c>
      <c r="E264" s="9" t="s">
        <v>2729</v>
      </c>
      <c r="F264" s="3" t="s">
        <v>86</v>
      </c>
      <c r="G264" s="9" t="s">
        <v>470</v>
      </c>
      <c r="H264" s="9" t="s">
        <v>472</v>
      </c>
      <c r="I264" s="3"/>
      <c r="J264" s="3"/>
      <c r="K264" s="9"/>
    </row>
    <row r="265" ht="15.75" customHeight="1">
      <c r="A265" s="10" t="s">
        <v>12</v>
      </c>
      <c r="B265" s="10" t="s">
        <v>82</v>
      </c>
      <c r="C265" s="10" t="s">
        <v>2736</v>
      </c>
      <c r="D265" s="11" t="str">
        <f t="shared" si="1"/>
        <v>Abrir anúncio ↗</v>
      </c>
      <c r="E265" s="12" t="s">
        <v>2738</v>
      </c>
      <c r="F265" s="10" t="s">
        <v>86</v>
      </c>
      <c r="G265" s="12" t="s">
        <v>470</v>
      </c>
      <c r="H265" s="12" t="s">
        <v>771</v>
      </c>
      <c r="I265" s="10"/>
      <c r="J265" s="10"/>
      <c r="K265" s="12"/>
    </row>
    <row r="266" ht="15.75" customHeight="1">
      <c r="A266" s="3" t="s">
        <v>12</v>
      </c>
      <c r="B266" s="3" t="s">
        <v>82</v>
      </c>
      <c r="C266" s="3" t="s">
        <v>2745</v>
      </c>
      <c r="D266" s="8" t="str">
        <f t="shared" si="1"/>
        <v>Abrir anúncio ↗</v>
      </c>
      <c r="E266" s="9" t="s">
        <v>2747</v>
      </c>
      <c r="F266" s="3" t="s">
        <v>86</v>
      </c>
      <c r="G266" s="9" t="s">
        <v>470</v>
      </c>
      <c r="H266" s="9" t="s">
        <v>1312</v>
      </c>
      <c r="I266" s="3"/>
      <c r="J266" s="3"/>
      <c r="K266" s="9"/>
    </row>
    <row r="267" ht="15.75" customHeight="1">
      <c r="A267" s="10" t="s">
        <v>12</v>
      </c>
      <c r="B267" s="10" t="s">
        <v>82</v>
      </c>
      <c r="C267" s="10" t="s">
        <v>2754</v>
      </c>
      <c r="D267" s="11" t="str">
        <f t="shared" si="1"/>
        <v>Abrir anúncio ↗</v>
      </c>
      <c r="E267" s="12" t="s">
        <v>2755</v>
      </c>
      <c r="F267" s="10" t="s">
        <v>86</v>
      </c>
      <c r="G267" s="12" t="s">
        <v>470</v>
      </c>
      <c r="H267" s="12" t="s">
        <v>1312</v>
      </c>
      <c r="I267" s="10"/>
      <c r="J267" s="10"/>
      <c r="K267" s="12"/>
    </row>
    <row r="268" ht="15.75" customHeight="1">
      <c r="A268" s="3" t="s">
        <v>12</v>
      </c>
      <c r="B268" s="3" t="s">
        <v>82</v>
      </c>
      <c r="C268" s="3" t="s">
        <v>2763</v>
      </c>
      <c r="D268" s="8" t="str">
        <f t="shared" si="1"/>
        <v>Abrir anúncio ↗</v>
      </c>
      <c r="E268" s="9" t="s">
        <v>2766</v>
      </c>
      <c r="F268" s="3" t="s">
        <v>86</v>
      </c>
      <c r="G268" s="9" t="s">
        <v>470</v>
      </c>
      <c r="H268" s="9" t="s">
        <v>472</v>
      </c>
      <c r="I268" s="3"/>
      <c r="J268" s="3"/>
      <c r="K268" s="9"/>
    </row>
    <row r="269" ht="15.75" customHeight="1">
      <c r="A269" s="10" t="s">
        <v>12</v>
      </c>
      <c r="B269" s="10" t="s">
        <v>82</v>
      </c>
      <c r="C269" s="10" t="s">
        <v>2773</v>
      </c>
      <c r="D269" s="11" t="str">
        <f t="shared" si="1"/>
        <v>Abrir anúncio ↗</v>
      </c>
      <c r="E269" s="12" t="s">
        <v>2775</v>
      </c>
      <c r="F269" s="10" t="s">
        <v>86</v>
      </c>
      <c r="G269" s="12" t="s">
        <v>470</v>
      </c>
      <c r="H269" s="12" t="s">
        <v>771</v>
      </c>
      <c r="I269" s="10"/>
      <c r="J269" s="10"/>
      <c r="K269" s="12"/>
    </row>
    <row r="270" ht="15.75" customHeight="1">
      <c r="A270" s="3" t="s">
        <v>12</v>
      </c>
      <c r="B270" s="3" t="s">
        <v>82</v>
      </c>
      <c r="C270" s="3" t="s">
        <v>2782</v>
      </c>
      <c r="D270" s="8" t="str">
        <f t="shared" si="1"/>
        <v>Abrir anúncio ↗</v>
      </c>
      <c r="E270" s="9" t="s">
        <v>2784</v>
      </c>
      <c r="F270" s="3" t="s">
        <v>86</v>
      </c>
      <c r="G270" s="9" t="s">
        <v>470</v>
      </c>
      <c r="H270" s="9" t="s">
        <v>472</v>
      </c>
      <c r="I270" s="3"/>
      <c r="J270" s="3"/>
      <c r="K270" s="9"/>
    </row>
    <row r="271" ht="15.75" customHeight="1">
      <c r="A271" s="10" t="s">
        <v>12</v>
      </c>
      <c r="B271" s="10" t="s">
        <v>82</v>
      </c>
      <c r="C271" s="10" t="s">
        <v>2792</v>
      </c>
      <c r="D271" s="11" t="str">
        <f t="shared" si="1"/>
        <v>Abrir anúncio ↗</v>
      </c>
      <c r="E271" s="12" t="s">
        <v>2793</v>
      </c>
      <c r="F271" s="10" t="s">
        <v>86</v>
      </c>
      <c r="G271" s="12" t="s">
        <v>470</v>
      </c>
      <c r="H271" s="12" t="s">
        <v>519</v>
      </c>
      <c r="I271" s="10"/>
      <c r="J271" s="10"/>
      <c r="K271" s="12"/>
    </row>
    <row r="272" ht="15.75" customHeight="1">
      <c r="A272" s="3" t="s">
        <v>12</v>
      </c>
      <c r="B272" s="3" t="s">
        <v>82</v>
      </c>
      <c r="C272" s="3" t="s">
        <v>2800</v>
      </c>
      <c r="D272" s="8" t="str">
        <f t="shared" si="1"/>
        <v>Abrir anúncio ↗</v>
      </c>
      <c r="E272" s="9" t="s">
        <v>2802</v>
      </c>
      <c r="F272" s="3" t="s">
        <v>86</v>
      </c>
      <c r="G272" s="9" t="s">
        <v>470</v>
      </c>
      <c r="H272" s="9" t="s">
        <v>472</v>
      </c>
      <c r="I272" s="3"/>
      <c r="J272" s="3"/>
      <c r="K272" s="9"/>
    </row>
    <row r="273" ht="15.75" customHeight="1">
      <c r="A273" s="10" t="s">
        <v>12</v>
      </c>
      <c r="B273" s="10" t="s">
        <v>82</v>
      </c>
      <c r="C273" s="10" t="s">
        <v>2811</v>
      </c>
      <c r="D273" s="11" t="str">
        <f t="shared" si="1"/>
        <v>Abrir anúncio ↗</v>
      </c>
      <c r="E273" s="12" t="s">
        <v>2813</v>
      </c>
      <c r="F273" s="10" t="s">
        <v>86</v>
      </c>
      <c r="G273" s="12" t="s">
        <v>470</v>
      </c>
      <c r="H273" s="12" t="s">
        <v>771</v>
      </c>
      <c r="I273" s="10"/>
      <c r="J273" s="10"/>
      <c r="K273" s="12"/>
    </row>
    <row r="274" ht="15.75" customHeight="1">
      <c r="A274" s="3" t="s">
        <v>12</v>
      </c>
      <c r="B274" s="3" t="s">
        <v>82</v>
      </c>
      <c r="C274" s="3" t="s">
        <v>2822</v>
      </c>
      <c r="D274" s="8" t="str">
        <f t="shared" si="1"/>
        <v>Abrir anúncio ↗</v>
      </c>
      <c r="E274" s="9" t="s">
        <v>2825</v>
      </c>
      <c r="F274" s="3" t="s">
        <v>86</v>
      </c>
      <c r="G274" s="9" t="s">
        <v>470</v>
      </c>
      <c r="H274" s="9" t="s">
        <v>771</v>
      </c>
      <c r="I274" s="3"/>
      <c r="J274" s="3"/>
      <c r="K274" s="9"/>
    </row>
    <row r="275" ht="15.75" customHeight="1">
      <c r="A275" s="10" t="s">
        <v>12</v>
      </c>
      <c r="B275" s="10" t="s">
        <v>82</v>
      </c>
      <c r="C275" s="10" t="s">
        <v>2832</v>
      </c>
      <c r="D275" s="11" t="str">
        <f t="shared" si="1"/>
        <v>Abrir anúncio ↗</v>
      </c>
      <c r="E275" s="12" t="s">
        <v>2833</v>
      </c>
      <c r="F275" s="10" t="s">
        <v>86</v>
      </c>
      <c r="G275" s="12" t="s">
        <v>470</v>
      </c>
      <c r="H275" s="12" t="s">
        <v>584</v>
      </c>
      <c r="I275" s="10"/>
      <c r="J275" s="10"/>
      <c r="K275" s="12"/>
    </row>
    <row r="276" ht="15.75" customHeight="1">
      <c r="A276" s="3" t="s">
        <v>12</v>
      </c>
      <c r="B276" s="3" t="s">
        <v>82</v>
      </c>
      <c r="C276" s="3" t="s">
        <v>2840</v>
      </c>
      <c r="D276" s="8" t="str">
        <f t="shared" si="1"/>
        <v>Abrir anúncio ↗</v>
      </c>
      <c r="E276" s="9" t="s">
        <v>2842</v>
      </c>
      <c r="F276" s="3" t="s">
        <v>86</v>
      </c>
      <c r="G276" s="9" t="s">
        <v>470</v>
      </c>
      <c r="H276" s="9" t="s">
        <v>519</v>
      </c>
      <c r="I276" s="3"/>
      <c r="J276" s="3"/>
      <c r="K276" s="9"/>
    </row>
    <row r="277" ht="15.75" customHeight="1">
      <c r="A277" s="10" t="s">
        <v>12</v>
      </c>
      <c r="B277" s="10" t="s">
        <v>82</v>
      </c>
      <c r="C277" s="10" t="s">
        <v>2848</v>
      </c>
      <c r="D277" s="11" t="str">
        <f t="shared" si="1"/>
        <v>Abrir anúncio ↗</v>
      </c>
      <c r="E277" s="12" t="s">
        <v>2852</v>
      </c>
      <c r="F277" s="10" t="s">
        <v>86</v>
      </c>
      <c r="G277" s="12" t="s">
        <v>470</v>
      </c>
      <c r="H277" s="12" t="s">
        <v>771</v>
      </c>
      <c r="I277" s="10"/>
      <c r="J277" s="10"/>
      <c r="K277" s="12"/>
    </row>
    <row r="278" ht="15.75" customHeight="1">
      <c r="A278" s="3" t="s">
        <v>12</v>
      </c>
      <c r="B278" s="3" t="s">
        <v>82</v>
      </c>
      <c r="C278" s="3" t="s">
        <v>2857</v>
      </c>
      <c r="D278" s="8" t="str">
        <f t="shared" si="1"/>
        <v>Abrir anúncio ↗</v>
      </c>
      <c r="E278" s="9" t="s">
        <v>2860</v>
      </c>
      <c r="F278" s="3" t="s">
        <v>86</v>
      </c>
      <c r="G278" s="9" t="s">
        <v>470</v>
      </c>
      <c r="H278" s="9" t="s">
        <v>472</v>
      </c>
      <c r="I278" s="3"/>
      <c r="J278" s="3"/>
      <c r="K278" s="9"/>
    </row>
    <row r="279" ht="15.75" customHeight="1">
      <c r="A279" s="10" t="s">
        <v>12</v>
      </c>
      <c r="B279" s="10" t="s">
        <v>82</v>
      </c>
      <c r="C279" s="10" t="s">
        <v>2864</v>
      </c>
      <c r="D279" s="11" t="str">
        <f t="shared" si="1"/>
        <v>Abrir anúncio ↗</v>
      </c>
      <c r="E279" s="12" t="s">
        <v>2868</v>
      </c>
      <c r="F279" s="10" t="s">
        <v>86</v>
      </c>
      <c r="G279" s="12" t="s">
        <v>470</v>
      </c>
      <c r="H279" s="12" t="s">
        <v>1312</v>
      </c>
      <c r="I279" s="10"/>
      <c r="J279" s="10"/>
      <c r="K279" s="12"/>
    </row>
    <row r="280" ht="15.75" customHeight="1">
      <c r="A280" s="3" t="s">
        <v>12</v>
      </c>
      <c r="B280" s="3" t="s">
        <v>82</v>
      </c>
      <c r="C280" s="3" t="s">
        <v>2875</v>
      </c>
      <c r="D280" s="8" t="str">
        <f t="shared" si="1"/>
        <v>Abrir anúncio ↗</v>
      </c>
      <c r="E280" s="9" t="s">
        <v>2876</v>
      </c>
      <c r="F280" s="3" t="s">
        <v>86</v>
      </c>
      <c r="G280" s="9" t="s">
        <v>470</v>
      </c>
      <c r="H280" s="9" t="s">
        <v>1312</v>
      </c>
      <c r="I280" s="3"/>
      <c r="J280" s="3"/>
      <c r="K280" s="9"/>
    </row>
    <row r="281" ht="15.75" customHeight="1">
      <c r="A281" s="10" t="s">
        <v>12</v>
      </c>
      <c r="B281" s="10" t="s">
        <v>82</v>
      </c>
      <c r="C281" s="10" t="s">
        <v>2883</v>
      </c>
      <c r="D281" s="11" t="str">
        <f t="shared" si="1"/>
        <v>Abrir anúncio ↗</v>
      </c>
      <c r="E281" s="12" t="s">
        <v>2885</v>
      </c>
      <c r="F281" s="10" t="s">
        <v>86</v>
      </c>
      <c r="G281" s="12" t="s">
        <v>470</v>
      </c>
      <c r="H281" s="12" t="s">
        <v>584</v>
      </c>
      <c r="I281" s="10"/>
      <c r="J281" s="10"/>
      <c r="K281" s="12"/>
    </row>
    <row r="282" ht="15.75" customHeight="1">
      <c r="A282" s="3" t="s">
        <v>12</v>
      </c>
      <c r="B282" s="3" t="s">
        <v>82</v>
      </c>
      <c r="C282" s="3" t="s">
        <v>2894</v>
      </c>
      <c r="D282" s="8" t="str">
        <f t="shared" si="1"/>
        <v>Abrir anúncio ↗</v>
      </c>
      <c r="E282" s="9" t="s">
        <v>2895</v>
      </c>
      <c r="F282" s="3" t="s">
        <v>86</v>
      </c>
      <c r="G282" s="9" t="s">
        <v>470</v>
      </c>
      <c r="H282" s="9" t="s">
        <v>584</v>
      </c>
      <c r="I282" s="3"/>
      <c r="J282" s="3"/>
      <c r="K282" s="9"/>
    </row>
    <row r="283" ht="15.75" customHeight="1">
      <c r="A283" s="10" t="s">
        <v>12</v>
      </c>
      <c r="B283" s="10" t="s">
        <v>82</v>
      </c>
      <c r="C283" s="10" t="s">
        <v>2901</v>
      </c>
      <c r="D283" s="11" t="str">
        <f t="shared" si="1"/>
        <v>Abrir anúncio ↗</v>
      </c>
      <c r="E283" s="12" t="s">
        <v>2903</v>
      </c>
      <c r="F283" s="10" t="s">
        <v>86</v>
      </c>
      <c r="G283" s="12" t="s">
        <v>470</v>
      </c>
      <c r="H283" s="12" t="s">
        <v>472</v>
      </c>
      <c r="I283" s="10"/>
      <c r="J283" s="10"/>
      <c r="K283" s="12"/>
    </row>
    <row r="284" ht="15.75" customHeight="1">
      <c r="A284" s="3" t="s">
        <v>12</v>
      </c>
      <c r="B284" s="3" t="s">
        <v>82</v>
      </c>
      <c r="C284" s="3" t="s">
        <v>2909</v>
      </c>
      <c r="D284" s="8" t="str">
        <f t="shared" si="1"/>
        <v>Abrir anúncio ↗</v>
      </c>
      <c r="E284" s="9" t="s">
        <v>2910</v>
      </c>
      <c r="F284" s="3" t="s">
        <v>86</v>
      </c>
      <c r="G284" s="9" t="s">
        <v>470</v>
      </c>
      <c r="H284" s="9" t="s">
        <v>584</v>
      </c>
      <c r="I284" s="3"/>
      <c r="J284" s="3"/>
      <c r="K284" s="9"/>
    </row>
    <row r="285" ht="15.75" customHeight="1">
      <c r="A285" s="10" t="s">
        <v>12</v>
      </c>
      <c r="B285" s="10" t="s">
        <v>82</v>
      </c>
      <c r="C285" s="10" t="s">
        <v>2917</v>
      </c>
      <c r="D285" s="11" t="str">
        <f t="shared" si="1"/>
        <v>Abrir anúncio ↗</v>
      </c>
      <c r="E285" s="12" t="s">
        <v>2918</v>
      </c>
      <c r="F285" s="10" t="s">
        <v>86</v>
      </c>
      <c r="G285" s="12" t="s">
        <v>470</v>
      </c>
      <c r="H285" s="12" t="s">
        <v>1312</v>
      </c>
      <c r="I285" s="10"/>
      <c r="J285" s="10"/>
      <c r="K285" s="12"/>
    </row>
    <row r="286" ht="15.75" customHeight="1">
      <c r="A286" s="3" t="s">
        <v>12</v>
      </c>
      <c r="B286" s="3" t="s">
        <v>82</v>
      </c>
      <c r="C286" s="3" t="s">
        <v>2927</v>
      </c>
      <c r="D286" s="8" t="str">
        <f t="shared" si="1"/>
        <v>Abrir anúncio ↗</v>
      </c>
      <c r="E286" s="9" t="s">
        <v>2928</v>
      </c>
      <c r="F286" s="3" t="s">
        <v>86</v>
      </c>
      <c r="G286" s="9" t="s">
        <v>470</v>
      </c>
      <c r="H286" s="9" t="s">
        <v>584</v>
      </c>
      <c r="I286" s="3"/>
      <c r="J286" s="3"/>
      <c r="K286" s="9"/>
    </row>
    <row r="287" ht="15.75" customHeight="1">
      <c r="A287" s="10" t="s">
        <v>12</v>
      </c>
      <c r="B287" s="10" t="s">
        <v>82</v>
      </c>
      <c r="C287" s="10" t="s">
        <v>2934</v>
      </c>
      <c r="D287" s="11" t="str">
        <f t="shared" si="1"/>
        <v>Abrir anúncio ↗</v>
      </c>
      <c r="E287" s="12" t="s">
        <v>2935</v>
      </c>
      <c r="F287" s="10" t="s">
        <v>86</v>
      </c>
      <c r="G287" s="12" t="s">
        <v>470</v>
      </c>
      <c r="H287" s="12" t="s">
        <v>472</v>
      </c>
      <c r="I287" s="10"/>
      <c r="J287" s="10"/>
      <c r="K287" s="12"/>
    </row>
    <row r="288" ht="15.75" customHeight="1">
      <c r="A288" s="3" t="s">
        <v>12</v>
      </c>
      <c r="B288" s="3" t="s">
        <v>82</v>
      </c>
      <c r="C288" s="3" t="s">
        <v>2942</v>
      </c>
      <c r="D288" s="8" t="str">
        <f t="shared" si="1"/>
        <v>Abrir anúncio ↗</v>
      </c>
      <c r="E288" s="9" t="s">
        <v>2944</v>
      </c>
      <c r="F288" s="3" t="s">
        <v>86</v>
      </c>
      <c r="G288" s="9" t="s">
        <v>470</v>
      </c>
      <c r="H288" s="9" t="s">
        <v>472</v>
      </c>
      <c r="I288" s="3"/>
      <c r="J288" s="3"/>
      <c r="K288" s="9"/>
    </row>
    <row r="289" ht="15.75" customHeight="1">
      <c r="A289" s="10" t="s">
        <v>12</v>
      </c>
      <c r="B289" s="10" t="s">
        <v>82</v>
      </c>
      <c r="C289" s="10" t="s">
        <v>2951</v>
      </c>
      <c r="D289" s="11" t="str">
        <f t="shared" si="1"/>
        <v>Abrir anúncio ↗</v>
      </c>
      <c r="E289" s="12" t="s">
        <v>2952</v>
      </c>
      <c r="F289" s="10" t="s">
        <v>86</v>
      </c>
      <c r="G289" s="12" t="s">
        <v>470</v>
      </c>
      <c r="H289" s="12" t="s">
        <v>584</v>
      </c>
      <c r="I289" s="10"/>
      <c r="J289" s="10"/>
      <c r="K289" s="12"/>
    </row>
    <row r="290" ht="15.75" customHeight="1">
      <c r="A290" s="3" t="s">
        <v>12</v>
      </c>
      <c r="B290" s="3" t="s">
        <v>82</v>
      </c>
      <c r="C290" s="3" t="s">
        <v>2957</v>
      </c>
      <c r="D290" s="8" t="str">
        <f t="shared" si="1"/>
        <v>Abrir anúncio ↗</v>
      </c>
      <c r="E290" s="9" t="s">
        <v>2960</v>
      </c>
      <c r="F290" s="3" t="s">
        <v>86</v>
      </c>
      <c r="G290" s="9" t="s">
        <v>470</v>
      </c>
      <c r="H290" s="9" t="s">
        <v>1312</v>
      </c>
      <c r="I290" s="3"/>
      <c r="J290" s="3"/>
      <c r="K290" s="9"/>
    </row>
    <row r="291" ht="15.75" customHeight="1">
      <c r="A291" s="10" t="s">
        <v>12</v>
      </c>
      <c r="B291" s="10" t="s">
        <v>82</v>
      </c>
      <c r="C291" s="10" t="s">
        <v>2965</v>
      </c>
      <c r="D291" s="11" t="str">
        <f t="shared" si="1"/>
        <v>Abrir anúncio ↗</v>
      </c>
      <c r="E291" s="12" t="s">
        <v>2967</v>
      </c>
      <c r="F291" s="10" t="s">
        <v>86</v>
      </c>
      <c r="G291" s="12" t="s">
        <v>470</v>
      </c>
      <c r="H291" s="12" t="s">
        <v>584</v>
      </c>
      <c r="I291" s="10"/>
      <c r="J291" s="10"/>
      <c r="K291" s="12"/>
    </row>
    <row r="292" ht="15.75" customHeight="1">
      <c r="A292" s="3" t="s">
        <v>12</v>
      </c>
      <c r="B292" s="3" t="s">
        <v>82</v>
      </c>
      <c r="C292" s="3" t="s">
        <v>2974</v>
      </c>
      <c r="D292" s="8" t="str">
        <f t="shared" si="1"/>
        <v>Abrir anúncio ↗</v>
      </c>
      <c r="E292" s="9" t="s">
        <v>2976</v>
      </c>
      <c r="F292" s="3" t="s">
        <v>86</v>
      </c>
      <c r="G292" s="9" t="s">
        <v>470</v>
      </c>
      <c r="H292" s="9" t="s">
        <v>584</v>
      </c>
      <c r="I292" s="3"/>
      <c r="J292" s="3"/>
      <c r="K292" s="9"/>
    </row>
    <row r="293" ht="15.75" customHeight="1">
      <c r="A293" s="10" t="s">
        <v>12</v>
      </c>
      <c r="B293" s="10" t="s">
        <v>82</v>
      </c>
      <c r="C293" s="10" t="s">
        <v>2983</v>
      </c>
      <c r="D293" s="11" t="str">
        <f t="shared" si="1"/>
        <v>Abrir anúncio ↗</v>
      </c>
      <c r="E293" s="12" t="s">
        <v>2985</v>
      </c>
      <c r="F293" s="10" t="s">
        <v>86</v>
      </c>
      <c r="G293" s="12" t="s">
        <v>470</v>
      </c>
      <c r="H293" s="12" t="s">
        <v>1312</v>
      </c>
      <c r="I293" s="10"/>
      <c r="J293" s="10"/>
      <c r="K293" s="12"/>
    </row>
    <row r="294" ht="15.75" customHeight="1">
      <c r="A294" s="3" t="s">
        <v>12</v>
      </c>
      <c r="B294" s="3" t="s">
        <v>82</v>
      </c>
      <c r="C294" s="3" t="s">
        <v>2993</v>
      </c>
      <c r="D294" s="8" t="str">
        <f t="shared" si="1"/>
        <v>Abrir anúncio ↗</v>
      </c>
      <c r="E294" s="9" t="s">
        <v>2994</v>
      </c>
      <c r="F294" s="3" t="s">
        <v>86</v>
      </c>
      <c r="G294" s="9" t="s">
        <v>470</v>
      </c>
      <c r="H294" s="9" t="s">
        <v>771</v>
      </c>
      <c r="I294" s="3"/>
      <c r="J294" s="3"/>
      <c r="K294" s="9"/>
    </row>
    <row r="295" ht="15.75" customHeight="1">
      <c r="A295" s="10" t="s">
        <v>12</v>
      </c>
      <c r="B295" s="10" t="s">
        <v>82</v>
      </c>
      <c r="C295" s="10" t="s">
        <v>3002</v>
      </c>
      <c r="D295" s="11" t="str">
        <f t="shared" si="1"/>
        <v>Abrir anúncio ↗</v>
      </c>
      <c r="E295" s="12" t="s">
        <v>3004</v>
      </c>
      <c r="F295" s="10" t="s">
        <v>86</v>
      </c>
      <c r="G295" s="12" t="s">
        <v>470</v>
      </c>
      <c r="H295" s="12" t="s">
        <v>1312</v>
      </c>
      <c r="I295" s="10"/>
      <c r="J295" s="10"/>
      <c r="K295" s="12"/>
    </row>
    <row r="296" ht="15.75" customHeight="1">
      <c r="A296" s="3" t="s">
        <v>12</v>
      </c>
      <c r="B296" s="3" t="s">
        <v>82</v>
      </c>
      <c r="C296" s="3" t="s">
        <v>3011</v>
      </c>
      <c r="D296" s="8" t="str">
        <f t="shared" si="1"/>
        <v>Abrir anúncio ↗</v>
      </c>
      <c r="E296" s="9" t="s">
        <v>3013</v>
      </c>
      <c r="F296" s="3" t="s">
        <v>86</v>
      </c>
      <c r="G296" s="9" t="s">
        <v>470</v>
      </c>
      <c r="H296" s="9" t="s">
        <v>472</v>
      </c>
      <c r="I296" s="3"/>
      <c r="J296" s="3"/>
      <c r="K296" s="9"/>
    </row>
    <row r="297" ht="15.75" customHeight="1">
      <c r="A297" s="10" t="s">
        <v>12</v>
      </c>
      <c r="B297" s="10" t="s">
        <v>82</v>
      </c>
      <c r="C297" s="10" t="s">
        <v>3020</v>
      </c>
      <c r="D297" s="11" t="str">
        <f t="shared" si="1"/>
        <v>Abrir anúncio ↗</v>
      </c>
      <c r="E297" s="12" t="s">
        <v>3022</v>
      </c>
      <c r="F297" s="10" t="s">
        <v>86</v>
      </c>
      <c r="G297" s="12" t="s">
        <v>470</v>
      </c>
      <c r="H297" s="12" t="s">
        <v>584</v>
      </c>
      <c r="I297" s="10"/>
      <c r="J297" s="10"/>
      <c r="K297" s="12"/>
    </row>
    <row r="298" ht="15.75" customHeight="1">
      <c r="A298" s="3" t="s">
        <v>12</v>
      </c>
      <c r="B298" s="3" t="s">
        <v>82</v>
      </c>
      <c r="C298" s="3" t="s">
        <v>3028</v>
      </c>
      <c r="D298" s="8" t="str">
        <f t="shared" si="1"/>
        <v>Abrir anúncio ↗</v>
      </c>
      <c r="E298" s="9" t="s">
        <v>3031</v>
      </c>
      <c r="F298" s="3" t="s">
        <v>86</v>
      </c>
      <c r="G298" s="9" t="s">
        <v>470</v>
      </c>
      <c r="H298" s="9" t="s">
        <v>584</v>
      </c>
      <c r="I298" s="3"/>
      <c r="J298" s="3"/>
      <c r="K298" s="9"/>
    </row>
    <row r="299" ht="15.75" customHeight="1">
      <c r="A299" s="10" t="s">
        <v>12</v>
      </c>
      <c r="B299" s="10" t="s">
        <v>82</v>
      </c>
      <c r="C299" s="10" t="s">
        <v>3038</v>
      </c>
      <c r="D299" s="11" t="str">
        <f t="shared" si="1"/>
        <v>Abrir anúncio ↗</v>
      </c>
      <c r="E299" s="12" t="s">
        <v>3041</v>
      </c>
      <c r="F299" s="10" t="s">
        <v>86</v>
      </c>
      <c r="G299" s="12" t="s">
        <v>470</v>
      </c>
      <c r="H299" s="12" t="s">
        <v>584</v>
      </c>
      <c r="I299" s="10"/>
      <c r="J299" s="10"/>
      <c r="K299" s="12"/>
    </row>
    <row r="300" ht="15.75" customHeight="1">
      <c r="A300" s="3" t="s">
        <v>12</v>
      </c>
      <c r="B300" s="3" t="s">
        <v>82</v>
      </c>
      <c r="C300" s="3" t="s">
        <v>3047</v>
      </c>
      <c r="D300" s="8" t="str">
        <f t="shared" si="1"/>
        <v>Abrir anúncio ↗</v>
      </c>
      <c r="E300" s="9" t="s">
        <v>3049</v>
      </c>
      <c r="F300" s="3" t="s">
        <v>86</v>
      </c>
      <c r="G300" s="9" t="s">
        <v>470</v>
      </c>
      <c r="H300" s="9" t="s">
        <v>584</v>
      </c>
      <c r="I300" s="3"/>
      <c r="J300" s="3"/>
      <c r="K300" s="9"/>
    </row>
    <row r="301" ht="15.75" customHeight="1">
      <c r="A301" s="10" t="s">
        <v>12</v>
      </c>
      <c r="B301" s="10" t="s">
        <v>82</v>
      </c>
      <c r="C301" s="10" t="s">
        <v>3058</v>
      </c>
      <c r="D301" s="11" t="str">
        <f t="shared" si="1"/>
        <v>Abrir anúncio ↗</v>
      </c>
      <c r="E301" s="12" t="s">
        <v>3059</v>
      </c>
      <c r="F301" s="10" t="s">
        <v>86</v>
      </c>
      <c r="G301" s="12" t="s">
        <v>470</v>
      </c>
      <c r="H301" s="12" t="s">
        <v>771</v>
      </c>
      <c r="I301" s="10"/>
      <c r="J301" s="10"/>
      <c r="K301" s="12"/>
    </row>
    <row r="302" ht="15.75" customHeight="1">
      <c r="A302" s="3" t="s">
        <v>12</v>
      </c>
      <c r="B302" s="3" t="s">
        <v>82</v>
      </c>
      <c r="C302" s="3" t="s">
        <v>3066</v>
      </c>
      <c r="D302" s="8" t="str">
        <f t="shared" si="1"/>
        <v>Abrir anúncio ↗</v>
      </c>
      <c r="E302" s="9" t="s">
        <v>3069</v>
      </c>
      <c r="F302" s="3" t="s">
        <v>86</v>
      </c>
      <c r="G302" s="9" t="s">
        <v>470</v>
      </c>
      <c r="H302" s="9" t="s">
        <v>472</v>
      </c>
      <c r="I302" s="3"/>
      <c r="J302" s="3"/>
      <c r="K302" s="9"/>
    </row>
    <row r="303" ht="15.75" customHeight="1">
      <c r="A303" s="10" t="s">
        <v>12</v>
      </c>
      <c r="B303" s="10" t="s">
        <v>82</v>
      </c>
      <c r="C303" s="10" t="s">
        <v>3077</v>
      </c>
      <c r="D303" s="11" t="str">
        <f t="shared" si="1"/>
        <v>Abrir anúncio ↗</v>
      </c>
      <c r="E303" s="12" t="s">
        <v>3082</v>
      </c>
      <c r="F303" s="10" t="s">
        <v>86</v>
      </c>
      <c r="G303" s="12" t="s">
        <v>470</v>
      </c>
      <c r="H303" s="12" t="s">
        <v>519</v>
      </c>
      <c r="I303" s="10"/>
      <c r="J303" s="10"/>
      <c r="K303" s="12"/>
    </row>
    <row r="304" ht="15.75" customHeight="1">
      <c r="A304" s="3" t="s">
        <v>12</v>
      </c>
      <c r="B304" s="3" t="s">
        <v>82</v>
      </c>
      <c r="C304" s="3" t="s">
        <v>3087</v>
      </c>
      <c r="D304" s="8" t="str">
        <f t="shared" si="1"/>
        <v>Abrir anúncio ↗</v>
      </c>
      <c r="E304" s="9" t="s">
        <v>3091</v>
      </c>
      <c r="F304" s="3" t="s">
        <v>86</v>
      </c>
      <c r="G304" s="9" t="s">
        <v>470</v>
      </c>
      <c r="H304" s="9" t="s">
        <v>519</v>
      </c>
      <c r="I304" s="3"/>
      <c r="J304" s="3"/>
      <c r="K304" s="9"/>
    </row>
    <row r="305" ht="15.75" customHeight="1">
      <c r="A305" s="10" t="s">
        <v>12</v>
      </c>
      <c r="B305" s="10" t="s">
        <v>82</v>
      </c>
      <c r="C305" s="10" t="s">
        <v>3097</v>
      </c>
      <c r="D305" s="11" t="str">
        <f t="shared" si="1"/>
        <v>Abrir anúncio ↗</v>
      </c>
      <c r="E305" s="12" t="s">
        <v>3099</v>
      </c>
      <c r="F305" s="10" t="s">
        <v>86</v>
      </c>
      <c r="G305" s="12" t="s">
        <v>470</v>
      </c>
      <c r="H305" s="12" t="s">
        <v>1312</v>
      </c>
      <c r="I305" s="10"/>
      <c r="J305" s="10"/>
      <c r="K305" s="12"/>
    </row>
    <row r="306" ht="15.75" customHeight="1">
      <c r="A306" s="3" t="s">
        <v>12</v>
      </c>
      <c r="B306" s="3" t="s">
        <v>82</v>
      </c>
      <c r="C306" s="3" t="s">
        <v>3103</v>
      </c>
      <c r="D306" s="8" t="str">
        <f t="shared" si="1"/>
        <v>Abrir anúncio ↗</v>
      </c>
      <c r="E306" s="9" t="s">
        <v>3107</v>
      </c>
      <c r="F306" s="3" t="s">
        <v>86</v>
      </c>
      <c r="G306" s="9" t="s">
        <v>470</v>
      </c>
      <c r="H306" s="9" t="s">
        <v>771</v>
      </c>
      <c r="I306" s="3"/>
      <c r="J306" s="3"/>
      <c r="K306" s="9"/>
    </row>
    <row r="307" ht="15.75" customHeight="1">
      <c r="A307" s="10" t="s">
        <v>12</v>
      </c>
      <c r="B307" s="10" t="s">
        <v>82</v>
      </c>
      <c r="C307" s="10" t="s">
        <v>3114</v>
      </c>
      <c r="D307" s="11" t="str">
        <f t="shared" si="1"/>
        <v>Abrir anúncio ↗</v>
      </c>
      <c r="E307" s="12" t="s">
        <v>3117</v>
      </c>
      <c r="F307" s="10" t="s">
        <v>86</v>
      </c>
      <c r="G307" s="12" t="s">
        <v>470</v>
      </c>
      <c r="H307" s="12" t="s">
        <v>472</v>
      </c>
      <c r="I307" s="10"/>
      <c r="J307" s="10"/>
      <c r="K307" s="12"/>
    </row>
    <row r="308" ht="15.75" customHeight="1">
      <c r="A308" s="3" t="s">
        <v>12</v>
      </c>
      <c r="B308" s="3" t="s">
        <v>82</v>
      </c>
      <c r="C308" s="3" t="s">
        <v>3122</v>
      </c>
      <c r="D308" s="8" t="str">
        <f t="shared" si="1"/>
        <v>Abrir anúncio ↗</v>
      </c>
      <c r="E308" s="9" t="s">
        <v>3125</v>
      </c>
      <c r="F308" s="3" t="s">
        <v>86</v>
      </c>
      <c r="G308" s="9" t="s">
        <v>470</v>
      </c>
      <c r="H308" s="9" t="s">
        <v>584</v>
      </c>
      <c r="I308" s="3"/>
      <c r="J308" s="3"/>
      <c r="K308" s="9"/>
    </row>
    <row r="309" ht="15.75" customHeight="1">
      <c r="A309" s="10" t="s">
        <v>12</v>
      </c>
      <c r="B309" s="10" t="s">
        <v>82</v>
      </c>
      <c r="C309" s="10" t="s">
        <v>3129</v>
      </c>
      <c r="D309" s="11" t="str">
        <f t="shared" si="1"/>
        <v>Abrir anúncio ↗</v>
      </c>
      <c r="E309" s="12" t="s">
        <v>3134</v>
      </c>
      <c r="F309" s="10" t="s">
        <v>86</v>
      </c>
      <c r="G309" s="12" t="s">
        <v>470</v>
      </c>
      <c r="H309" s="12" t="s">
        <v>584</v>
      </c>
      <c r="I309" s="10"/>
      <c r="J309" s="10"/>
      <c r="K309" s="12"/>
    </row>
    <row r="310" ht="15.75" customHeight="1">
      <c r="A310" s="3" t="s">
        <v>12</v>
      </c>
      <c r="B310" s="3" t="s">
        <v>82</v>
      </c>
      <c r="C310" s="3" t="s">
        <v>3140</v>
      </c>
      <c r="D310" s="8" t="str">
        <f t="shared" si="1"/>
        <v>Abrir anúncio ↗</v>
      </c>
      <c r="E310" s="9" t="s">
        <v>3143</v>
      </c>
      <c r="F310" s="3" t="s">
        <v>86</v>
      </c>
      <c r="G310" s="9" t="s">
        <v>470</v>
      </c>
      <c r="H310" s="9" t="s">
        <v>584</v>
      </c>
      <c r="I310" s="3"/>
      <c r="J310" s="3"/>
      <c r="K310" s="9"/>
    </row>
    <row r="311" ht="15.75" customHeight="1">
      <c r="A311" s="10" t="s">
        <v>12</v>
      </c>
      <c r="B311" s="10" t="s">
        <v>82</v>
      </c>
      <c r="C311" s="10" t="s">
        <v>3151</v>
      </c>
      <c r="D311" s="11" t="str">
        <f t="shared" si="1"/>
        <v>Abrir anúncio ↗</v>
      </c>
      <c r="E311" s="12" t="s">
        <v>3153</v>
      </c>
      <c r="F311" s="10" t="s">
        <v>86</v>
      </c>
      <c r="G311" s="12" t="s">
        <v>470</v>
      </c>
      <c r="H311" s="12" t="s">
        <v>584</v>
      </c>
      <c r="I311" s="10"/>
      <c r="J311" s="10"/>
      <c r="K311" s="12"/>
    </row>
    <row r="312" ht="15.75" customHeight="1">
      <c r="A312" s="3" t="s">
        <v>12</v>
      </c>
      <c r="B312" s="3" t="s">
        <v>82</v>
      </c>
      <c r="C312" s="3" t="s">
        <v>3158</v>
      </c>
      <c r="D312" s="8" t="str">
        <f t="shared" si="1"/>
        <v>Abrir anúncio ↗</v>
      </c>
      <c r="E312" s="9" t="s">
        <v>3161</v>
      </c>
      <c r="F312" s="3" t="s">
        <v>86</v>
      </c>
      <c r="G312" s="9" t="s">
        <v>470</v>
      </c>
      <c r="H312" s="9" t="s">
        <v>584</v>
      </c>
      <c r="I312" s="3"/>
      <c r="J312" s="3"/>
      <c r="K312" s="9"/>
    </row>
    <row r="313" ht="15.75" customHeight="1">
      <c r="A313" s="10" t="s">
        <v>12</v>
      </c>
      <c r="B313" s="10" t="s">
        <v>82</v>
      </c>
      <c r="C313" s="10" t="s">
        <v>3168</v>
      </c>
      <c r="D313" s="11" t="str">
        <f t="shared" si="1"/>
        <v>Abrir anúncio ↗</v>
      </c>
      <c r="E313" s="12" t="s">
        <v>3169</v>
      </c>
      <c r="F313" s="10" t="s">
        <v>86</v>
      </c>
      <c r="G313" s="12" t="s">
        <v>470</v>
      </c>
      <c r="H313" s="12" t="s">
        <v>584</v>
      </c>
      <c r="I313" s="10"/>
      <c r="J313" s="10"/>
      <c r="K313" s="12"/>
    </row>
    <row r="314" ht="15.75" customHeight="1">
      <c r="A314" s="3" t="s">
        <v>12</v>
      </c>
      <c r="B314" s="3" t="s">
        <v>82</v>
      </c>
      <c r="C314" s="3" t="s">
        <v>3176</v>
      </c>
      <c r="D314" s="8" t="str">
        <f t="shared" si="1"/>
        <v>Abrir anúncio ↗</v>
      </c>
      <c r="E314" s="9" t="s">
        <v>3177</v>
      </c>
      <c r="F314" s="3" t="s">
        <v>86</v>
      </c>
      <c r="G314" s="9" t="s">
        <v>470</v>
      </c>
      <c r="H314" s="9" t="s">
        <v>472</v>
      </c>
      <c r="I314" s="3"/>
      <c r="J314" s="3"/>
      <c r="K314" s="9"/>
    </row>
    <row r="315" ht="15.75" customHeight="1">
      <c r="A315" s="10" t="s">
        <v>12</v>
      </c>
      <c r="B315" s="10" t="s">
        <v>82</v>
      </c>
      <c r="C315" s="10" t="s">
        <v>3183</v>
      </c>
      <c r="D315" s="11" t="str">
        <f t="shared" si="1"/>
        <v>Abrir anúncio ↗</v>
      </c>
      <c r="E315" s="12" t="s">
        <v>3184</v>
      </c>
      <c r="F315" s="10" t="s">
        <v>86</v>
      </c>
      <c r="G315" s="12" t="s">
        <v>470</v>
      </c>
      <c r="H315" s="12" t="s">
        <v>771</v>
      </c>
      <c r="I315" s="10"/>
      <c r="J315" s="10"/>
      <c r="K315" s="12"/>
    </row>
    <row r="316" ht="15.75" customHeight="1">
      <c r="A316" s="3" t="s">
        <v>12</v>
      </c>
      <c r="B316" s="3" t="s">
        <v>82</v>
      </c>
      <c r="C316" s="3" t="s">
        <v>3193</v>
      </c>
      <c r="D316" s="8" t="str">
        <f t="shared" si="1"/>
        <v>Abrir anúncio ↗</v>
      </c>
      <c r="E316" s="9" t="s">
        <v>3194</v>
      </c>
      <c r="F316" s="3" t="s">
        <v>86</v>
      </c>
      <c r="G316" s="9" t="s">
        <v>470</v>
      </c>
      <c r="H316" s="9" t="s">
        <v>472</v>
      </c>
      <c r="I316" s="3"/>
      <c r="J316" s="3"/>
      <c r="K316" s="9"/>
    </row>
    <row r="317" ht="15.75" customHeight="1">
      <c r="A317" s="10" t="s">
        <v>12</v>
      </c>
      <c r="B317" s="10" t="s">
        <v>82</v>
      </c>
      <c r="C317" s="10" t="s">
        <v>3204</v>
      </c>
      <c r="D317" s="11" t="str">
        <f t="shared" si="1"/>
        <v>Abrir anúncio ↗</v>
      </c>
      <c r="E317" s="12" t="s">
        <v>3206</v>
      </c>
      <c r="F317" s="10" t="s">
        <v>86</v>
      </c>
      <c r="G317" s="12" t="s">
        <v>470</v>
      </c>
      <c r="H317" s="12" t="s">
        <v>584</v>
      </c>
      <c r="I317" s="10"/>
      <c r="J317" s="10"/>
      <c r="K317" s="12"/>
    </row>
    <row r="318" ht="15.75" customHeight="1">
      <c r="A318" s="3" t="s">
        <v>12</v>
      </c>
      <c r="B318" s="3" t="s">
        <v>82</v>
      </c>
      <c r="C318" s="3" t="s">
        <v>3215</v>
      </c>
      <c r="D318" s="8" t="str">
        <f t="shared" si="1"/>
        <v>Abrir anúncio ↗</v>
      </c>
      <c r="E318" s="9" t="s">
        <v>3218</v>
      </c>
      <c r="F318" s="3" t="s">
        <v>86</v>
      </c>
      <c r="G318" s="9" t="s">
        <v>470</v>
      </c>
      <c r="H318" s="9" t="s">
        <v>472</v>
      </c>
      <c r="I318" s="3"/>
      <c r="J318" s="3"/>
      <c r="K318" s="9"/>
    </row>
    <row r="319" ht="15.75" customHeight="1">
      <c r="A319" s="10" t="s">
        <v>12</v>
      </c>
      <c r="B319" s="10" t="s">
        <v>82</v>
      </c>
      <c r="C319" s="10" t="s">
        <v>3227</v>
      </c>
      <c r="D319" s="11" t="str">
        <f t="shared" si="1"/>
        <v>Abrir anúncio ↗</v>
      </c>
      <c r="E319" s="12" t="s">
        <v>3229</v>
      </c>
      <c r="F319" s="10" t="s">
        <v>86</v>
      </c>
      <c r="G319" s="12" t="s">
        <v>470</v>
      </c>
      <c r="H319" s="12" t="s">
        <v>584</v>
      </c>
      <c r="I319" s="10"/>
      <c r="J319" s="10"/>
      <c r="K319" s="12"/>
    </row>
    <row r="320" ht="15.75" customHeight="1">
      <c r="A320" s="3" t="s">
        <v>12</v>
      </c>
      <c r="B320" s="3" t="s">
        <v>82</v>
      </c>
      <c r="C320" s="3" t="s">
        <v>3235</v>
      </c>
      <c r="D320" s="8" t="str">
        <f t="shared" si="1"/>
        <v>Abrir anúncio ↗</v>
      </c>
      <c r="E320" s="9" t="s">
        <v>3238</v>
      </c>
      <c r="F320" s="3" t="s">
        <v>86</v>
      </c>
      <c r="G320" s="9" t="s">
        <v>470</v>
      </c>
      <c r="H320" s="9" t="s">
        <v>584</v>
      </c>
      <c r="I320" s="3"/>
      <c r="J320" s="3"/>
      <c r="K320" s="9"/>
    </row>
    <row r="321" ht="15.75" customHeight="1">
      <c r="A321" s="10" t="s">
        <v>12</v>
      </c>
      <c r="B321" s="10" t="s">
        <v>82</v>
      </c>
      <c r="C321" s="10" t="s">
        <v>3243</v>
      </c>
      <c r="D321" s="11" t="str">
        <f t="shared" si="1"/>
        <v>Abrir anúncio ↗</v>
      </c>
      <c r="E321" s="12" t="s">
        <v>3246</v>
      </c>
      <c r="F321" s="10" t="s">
        <v>86</v>
      </c>
      <c r="G321" s="12" t="s">
        <v>470</v>
      </c>
      <c r="H321" s="12" t="s">
        <v>472</v>
      </c>
      <c r="I321" s="10"/>
      <c r="J321" s="10"/>
      <c r="K321" s="12"/>
    </row>
    <row r="322" ht="15.75" customHeight="1">
      <c r="A322" s="3" t="s">
        <v>12</v>
      </c>
      <c r="B322" s="3" t="s">
        <v>82</v>
      </c>
      <c r="C322" s="3" t="s">
        <v>3254</v>
      </c>
      <c r="D322" s="8" t="str">
        <f t="shared" si="1"/>
        <v>Abrir anúncio ↗</v>
      </c>
      <c r="E322" s="9" t="s">
        <v>3256</v>
      </c>
      <c r="F322" s="3" t="s">
        <v>86</v>
      </c>
      <c r="G322" s="9" t="s">
        <v>470</v>
      </c>
      <c r="H322" s="9" t="s">
        <v>584</v>
      </c>
      <c r="I322" s="3"/>
      <c r="J322" s="3"/>
      <c r="K322" s="9"/>
    </row>
    <row r="323" ht="15.75" customHeight="1">
      <c r="A323" s="10" t="s">
        <v>12</v>
      </c>
      <c r="B323" s="10" t="s">
        <v>82</v>
      </c>
      <c r="C323" s="10" t="s">
        <v>3264</v>
      </c>
      <c r="D323" s="11" t="str">
        <f t="shared" si="1"/>
        <v>Abrir anúncio ↗</v>
      </c>
      <c r="E323" s="12" t="s">
        <v>3266</v>
      </c>
      <c r="F323" s="10" t="s">
        <v>86</v>
      </c>
      <c r="G323" s="12" t="s">
        <v>470</v>
      </c>
      <c r="H323" s="12" t="s">
        <v>584</v>
      </c>
      <c r="I323" s="10"/>
      <c r="J323" s="10"/>
      <c r="K323" s="12"/>
    </row>
    <row r="324" ht="15.75" customHeight="1">
      <c r="A324" s="3" t="s">
        <v>12</v>
      </c>
      <c r="B324" s="3" t="s">
        <v>82</v>
      </c>
      <c r="C324" s="3" t="s">
        <v>3274</v>
      </c>
      <c r="D324" s="8" t="str">
        <f t="shared" si="1"/>
        <v>Abrir anúncio ↗</v>
      </c>
      <c r="E324" s="9" t="s">
        <v>3276</v>
      </c>
      <c r="F324" s="3" t="s">
        <v>86</v>
      </c>
      <c r="G324" s="9" t="s">
        <v>470</v>
      </c>
      <c r="H324" s="9" t="s">
        <v>519</v>
      </c>
      <c r="I324" s="3"/>
      <c r="J324" s="3"/>
      <c r="K324" s="9"/>
    </row>
    <row r="325" ht="15.75" customHeight="1">
      <c r="A325" s="10" t="s">
        <v>12</v>
      </c>
      <c r="B325" s="10" t="s">
        <v>82</v>
      </c>
      <c r="C325" s="10" t="s">
        <v>3284</v>
      </c>
      <c r="D325" s="11" t="str">
        <f t="shared" si="1"/>
        <v>Abrir anúncio ↗</v>
      </c>
      <c r="E325" s="12" t="s">
        <v>3286</v>
      </c>
      <c r="F325" s="10" t="s">
        <v>86</v>
      </c>
      <c r="G325" s="12" t="s">
        <v>470</v>
      </c>
      <c r="H325" s="12" t="s">
        <v>472</v>
      </c>
      <c r="I325" s="10"/>
      <c r="J325" s="10"/>
      <c r="K325" s="12"/>
    </row>
    <row r="326" ht="15.75" customHeight="1">
      <c r="A326" s="3" t="s">
        <v>12</v>
      </c>
      <c r="B326" s="3" t="s">
        <v>82</v>
      </c>
      <c r="C326" s="3" t="s">
        <v>3294</v>
      </c>
      <c r="D326" s="8" t="str">
        <f t="shared" si="1"/>
        <v>Abrir anúncio ↗</v>
      </c>
      <c r="E326" s="9" t="s">
        <v>3295</v>
      </c>
      <c r="F326" s="3" t="s">
        <v>86</v>
      </c>
      <c r="G326" s="9" t="s">
        <v>470</v>
      </c>
      <c r="H326" s="9" t="s">
        <v>472</v>
      </c>
      <c r="I326" s="3"/>
      <c r="J326" s="3"/>
      <c r="K326" s="9"/>
    </row>
    <row r="327" ht="15.75" customHeight="1">
      <c r="A327" s="10" t="s">
        <v>12</v>
      </c>
      <c r="B327" s="10" t="s">
        <v>82</v>
      </c>
      <c r="C327" s="10" t="s">
        <v>3301</v>
      </c>
      <c r="D327" s="11" t="str">
        <f t="shared" si="1"/>
        <v>Abrir anúncio ↗</v>
      </c>
      <c r="E327" s="12" t="s">
        <v>3305</v>
      </c>
      <c r="F327" s="10" t="s">
        <v>86</v>
      </c>
      <c r="G327" s="12" t="s">
        <v>470</v>
      </c>
      <c r="H327" s="12" t="s">
        <v>1312</v>
      </c>
      <c r="I327" s="10"/>
      <c r="J327" s="10"/>
      <c r="K327" s="12"/>
    </row>
    <row r="328" ht="15.75" customHeight="1">
      <c r="A328" s="3" t="s">
        <v>12</v>
      </c>
      <c r="B328" s="3" t="s">
        <v>82</v>
      </c>
      <c r="C328" s="3" t="s">
        <v>3310</v>
      </c>
      <c r="D328" s="8" t="str">
        <f t="shared" si="1"/>
        <v>Abrir anúncio ↗</v>
      </c>
      <c r="E328" s="9" t="s">
        <v>3312</v>
      </c>
      <c r="F328" s="3" t="s">
        <v>86</v>
      </c>
      <c r="G328" s="9" t="s">
        <v>470</v>
      </c>
      <c r="H328" s="9" t="s">
        <v>584</v>
      </c>
      <c r="I328" s="3"/>
      <c r="J328" s="3"/>
      <c r="K328" s="9"/>
    </row>
    <row r="329" ht="15.75" customHeight="1">
      <c r="A329" s="10" t="s">
        <v>12</v>
      </c>
      <c r="B329" s="10" t="s">
        <v>82</v>
      </c>
      <c r="C329" s="10" t="s">
        <v>3319</v>
      </c>
      <c r="D329" s="11" t="str">
        <f t="shared" si="1"/>
        <v>Abrir anúncio ↗</v>
      </c>
      <c r="E329" s="12" t="s">
        <v>3321</v>
      </c>
      <c r="F329" s="10" t="s">
        <v>86</v>
      </c>
      <c r="G329" s="12" t="s">
        <v>470</v>
      </c>
      <c r="H329" s="12" t="s">
        <v>1312</v>
      </c>
      <c r="I329" s="10"/>
      <c r="J329" s="10"/>
      <c r="K329" s="12"/>
    </row>
    <row r="330" ht="15.75" customHeight="1">
      <c r="A330" s="3" t="s">
        <v>12</v>
      </c>
      <c r="B330" s="3" t="s">
        <v>82</v>
      </c>
      <c r="C330" s="3" t="s">
        <v>3330</v>
      </c>
      <c r="D330" s="8" t="str">
        <f t="shared" si="1"/>
        <v>Abrir anúncio ↗</v>
      </c>
      <c r="E330" s="9" t="s">
        <v>3332</v>
      </c>
      <c r="F330" s="3" t="s">
        <v>86</v>
      </c>
      <c r="G330" s="9" t="s">
        <v>470</v>
      </c>
      <c r="H330" s="9" t="s">
        <v>472</v>
      </c>
      <c r="I330" s="3"/>
      <c r="J330" s="3"/>
      <c r="K330" s="9"/>
    </row>
    <row r="331" ht="15.75" customHeight="1">
      <c r="A331" s="10" t="s">
        <v>12</v>
      </c>
      <c r="B331" s="10" t="s">
        <v>82</v>
      </c>
      <c r="C331" s="10" t="s">
        <v>3340</v>
      </c>
      <c r="D331" s="11" t="str">
        <f t="shared" si="1"/>
        <v>Abrir anúncio ↗</v>
      </c>
      <c r="E331" s="12" t="s">
        <v>3343</v>
      </c>
      <c r="F331" s="10" t="s">
        <v>86</v>
      </c>
      <c r="G331" s="12" t="s">
        <v>470</v>
      </c>
      <c r="H331" s="12" t="s">
        <v>584</v>
      </c>
      <c r="I331" s="10"/>
      <c r="J331" s="10"/>
      <c r="K331" s="12"/>
    </row>
    <row r="332" ht="15.75" customHeight="1">
      <c r="A332" s="3" t="s">
        <v>12</v>
      </c>
      <c r="B332" s="3" t="s">
        <v>82</v>
      </c>
      <c r="C332" s="3" t="s">
        <v>3349</v>
      </c>
      <c r="D332" s="8" t="str">
        <f t="shared" si="1"/>
        <v>Abrir anúncio ↗</v>
      </c>
      <c r="E332" s="9" t="s">
        <v>3351</v>
      </c>
      <c r="F332" s="3" t="s">
        <v>86</v>
      </c>
      <c r="G332" s="9" t="s">
        <v>470</v>
      </c>
      <c r="H332" s="9" t="s">
        <v>584</v>
      </c>
      <c r="I332" s="3"/>
      <c r="J332" s="3"/>
      <c r="K332" s="9"/>
    </row>
    <row r="333" ht="15.75" customHeight="1">
      <c r="A333" s="10" t="s">
        <v>12</v>
      </c>
      <c r="B333" s="10" t="s">
        <v>82</v>
      </c>
      <c r="C333" s="10" t="s">
        <v>3358</v>
      </c>
      <c r="D333" s="11" t="str">
        <f t="shared" si="1"/>
        <v>Abrir anúncio ↗</v>
      </c>
      <c r="E333" s="12" t="s">
        <v>3361</v>
      </c>
      <c r="F333" s="10" t="s">
        <v>86</v>
      </c>
      <c r="G333" s="12" t="s">
        <v>470</v>
      </c>
      <c r="H333" s="12" t="s">
        <v>519</v>
      </c>
      <c r="I333" s="10"/>
      <c r="J333" s="10"/>
      <c r="K333" s="12"/>
    </row>
    <row r="334" ht="15.75" customHeight="1">
      <c r="A334" s="3" t="s">
        <v>12</v>
      </c>
      <c r="B334" s="3" t="s">
        <v>82</v>
      </c>
      <c r="C334" s="3" t="s">
        <v>3368</v>
      </c>
      <c r="D334" s="8" t="str">
        <f t="shared" si="1"/>
        <v>Abrir anúncio ↗</v>
      </c>
      <c r="E334" s="9" t="s">
        <v>3370</v>
      </c>
      <c r="F334" s="3" t="s">
        <v>86</v>
      </c>
      <c r="G334" s="9" t="s">
        <v>470</v>
      </c>
      <c r="H334" s="9" t="s">
        <v>519</v>
      </c>
      <c r="I334" s="3"/>
      <c r="J334" s="3"/>
      <c r="K334" s="9"/>
    </row>
    <row r="335" ht="15.75" customHeight="1">
      <c r="A335" s="10" t="s">
        <v>12</v>
      </c>
      <c r="B335" s="10" t="s">
        <v>82</v>
      </c>
      <c r="C335" s="10" t="s">
        <v>3378</v>
      </c>
      <c r="D335" s="11" t="str">
        <f t="shared" si="1"/>
        <v>Abrir anúncio ↗</v>
      </c>
      <c r="E335" s="12" t="s">
        <v>3380</v>
      </c>
      <c r="F335" s="10" t="s">
        <v>29</v>
      </c>
      <c r="G335" s="12" t="s">
        <v>965</v>
      </c>
      <c r="H335" s="12" t="s">
        <v>1015</v>
      </c>
      <c r="I335" s="10"/>
      <c r="J335" s="10"/>
      <c r="K335" s="12"/>
    </row>
    <row r="336" ht="15.75" customHeight="1">
      <c r="A336" s="3" t="s">
        <v>12</v>
      </c>
      <c r="B336" s="3" t="s">
        <v>82</v>
      </c>
      <c r="C336" s="3" t="s">
        <v>3385</v>
      </c>
      <c r="D336" s="8" t="str">
        <f t="shared" si="1"/>
        <v>Abrir anúncio ↗</v>
      </c>
      <c r="E336" s="9" t="s">
        <v>3390</v>
      </c>
      <c r="F336" s="3" t="s">
        <v>86</v>
      </c>
      <c r="G336" s="9" t="s">
        <v>965</v>
      </c>
      <c r="H336" s="9" t="s">
        <v>967</v>
      </c>
      <c r="I336" s="3"/>
      <c r="J336" s="3"/>
      <c r="K336" s="9"/>
    </row>
    <row r="337" ht="15.75" customHeight="1">
      <c r="A337" s="10" t="s">
        <v>12</v>
      </c>
      <c r="B337" s="10" t="s">
        <v>82</v>
      </c>
      <c r="C337" s="10" t="s">
        <v>3396</v>
      </c>
      <c r="D337" s="11" t="str">
        <f t="shared" si="1"/>
        <v>Abrir anúncio ↗</v>
      </c>
      <c r="E337" s="12" t="s">
        <v>3399</v>
      </c>
      <c r="F337" s="10" t="s">
        <v>86</v>
      </c>
      <c r="G337" s="12" t="s">
        <v>1054</v>
      </c>
      <c r="H337" s="12" t="s">
        <v>1519</v>
      </c>
      <c r="I337" s="10"/>
      <c r="J337" s="10"/>
      <c r="K337" s="12"/>
    </row>
    <row r="338" ht="15.75" customHeight="1">
      <c r="A338" s="3" t="s">
        <v>12</v>
      </c>
      <c r="B338" s="3" t="s">
        <v>82</v>
      </c>
      <c r="C338" s="3" t="s">
        <v>3410</v>
      </c>
      <c r="D338" s="8" t="str">
        <f t="shared" si="1"/>
        <v>Abrir anúncio ↗</v>
      </c>
      <c r="E338" s="9" t="s">
        <v>3415</v>
      </c>
      <c r="F338" s="3" t="s">
        <v>86</v>
      </c>
      <c r="G338" s="9" t="s">
        <v>991</v>
      </c>
      <c r="H338" s="9" t="s">
        <v>993</v>
      </c>
      <c r="I338" s="3"/>
      <c r="J338" s="3"/>
      <c r="K338" s="9"/>
    </row>
    <row r="339" ht="15.75" customHeight="1">
      <c r="A339" s="10" t="s">
        <v>12</v>
      </c>
      <c r="B339" s="10" t="s">
        <v>82</v>
      </c>
      <c r="C339" s="10" t="s">
        <v>3421</v>
      </c>
      <c r="D339" s="11" t="str">
        <f t="shared" si="1"/>
        <v>Abrir anúncio ↗</v>
      </c>
      <c r="E339" s="12" t="s">
        <v>3424</v>
      </c>
      <c r="F339" s="10" t="s">
        <v>29</v>
      </c>
      <c r="G339" s="12" t="s">
        <v>470</v>
      </c>
      <c r="H339" s="12" t="s">
        <v>519</v>
      </c>
      <c r="I339" s="10"/>
      <c r="J339" s="10"/>
      <c r="K339" s="12"/>
    </row>
    <row r="340" ht="15.75" customHeight="1">
      <c r="A340" s="3" t="s">
        <v>12</v>
      </c>
      <c r="B340" s="3" t="s">
        <v>82</v>
      </c>
      <c r="C340" s="3" t="s">
        <v>3431</v>
      </c>
      <c r="D340" s="8" t="str">
        <f t="shared" si="1"/>
        <v>Abrir anúncio ↗</v>
      </c>
      <c r="E340" s="9" t="s">
        <v>3434</v>
      </c>
      <c r="F340" s="3" t="s">
        <v>86</v>
      </c>
      <c r="G340" s="9" t="s">
        <v>470</v>
      </c>
      <c r="H340" s="9" t="s">
        <v>771</v>
      </c>
      <c r="I340" s="3"/>
      <c r="J340" s="3"/>
      <c r="K340" s="9"/>
    </row>
    <row r="341" ht="15.75" customHeight="1">
      <c r="A341" s="10" t="s">
        <v>12</v>
      </c>
      <c r="B341" s="10" t="s">
        <v>82</v>
      </c>
      <c r="C341" s="10" t="s">
        <v>3440</v>
      </c>
      <c r="D341" s="11" t="str">
        <f t="shared" si="1"/>
        <v>Abrir anúncio ↗</v>
      </c>
      <c r="E341" s="12" t="s">
        <v>3444</v>
      </c>
      <c r="F341" s="10" t="s">
        <v>86</v>
      </c>
      <c r="G341" s="12" t="s">
        <v>1054</v>
      </c>
      <c r="H341" s="12" t="s">
        <v>1750</v>
      </c>
      <c r="I341" s="10"/>
      <c r="J341" s="10"/>
      <c r="K341" s="12"/>
    </row>
    <row r="342" ht="15.75" customHeight="1">
      <c r="A342" s="3" t="s">
        <v>12</v>
      </c>
      <c r="B342" s="3" t="s">
        <v>82</v>
      </c>
      <c r="C342" s="3" t="s">
        <v>3451</v>
      </c>
      <c r="D342" s="8" t="str">
        <f t="shared" si="1"/>
        <v>Abrir anúncio ↗</v>
      </c>
      <c r="E342" s="9" t="s">
        <v>3455</v>
      </c>
      <c r="F342" s="3" t="s">
        <v>86</v>
      </c>
      <c r="G342" s="9" t="s">
        <v>1054</v>
      </c>
      <c r="H342" s="9" t="s">
        <v>1651</v>
      </c>
      <c r="I342" s="3"/>
      <c r="J342" s="3"/>
      <c r="K342" s="9"/>
    </row>
    <row r="343" ht="15.75" customHeight="1">
      <c r="A343" s="10" t="s">
        <v>12</v>
      </c>
      <c r="B343" s="10" t="s">
        <v>82</v>
      </c>
      <c r="C343" s="10" t="s">
        <v>3461</v>
      </c>
      <c r="D343" s="11" t="str">
        <f t="shared" si="1"/>
        <v>Abrir anúncio ↗</v>
      </c>
      <c r="E343" s="12" t="s">
        <v>3463</v>
      </c>
      <c r="F343" s="10" t="s">
        <v>86</v>
      </c>
      <c r="G343" s="12" t="s">
        <v>1054</v>
      </c>
      <c r="H343" s="12" t="s">
        <v>1804</v>
      </c>
      <c r="I343" s="10"/>
      <c r="J343" s="10"/>
      <c r="K343" s="12"/>
    </row>
    <row r="344" ht="15.75" customHeight="1">
      <c r="A344" s="3" t="s">
        <v>12</v>
      </c>
      <c r="B344" s="3" t="s">
        <v>82</v>
      </c>
      <c r="C344" s="3" t="s">
        <v>3467</v>
      </c>
      <c r="D344" s="8" t="str">
        <f t="shared" si="1"/>
        <v>Abrir anúncio ↗</v>
      </c>
      <c r="E344" s="9" t="s">
        <v>3470</v>
      </c>
      <c r="F344" s="3" t="s">
        <v>86</v>
      </c>
      <c r="G344" s="9" t="s">
        <v>1054</v>
      </c>
      <c r="H344" s="9" t="s">
        <v>1651</v>
      </c>
      <c r="I344" s="3"/>
      <c r="J344" s="3"/>
      <c r="K344" s="9"/>
    </row>
    <row r="345" ht="15.75" customHeight="1">
      <c r="A345" s="10" t="s">
        <v>12</v>
      </c>
      <c r="B345" s="10" t="s">
        <v>82</v>
      </c>
      <c r="C345" s="10" t="s">
        <v>3477</v>
      </c>
      <c r="D345" s="11" t="str">
        <f t="shared" si="1"/>
        <v>Abrir anúncio ↗</v>
      </c>
      <c r="E345" s="12" t="s">
        <v>3480</v>
      </c>
      <c r="F345" s="10" t="s">
        <v>86</v>
      </c>
      <c r="G345" s="12" t="s">
        <v>470</v>
      </c>
      <c r="H345" s="12" t="s">
        <v>472</v>
      </c>
      <c r="I345" s="10"/>
      <c r="J345" s="10"/>
      <c r="K345" s="12"/>
    </row>
    <row r="346" ht="15.75" customHeight="1">
      <c r="A346" s="3" t="s">
        <v>12</v>
      </c>
      <c r="B346" s="3" t="s">
        <v>82</v>
      </c>
      <c r="C346" s="3" t="s">
        <v>3489</v>
      </c>
      <c r="D346" s="8" t="str">
        <f t="shared" si="1"/>
        <v>Abrir anúncio ↗</v>
      </c>
      <c r="E346" s="9" t="s">
        <v>3493</v>
      </c>
      <c r="F346" s="3" t="s">
        <v>86</v>
      </c>
      <c r="G346" s="9" t="s">
        <v>1662</v>
      </c>
      <c r="H346" s="9" t="s">
        <v>3497</v>
      </c>
      <c r="I346" s="3"/>
      <c r="J346" s="3"/>
      <c r="K346" s="9"/>
    </row>
    <row r="347" ht="15.75" customHeight="1">
      <c r="A347" s="10" t="s">
        <v>12</v>
      </c>
      <c r="B347" s="10" t="s">
        <v>82</v>
      </c>
      <c r="C347" s="10" t="s">
        <v>3504</v>
      </c>
      <c r="D347" s="11" t="str">
        <f t="shared" si="1"/>
        <v>Abrir anúncio ↗</v>
      </c>
      <c r="E347" s="12" t="s">
        <v>3507</v>
      </c>
      <c r="F347" s="10" t="s">
        <v>86</v>
      </c>
      <c r="G347" s="12" t="s">
        <v>1662</v>
      </c>
      <c r="H347" s="12" t="s">
        <v>3109</v>
      </c>
      <c r="I347" s="10"/>
      <c r="J347" s="10"/>
      <c r="K347" s="12"/>
    </row>
    <row r="348" ht="15.75" customHeight="1">
      <c r="A348" s="3" t="s">
        <v>12</v>
      </c>
      <c r="B348" s="3" t="s">
        <v>82</v>
      </c>
      <c r="C348" s="3" t="s">
        <v>3512</v>
      </c>
      <c r="D348" s="8" t="str">
        <f t="shared" si="1"/>
        <v>Abrir anúncio ↗</v>
      </c>
      <c r="E348" s="9" t="s">
        <v>3516</v>
      </c>
      <c r="F348" s="3" t="s">
        <v>86</v>
      </c>
      <c r="G348" s="9" t="s">
        <v>965</v>
      </c>
      <c r="H348" s="9" t="s">
        <v>2173</v>
      </c>
      <c r="I348" s="3"/>
      <c r="J348" s="3"/>
      <c r="K348" s="9"/>
    </row>
    <row r="349" ht="15.75" customHeight="1">
      <c r="A349" s="10" t="s">
        <v>12</v>
      </c>
      <c r="B349" s="10" t="s">
        <v>82</v>
      </c>
      <c r="C349" s="10" t="s">
        <v>3523</v>
      </c>
      <c r="D349" s="11" t="str">
        <f t="shared" si="1"/>
        <v>Abrir anúncio ↗</v>
      </c>
      <c r="E349" s="12" t="s">
        <v>3526</v>
      </c>
      <c r="F349" s="10" t="s">
        <v>86</v>
      </c>
      <c r="G349" s="12" t="s">
        <v>470</v>
      </c>
      <c r="H349" s="12" t="s">
        <v>519</v>
      </c>
      <c r="I349" s="10"/>
      <c r="J349" s="10"/>
      <c r="K349" s="12"/>
    </row>
    <row r="350" ht="15.75" customHeight="1">
      <c r="A350" s="3" t="s">
        <v>12</v>
      </c>
      <c r="B350" s="3" t="s">
        <v>82</v>
      </c>
      <c r="C350" s="3" t="s">
        <v>3534</v>
      </c>
      <c r="D350" s="8" t="str">
        <f t="shared" si="1"/>
        <v>Abrir anúncio ↗</v>
      </c>
      <c r="E350" s="9" t="s">
        <v>3536</v>
      </c>
      <c r="F350" s="3" t="s">
        <v>86</v>
      </c>
      <c r="G350" s="9" t="s">
        <v>470</v>
      </c>
      <c r="H350" s="9" t="s">
        <v>472</v>
      </c>
      <c r="I350" s="3"/>
      <c r="J350" s="3"/>
      <c r="K350" s="9"/>
    </row>
    <row r="351" ht="15.75" customHeight="1">
      <c r="A351" s="10" t="s">
        <v>12</v>
      </c>
      <c r="B351" s="10" t="s">
        <v>82</v>
      </c>
      <c r="C351" s="10" t="s">
        <v>3546</v>
      </c>
      <c r="D351" s="11" t="str">
        <f t="shared" si="1"/>
        <v>Abrir anúncio ↗</v>
      </c>
      <c r="E351" s="12" t="s">
        <v>3549</v>
      </c>
      <c r="F351" s="10" t="s">
        <v>86</v>
      </c>
      <c r="G351" s="12" t="s">
        <v>470</v>
      </c>
      <c r="H351" s="12" t="s">
        <v>472</v>
      </c>
      <c r="I351" s="10"/>
      <c r="J351" s="10"/>
      <c r="K351" s="12"/>
    </row>
    <row r="352" ht="15.75" customHeight="1">
      <c r="A352" s="3" t="s">
        <v>12</v>
      </c>
      <c r="B352" s="3" t="s">
        <v>82</v>
      </c>
      <c r="C352" s="3" t="s">
        <v>3555</v>
      </c>
      <c r="D352" s="8" t="str">
        <f t="shared" si="1"/>
        <v>Abrir anúncio ↗</v>
      </c>
      <c r="E352" s="9" t="s">
        <v>3559</v>
      </c>
      <c r="F352" s="3" t="s">
        <v>86</v>
      </c>
      <c r="G352" s="9" t="s">
        <v>470</v>
      </c>
      <c r="H352" s="9" t="s">
        <v>519</v>
      </c>
      <c r="I352" s="3"/>
      <c r="J352" s="3"/>
      <c r="K352" s="9"/>
    </row>
    <row r="353" ht="15.75" customHeight="1">
      <c r="A353" s="10" t="s">
        <v>12</v>
      </c>
      <c r="B353" s="10" t="s">
        <v>82</v>
      </c>
      <c r="C353" s="10" t="s">
        <v>3567</v>
      </c>
      <c r="D353" s="11" t="str">
        <f t="shared" si="1"/>
        <v>Abrir anúncio ↗</v>
      </c>
      <c r="E353" s="12" t="s">
        <v>3569</v>
      </c>
      <c r="F353" s="10" t="s">
        <v>86</v>
      </c>
      <c r="G353" s="12" t="s">
        <v>470</v>
      </c>
      <c r="H353" s="12" t="s">
        <v>519</v>
      </c>
      <c r="I353" s="10"/>
      <c r="J353" s="10"/>
      <c r="K353" s="12"/>
    </row>
    <row r="354" ht="15.75" customHeight="1">
      <c r="A354" s="3" t="s">
        <v>12</v>
      </c>
      <c r="B354" s="3" t="s">
        <v>82</v>
      </c>
      <c r="C354" s="3" t="s">
        <v>3576</v>
      </c>
      <c r="D354" s="8" t="str">
        <f t="shared" si="1"/>
        <v>Abrir anúncio ↗</v>
      </c>
      <c r="E354" s="9" t="s">
        <v>3578</v>
      </c>
      <c r="F354" s="3" t="s">
        <v>86</v>
      </c>
      <c r="G354" s="9" t="s">
        <v>1054</v>
      </c>
      <c r="H354" s="9" t="s">
        <v>1815</v>
      </c>
      <c r="I354" s="3"/>
      <c r="J354" s="3"/>
      <c r="K354" s="9"/>
    </row>
    <row r="355" ht="15.75" customHeight="1">
      <c r="A355" s="10" t="s">
        <v>12</v>
      </c>
      <c r="B355" s="10" t="s">
        <v>82</v>
      </c>
      <c r="C355" s="10" t="s">
        <v>3587</v>
      </c>
      <c r="D355" s="11" t="str">
        <f t="shared" si="1"/>
        <v>Abrir anúncio ↗</v>
      </c>
      <c r="E355" s="12" t="s">
        <v>3591</v>
      </c>
      <c r="F355" s="10" t="s">
        <v>29</v>
      </c>
      <c r="G355" s="12" t="s">
        <v>470</v>
      </c>
      <c r="H355" s="12" t="s">
        <v>472</v>
      </c>
      <c r="I355" s="10"/>
      <c r="J355" s="10"/>
      <c r="K355" s="12"/>
    </row>
    <row r="356" ht="15.75" customHeight="1">
      <c r="A356" s="3" t="s">
        <v>12</v>
      </c>
      <c r="B356" s="3" t="s">
        <v>82</v>
      </c>
      <c r="C356" s="3" t="s">
        <v>3597</v>
      </c>
      <c r="D356" s="8" t="str">
        <f t="shared" si="1"/>
        <v>Abrir anúncio ↗</v>
      </c>
      <c r="E356" s="9" t="s">
        <v>3599</v>
      </c>
      <c r="F356" s="3" t="s">
        <v>29</v>
      </c>
      <c r="G356" s="9" t="s">
        <v>470</v>
      </c>
      <c r="H356" s="9" t="s">
        <v>472</v>
      </c>
      <c r="I356" s="3"/>
      <c r="J356" s="3"/>
      <c r="K356" s="9"/>
    </row>
    <row r="357" ht="15.75" customHeight="1">
      <c r="A357" s="10" t="s">
        <v>12</v>
      </c>
      <c r="B357" s="10" t="s">
        <v>82</v>
      </c>
      <c r="C357" s="10" t="s">
        <v>3606</v>
      </c>
      <c r="D357" s="11" t="str">
        <f t="shared" si="1"/>
        <v>Abrir anúncio ↗</v>
      </c>
      <c r="E357" s="12" t="s">
        <v>3608</v>
      </c>
      <c r="F357" s="10" t="s">
        <v>86</v>
      </c>
      <c r="G357" s="12" t="s">
        <v>470</v>
      </c>
      <c r="H357" s="12" t="s">
        <v>472</v>
      </c>
      <c r="I357" s="10"/>
      <c r="J357" s="10"/>
      <c r="K357" s="12"/>
    </row>
    <row r="358" ht="15.75" customHeight="1">
      <c r="A358" s="3" t="s">
        <v>12</v>
      </c>
      <c r="B358" s="3" t="s">
        <v>82</v>
      </c>
      <c r="C358" s="3" t="s">
        <v>3615</v>
      </c>
      <c r="D358" s="8" t="str">
        <f t="shared" si="1"/>
        <v>Abrir anúncio ↗</v>
      </c>
      <c r="E358" s="9" t="s">
        <v>3619</v>
      </c>
      <c r="F358" s="3" t="s">
        <v>86</v>
      </c>
      <c r="G358" s="9" t="s">
        <v>470</v>
      </c>
      <c r="H358" s="9" t="s">
        <v>472</v>
      </c>
      <c r="I358" s="3"/>
      <c r="J358" s="3"/>
      <c r="K358" s="9"/>
    </row>
    <row r="359" ht="15.75" customHeight="1">
      <c r="A359" s="10" t="s">
        <v>12</v>
      </c>
      <c r="B359" s="10" t="s">
        <v>82</v>
      </c>
      <c r="C359" s="10" t="s">
        <v>3625</v>
      </c>
      <c r="D359" s="11" t="str">
        <f t="shared" si="1"/>
        <v>Abrir anúncio ↗</v>
      </c>
      <c r="E359" s="12" t="s">
        <v>3626</v>
      </c>
      <c r="F359" s="10" t="s">
        <v>29</v>
      </c>
      <c r="G359" s="12" t="s">
        <v>470</v>
      </c>
      <c r="H359" s="12" t="s">
        <v>472</v>
      </c>
      <c r="I359" s="10"/>
      <c r="J359" s="10"/>
      <c r="K359" s="12"/>
    </row>
    <row r="360" ht="15.75" customHeight="1">
      <c r="A360" s="3" t="s">
        <v>12</v>
      </c>
      <c r="B360" s="3" t="s">
        <v>82</v>
      </c>
      <c r="C360" s="3" t="s">
        <v>3632</v>
      </c>
      <c r="D360" s="8" t="str">
        <f t="shared" si="1"/>
        <v>Abrir anúncio ↗</v>
      </c>
      <c r="E360" s="9" t="s">
        <v>3634</v>
      </c>
      <c r="F360" s="3" t="s">
        <v>29</v>
      </c>
      <c r="G360" s="9" t="s">
        <v>470</v>
      </c>
      <c r="H360" s="9" t="s">
        <v>584</v>
      </c>
      <c r="I360" s="3"/>
      <c r="J360" s="3"/>
      <c r="K360" s="9"/>
    </row>
    <row r="361" ht="15.75" customHeight="1">
      <c r="A361" s="10" t="s">
        <v>12</v>
      </c>
      <c r="B361" s="10" t="s">
        <v>82</v>
      </c>
      <c r="C361" s="10" t="s">
        <v>3641</v>
      </c>
      <c r="D361" s="11" t="str">
        <f t="shared" si="1"/>
        <v>Abrir anúncio ↗</v>
      </c>
      <c r="E361" s="12" t="s">
        <v>3644</v>
      </c>
      <c r="F361" s="10" t="s">
        <v>86</v>
      </c>
      <c r="G361" s="12" t="s">
        <v>470</v>
      </c>
      <c r="H361" s="12" t="s">
        <v>472</v>
      </c>
      <c r="I361" s="10"/>
      <c r="J361" s="10"/>
      <c r="K361" s="12"/>
    </row>
    <row r="362" ht="15.75" customHeight="1">
      <c r="A362" s="3" t="s">
        <v>12</v>
      </c>
      <c r="B362" s="3" t="s">
        <v>82</v>
      </c>
      <c r="C362" s="3" t="s">
        <v>3651</v>
      </c>
      <c r="D362" s="8" t="str">
        <f t="shared" si="1"/>
        <v>Abrir anúncio ↗</v>
      </c>
      <c r="E362" s="9" t="s">
        <v>3652</v>
      </c>
      <c r="F362" s="3" t="s">
        <v>29</v>
      </c>
      <c r="G362" s="9" t="s">
        <v>470</v>
      </c>
      <c r="H362" s="9" t="s">
        <v>472</v>
      </c>
      <c r="I362" s="3"/>
      <c r="J362" s="3"/>
      <c r="K362" s="9"/>
    </row>
    <row r="363" ht="15.75" customHeight="1">
      <c r="A363" s="10" t="s">
        <v>12</v>
      </c>
      <c r="B363" s="10" t="s">
        <v>82</v>
      </c>
      <c r="C363" s="10" t="s">
        <v>3658</v>
      </c>
      <c r="D363" s="11" t="str">
        <f t="shared" si="1"/>
        <v>Abrir anúncio ↗</v>
      </c>
      <c r="E363" s="12" t="s">
        <v>3662</v>
      </c>
      <c r="F363" s="10" t="s">
        <v>29</v>
      </c>
      <c r="G363" s="12" t="s">
        <v>470</v>
      </c>
      <c r="H363" s="12" t="s">
        <v>472</v>
      </c>
      <c r="I363" s="10"/>
      <c r="J363" s="10"/>
      <c r="K363" s="12"/>
    </row>
    <row r="364" ht="15.75" customHeight="1">
      <c r="A364" s="3" t="s">
        <v>12</v>
      </c>
      <c r="B364" s="3" t="s">
        <v>82</v>
      </c>
      <c r="C364" s="3" t="s">
        <v>3668</v>
      </c>
      <c r="D364" s="8" t="str">
        <f t="shared" si="1"/>
        <v>Abrir anúncio ↗</v>
      </c>
      <c r="E364" s="9" t="s">
        <v>3670</v>
      </c>
      <c r="F364" s="3" t="s">
        <v>29</v>
      </c>
      <c r="G364" s="9" t="s">
        <v>470</v>
      </c>
      <c r="H364" s="9" t="s">
        <v>584</v>
      </c>
      <c r="I364" s="3"/>
      <c r="J364" s="3"/>
      <c r="K364" s="9"/>
    </row>
    <row r="365" ht="15.75" customHeight="1">
      <c r="A365" s="10" t="s">
        <v>12</v>
      </c>
      <c r="B365" s="10" t="s">
        <v>82</v>
      </c>
      <c r="C365" s="10" t="s">
        <v>3676</v>
      </c>
      <c r="D365" s="11" t="str">
        <f t="shared" si="1"/>
        <v>Abrir anúncio ↗</v>
      </c>
      <c r="E365" s="12" t="s">
        <v>3678</v>
      </c>
      <c r="F365" s="10" t="s">
        <v>86</v>
      </c>
      <c r="G365" s="12" t="s">
        <v>470</v>
      </c>
      <c r="H365" s="12" t="s">
        <v>472</v>
      </c>
      <c r="I365" s="10"/>
      <c r="J365" s="10"/>
      <c r="K365" s="12"/>
    </row>
    <row r="366" ht="15.75" customHeight="1">
      <c r="A366" s="3" t="s">
        <v>12</v>
      </c>
      <c r="B366" s="3" t="s">
        <v>82</v>
      </c>
      <c r="C366" s="3" t="s">
        <v>3686</v>
      </c>
      <c r="D366" s="8" t="str">
        <f t="shared" si="1"/>
        <v>Abrir anúncio ↗</v>
      </c>
      <c r="E366" s="9" t="s">
        <v>3689</v>
      </c>
      <c r="F366" s="3" t="s">
        <v>86</v>
      </c>
      <c r="G366" s="9" t="s">
        <v>470</v>
      </c>
      <c r="H366" s="9" t="s">
        <v>472</v>
      </c>
      <c r="I366" s="3"/>
      <c r="J366" s="3"/>
      <c r="K366" s="9"/>
    </row>
    <row r="367" ht="15.75" customHeight="1">
      <c r="A367" s="10" t="s">
        <v>12</v>
      </c>
      <c r="B367" s="10" t="s">
        <v>82</v>
      </c>
      <c r="C367" s="10" t="s">
        <v>3696</v>
      </c>
      <c r="D367" s="11" t="str">
        <f t="shared" si="1"/>
        <v>Abrir anúncio ↗</v>
      </c>
      <c r="E367" s="12" t="s">
        <v>3699</v>
      </c>
      <c r="F367" s="10" t="s">
        <v>29</v>
      </c>
      <c r="G367" s="12" t="s">
        <v>470</v>
      </c>
      <c r="H367" s="12" t="s">
        <v>472</v>
      </c>
      <c r="I367" s="10"/>
      <c r="J367" s="10"/>
      <c r="K367" s="12"/>
    </row>
    <row r="368" ht="15.75" customHeight="1">
      <c r="A368" s="3" t="s">
        <v>12</v>
      </c>
      <c r="B368" s="3" t="s">
        <v>82</v>
      </c>
      <c r="C368" s="3" t="s">
        <v>3706</v>
      </c>
      <c r="D368" s="8" t="str">
        <f t="shared" si="1"/>
        <v>Abrir anúncio ↗</v>
      </c>
      <c r="E368" s="9" t="s">
        <v>3711</v>
      </c>
      <c r="F368" s="3" t="s">
        <v>86</v>
      </c>
      <c r="G368" s="9" t="s">
        <v>470</v>
      </c>
      <c r="H368" s="9" t="s">
        <v>472</v>
      </c>
      <c r="I368" s="3"/>
      <c r="J368" s="3"/>
      <c r="K368" s="9"/>
    </row>
    <row r="369" ht="15.75" customHeight="1">
      <c r="A369" s="10" t="s">
        <v>12</v>
      </c>
      <c r="B369" s="10" t="s">
        <v>82</v>
      </c>
      <c r="C369" s="10" t="s">
        <v>3718</v>
      </c>
      <c r="D369" s="11" t="str">
        <f t="shared" si="1"/>
        <v>Abrir anúncio ↗</v>
      </c>
      <c r="E369" s="12" t="s">
        <v>3719</v>
      </c>
      <c r="F369" s="10" t="s">
        <v>29</v>
      </c>
      <c r="G369" s="12" t="s">
        <v>470</v>
      </c>
      <c r="H369" s="12" t="s">
        <v>472</v>
      </c>
      <c r="I369" s="10"/>
      <c r="J369" s="10"/>
      <c r="K369" s="12"/>
    </row>
    <row r="370" ht="15.75" customHeight="1">
      <c r="A370" s="3" t="s">
        <v>12</v>
      </c>
      <c r="B370" s="3" t="s">
        <v>82</v>
      </c>
      <c r="C370" s="3" t="s">
        <v>3728</v>
      </c>
      <c r="D370" s="8" t="str">
        <f t="shared" si="1"/>
        <v>Abrir anúncio ↗</v>
      </c>
      <c r="E370" s="9" t="s">
        <v>3730</v>
      </c>
      <c r="F370" s="3" t="s">
        <v>86</v>
      </c>
      <c r="G370" s="9" t="s">
        <v>470</v>
      </c>
      <c r="H370" s="9" t="s">
        <v>472</v>
      </c>
      <c r="I370" s="3"/>
      <c r="J370" s="3"/>
      <c r="K370" s="9"/>
    </row>
    <row r="371" ht="15.75" customHeight="1">
      <c r="A371" s="10" t="s">
        <v>12</v>
      </c>
      <c r="B371" s="10" t="s">
        <v>82</v>
      </c>
      <c r="C371" s="10" t="s">
        <v>3737</v>
      </c>
      <c r="D371" s="11" t="str">
        <f t="shared" si="1"/>
        <v>Abrir anúncio ↗</v>
      </c>
      <c r="E371" s="12" t="s">
        <v>3738</v>
      </c>
      <c r="F371" s="10" t="s">
        <v>86</v>
      </c>
      <c r="G371" s="12" t="s">
        <v>470</v>
      </c>
      <c r="H371" s="12" t="s">
        <v>472</v>
      </c>
      <c r="I371" s="10"/>
      <c r="J371" s="10"/>
      <c r="K371" s="12"/>
    </row>
    <row r="372" ht="15.75" customHeight="1">
      <c r="A372" s="3" t="s">
        <v>12</v>
      </c>
      <c r="B372" s="3" t="s">
        <v>82</v>
      </c>
      <c r="C372" s="3" t="s">
        <v>3745</v>
      </c>
      <c r="D372" s="8" t="str">
        <f t="shared" si="1"/>
        <v>Abrir anúncio ↗</v>
      </c>
      <c r="E372" s="9" t="s">
        <v>3747</v>
      </c>
      <c r="F372" s="3" t="s">
        <v>29</v>
      </c>
      <c r="G372" s="9" t="s">
        <v>470</v>
      </c>
      <c r="H372" s="9" t="s">
        <v>472</v>
      </c>
      <c r="I372" s="3"/>
      <c r="J372" s="3"/>
      <c r="K372" s="9"/>
    </row>
    <row r="373" ht="15.75" customHeight="1">
      <c r="A373" s="10" t="s">
        <v>12</v>
      </c>
      <c r="B373" s="10" t="s">
        <v>82</v>
      </c>
      <c r="C373" s="10" t="s">
        <v>3755</v>
      </c>
      <c r="D373" s="11" t="str">
        <f t="shared" si="1"/>
        <v>Abrir anúncio ↗</v>
      </c>
      <c r="E373" s="12" t="s">
        <v>3758</v>
      </c>
      <c r="F373" s="10" t="s">
        <v>86</v>
      </c>
      <c r="G373" s="12" t="s">
        <v>470</v>
      </c>
      <c r="H373" s="12" t="s">
        <v>472</v>
      </c>
      <c r="I373" s="10"/>
      <c r="J373" s="10"/>
      <c r="K373" s="12"/>
    </row>
    <row r="374" ht="15.75" customHeight="1">
      <c r="A374" s="3" t="s">
        <v>12</v>
      </c>
      <c r="B374" s="3" t="s">
        <v>82</v>
      </c>
      <c r="C374" s="3" t="s">
        <v>3763</v>
      </c>
      <c r="D374" s="8" t="str">
        <f t="shared" si="1"/>
        <v>Abrir anúncio ↗</v>
      </c>
      <c r="E374" s="9" t="s">
        <v>3766</v>
      </c>
      <c r="F374" s="3" t="s">
        <v>86</v>
      </c>
      <c r="G374" s="9" t="s">
        <v>470</v>
      </c>
      <c r="H374" s="9" t="s">
        <v>472</v>
      </c>
      <c r="I374" s="3"/>
      <c r="J374" s="3"/>
      <c r="K374" s="9"/>
    </row>
    <row r="375" ht="15.75" customHeight="1">
      <c r="A375" s="10" t="s">
        <v>12</v>
      </c>
      <c r="B375" s="10" t="s">
        <v>82</v>
      </c>
      <c r="C375" s="10" t="s">
        <v>3771</v>
      </c>
      <c r="D375" s="11" t="str">
        <f t="shared" si="1"/>
        <v>Abrir anúncio ↗</v>
      </c>
      <c r="E375" s="12" t="s">
        <v>3775</v>
      </c>
      <c r="F375" s="10" t="s">
        <v>86</v>
      </c>
      <c r="G375" s="12" t="s">
        <v>470</v>
      </c>
      <c r="H375" s="12" t="s">
        <v>472</v>
      </c>
      <c r="I375" s="10"/>
      <c r="J375" s="10"/>
      <c r="K375" s="12"/>
    </row>
    <row r="376" ht="15.75" customHeight="1">
      <c r="A376" s="3" t="s">
        <v>12</v>
      </c>
      <c r="B376" s="3" t="s">
        <v>82</v>
      </c>
      <c r="C376" s="3" t="s">
        <v>3781</v>
      </c>
      <c r="D376" s="8" t="str">
        <f t="shared" si="1"/>
        <v>Abrir anúncio ↗</v>
      </c>
      <c r="E376" s="9" t="s">
        <v>3784</v>
      </c>
      <c r="F376" s="3" t="s">
        <v>86</v>
      </c>
      <c r="G376" s="9" t="s">
        <v>470</v>
      </c>
      <c r="H376" s="9" t="s">
        <v>472</v>
      </c>
      <c r="I376" s="3"/>
      <c r="J376" s="3"/>
      <c r="K376" s="9"/>
    </row>
    <row r="377" ht="15.75" customHeight="1">
      <c r="A377" s="10" t="s">
        <v>12</v>
      </c>
      <c r="B377" s="10" t="s">
        <v>82</v>
      </c>
      <c r="C377" s="10" t="s">
        <v>3796</v>
      </c>
      <c r="D377" s="11" t="str">
        <f t="shared" si="1"/>
        <v>Abrir anúncio ↗</v>
      </c>
      <c r="E377" s="12" t="s">
        <v>3798</v>
      </c>
      <c r="F377" s="10" t="s">
        <v>29</v>
      </c>
      <c r="G377" s="12" t="s">
        <v>1054</v>
      </c>
      <c r="H377" s="12" t="s">
        <v>3804</v>
      </c>
      <c r="I377" s="10"/>
      <c r="J377" s="10"/>
      <c r="K377" s="12"/>
    </row>
    <row r="378" ht="15.75" customHeight="1">
      <c r="A378" s="3" t="s">
        <v>12</v>
      </c>
      <c r="B378" s="3" t="s">
        <v>82</v>
      </c>
      <c r="C378" s="3" t="s">
        <v>3810</v>
      </c>
      <c r="D378" s="8" t="str">
        <f t="shared" si="1"/>
        <v>Abrir anúncio ↗</v>
      </c>
      <c r="E378" s="9" t="s">
        <v>3813</v>
      </c>
      <c r="F378" s="3" t="s">
        <v>29</v>
      </c>
      <c r="G378" s="9" t="s">
        <v>1957</v>
      </c>
      <c r="H378" s="9" t="s">
        <v>3817</v>
      </c>
      <c r="I378" s="3"/>
      <c r="J378" s="3"/>
      <c r="K378" s="9"/>
    </row>
    <row r="379" ht="15.75" customHeight="1">
      <c r="A379" s="10" t="s">
        <v>12</v>
      </c>
      <c r="B379" s="10" t="s">
        <v>82</v>
      </c>
      <c r="C379" s="10" t="s">
        <v>3822</v>
      </c>
      <c r="D379" s="11" t="str">
        <f t="shared" si="1"/>
        <v>Abrir anúncio ↗</v>
      </c>
      <c r="E379" s="12" t="s">
        <v>3825</v>
      </c>
      <c r="F379" s="10" t="s">
        <v>86</v>
      </c>
      <c r="G379" s="12" t="s">
        <v>965</v>
      </c>
      <c r="H379" s="12" t="s">
        <v>1676</v>
      </c>
      <c r="I379" s="10"/>
      <c r="J379" s="10"/>
      <c r="K379" s="12"/>
    </row>
    <row r="380" ht="15.75" customHeight="1">
      <c r="A380" s="3" t="s">
        <v>12</v>
      </c>
      <c r="B380" s="3" t="s">
        <v>82</v>
      </c>
      <c r="C380" s="3" t="s">
        <v>3832</v>
      </c>
      <c r="D380" s="8" t="str">
        <f t="shared" si="1"/>
        <v>Abrir anúncio ↗</v>
      </c>
      <c r="E380" s="9" t="s">
        <v>3835</v>
      </c>
      <c r="F380" s="3" t="s">
        <v>86</v>
      </c>
      <c r="G380" s="9" t="s">
        <v>965</v>
      </c>
      <c r="H380" s="9" t="s">
        <v>2008</v>
      </c>
      <c r="I380" s="3"/>
      <c r="J380" s="3"/>
      <c r="K380" s="9"/>
    </row>
    <row r="381" ht="15.75" customHeight="1">
      <c r="A381" s="10" t="s">
        <v>12</v>
      </c>
      <c r="B381" s="10" t="s">
        <v>82</v>
      </c>
      <c r="C381" s="10" t="s">
        <v>3842</v>
      </c>
      <c r="D381" s="11" t="str">
        <f t="shared" si="1"/>
        <v>Abrir anúncio ↗</v>
      </c>
      <c r="E381" s="12" t="s">
        <v>3844</v>
      </c>
      <c r="F381" s="10" t="s">
        <v>86</v>
      </c>
      <c r="G381" s="12" t="s">
        <v>991</v>
      </c>
      <c r="H381" s="12" t="s">
        <v>993</v>
      </c>
      <c r="I381" s="10"/>
      <c r="J381" s="10"/>
      <c r="K381" s="12"/>
    </row>
    <row r="382" ht="15.75" customHeight="1">
      <c r="A382" s="3" t="s">
        <v>12</v>
      </c>
      <c r="B382" s="3" t="s">
        <v>82</v>
      </c>
      <c r="C382" s="3" t="s">
        <v>3851</v>
      </c>
      <c r="D382" s="8" t="str">
        <f t="shared" si="1"/>
        <v>Abrir anúncio ↗</v>
      </c>
      <c r="E382" s="9" t="s">
        <v>3854</v>
      </c>
      <c r="F382" s="3" t="s">
        <v>86</v>
      </c>
      <c r="G382" s="9" t="s">
        <v>991</v>
      </c>
      <c r="H382" s="9" t="s">
        <v>993</v>
      </c>
      <c r="I382" s="3"/>
      <c r="J382" s="3"/>
      <c r="K382" s="9"/>
    </row>
    <row r="383" ht="15.75" customHeight="1">
      <c r="A383" s="10" t="s">
        <v>12</v>
      </c>
      <c r="B383" s="10" t="s">
        <v>82</v>
      </c>
      <c r="C383" s="10" t="s">
        <v>3863</v>
      </c>
      <c r="D383" s="11" t="str">
        <f t="shared" si="1"/>
        <v>Abrir anúncio ↗</v>
      </c>
      <c r="E383" s="12" t="s">
        <v>3865</v>
      </c>
      <c r="F383" s="10" t="s">
        <v>86</v>
      </c>
      <c r="G383" s="12" t="s">
        <v>965</v>
      </c>
      <c r="H383" s="12" t="s">
        <v>3369</v>
      </c>
      <c r="I383" s="10"/>
      <c r="J383" s="10"/>
      <c r="K383" s="12"/>
    </row>
    <row r="384" ht="15.75" customHeight="1">
      <c r="A384" s="3" t="s">
        <v>12</v>
      </c>
      <c r="B384" s="3" t="s">
        <v>82</v>
      </c>
      <c r="C384" s="3" t="s">
        <v>3872</v>
      </c>
      <c r="D384" s="8" t="str">
        <f t="shared" si="1"/>
        <v>Abrir anúncio ↗</v>
      </c>
      <c r="E384" s="9" t="s">
        <v>3875</v>
      </c>
      <c r="F384" s="3" t="s">
        <v>86</v>
      </c>
      <c r="G384" s="9" t="s">
        <v>965</v>
      </c>
      <c r="H384" s="9" t="s">
        <v>2293</v>
      </c>
      <c r="I384" s="3"/>
      <c r="J384" s="3"/>
      <c r="K384" s="9"/>
    </row>
    <row r="385" ht="15.75" customHeight="1">
      <c r="A385" s="10" t="s">
        <v>12</v>
      </c>
      <c r="B385" s="10" t="s">
        <v>82</v>
      </c>
      <c r="C385" s="10" t="s">
        <v>3885</v>
      </c>
      <c r="D385" s="11" t="str">
        <f t="shared" si="1"/>
        <v>Abrir anúncio ↗</v>
      </c>
      <c r="E385" s="12" t="s">
        <v>3888</v>
      </c>
      <c r="F385" s="10" t="s">
        <v>86</v>
      </c>
      <c r="G385" s="12" t="s">
        <v>991</v>
      </c>
      <c r="H385" s="12" t="s">
        <v>993</v>
      </c>
      <c r="I385" s="10"/>
      <c r="J385" s="10"/>
      <c r="K385" s="12"/>
    </row>
    <row r="386" ht="15.75" customHeight="1">
      <c r="A386" s="3" t="s">
        <v>12</v>
      </c>
      <c r="B386" s="3" t="s">
        <v>82</v>
      </c>
      <c r="C386" s="3" t="s">
        <v>3903</v>
      </c>
      <c r="D386" s="8" t="str">
        <f t="shared" si="1"/>
        <v>Abrir anúncio ↗</v>
      </c>
      <c r="E386" s="9" t="s">
        <v>3905</v>
      </c>
      <c r="F386" s="3" t="s">
        <v>29</v>
      </c>
      <c r="G386" s="9" t="s">
        <v>1054</v>
      </c>
      <c r="H386" s="9" t="s">
        <v>3909</v>
      </c>
      <c r="I386" s="3"/>
      <c r="J386" s="3"/>
      <c r="K386" s="9"/>
    </row>
    <row r="387" ht="15.75" customHeight="1">
      <c r="A387" s="10" t="s">
        <v>12</v>
      </c>
      <c r="B387" s="10" t="s">
        <v>82</v>
      </c>
      <c r="C387" s="10" t="s">
        <v>3915</v>
      </c>
      <c r="D387" s="11" t="str">
        <f t="shared" si="1"/>
        <v>Abrir anúncio ↗</v>
      </c>
      <c r="E387" s="12" t="s">
        <v>2059</v>
      </c>
      <c r="F387" s="10" t="s">
        <v>29</v>
      </c>
      <c r="G387" s="12" t="s">
        <v>965</v>
      </c>
      <c r="H387" s="12" t="s">
        <v>1015</v>
      </c>
      <c r="I387" s="10"/>
      <c r="J387" s="10"/>
      <c r="K387" s="12"/>
    </row>
    <row r="388" ht="15.75" customHeight="1">
      <c r="A388" s="3" t="s">
        <v>12</v>
      </c>
      <c r="B388" s="3" t="s">
        <v>82</v>
      </c>
      <c r="C388" s="3" t="s">
        <v>3924</v>
      </c>
      <c r="D388" s="8" t="str">
        <f t="shared" si="1"/>
        <v>Abrir anúncio ↗</v>
      </c>
      <c r="E388" s="9" t="s">
        <v>3925</v>
      </c>
      <c r="F388" s="3" t="s">
        <v>86</v>
      </c>
      <c r="G388" s="9" t="s">
        <v>1054</v>
      </c>
      <c r="H388" s="9" t="s">
        <v>1056</v>
      </c>
      <c r="I388" s="3"/>
      <c r="J388" s="3"/>
      <c r="K388" s="9"/>
    </row>
    <row r="389" ht="15.75" customHeight="1">
      <c r="A389" s="10" t="s">
        <v>12</v>
      </c>
      <c r="B389" s="10" t="s">
        <v>82</v>
      </c>
      <c r="C389" s="10" t="s">
        <v>3933</v>
      </c>
      <c r="D389" s="11" t="str">
        <f t="shared" si="1"/>
        <v>Abrir anúncio ↗</v>
      </c>
      <c r="E389" s="12" t="s">
        <v>3935</v>
      </c>
      <c r="F389" s="10" t="s">
        <v>86</v>
      </c>
      <c r="G389" s="12" t="s">
        <v>602</v>
      </c>
      <c r="H389" s="12" t="s">
        <v>3936</v>
      </c>
      <c r="I389" s="10"/>
      <c r="J389" s="10"/>
      <c r="K389" s="12"/>
    </row>
    <row r="390" ht="15.75" customHeight="1">
      <c r="A390" s="3" t="s">
        <v>12</v>
      </c>
      <c r="B390" s="3" t="s">
        <v>82</v>
      </c>
      <c r="C390" s="3" t="s">
        <v>3943</v>
      </c>
      <c r="D390" s="8" t="str">
        <f t="shared" si="1"/>
        <v>Abrir anúncio ↗</v>
      </c>
      <c r="E390" s="9" t="s">
        <v>3946</v>
      </c>
      <c r="F390" s="3" t="s">
        <v>86</v>
      </c>
      <c r="G390" s="9" t="s">
        <v>965</v>
      </c>
      <c r="H390" s="9" t="s">
        <v>2008</v>
      </c>
      <c r="I390" s="3"/>
      <c r="J390" s="3"/>
      <c r="K390" s="9"/>
    </row>
    <row r="391" ht="15.75" customHeight="1">
      <c r="A391" s="10" t="s">
        <v>12</v>
      </c>
      <c r="B391" s="10" t="s">
        <v>82</v>
      </c>
      <c r="C391" s="10" t="s">
        <v>3952</v>
      </c>
      <c r="D391" s="11" t="str">
        <f t="shared" si="1"/>
        <v>Abrir anúncio ↗</v>
      </c>
      <c r="E391" s="12" t="s">
        <v>3956</v>
      </c>
      <c r="F391" s="10" t="s">
        <v>86</v>
      </c>
      <c r="G391" s="12" t="s">
        <v>965</v>
      </c>
      <c r="H391" s="12" t="s">
        <v>2018</v>
      </c>
      <c r="I391" s="10"/>
      <c r="J391" s="10"/>
      <c r="K391" s="12"/>
    </row>
    <row r="392" ht="15.75" customHeight="1">
      <c r="A392" s="3" t="s">
        <v>12</v>
      </c>
      <c r="B392" s="3" t="s">
        <v>82</v>
      </c>
      <c r="C392" s="3" t="s">
        <v>3966</v>
      </c>
      <c r="D392" s="8" t="str">
        <f t="shared" si="1"/>
        <v>Abrir anúncio ↗</v>
      </c>
      <c r="E392" s="9" t="s">
        <v>3968</v>
      </c>
      <c r="F392" s="3" t="s">
        <v>29</v>
      </c>
      <c r="G392" s="9" t="s">
        <v>965</v>
      </c>
      <c r="H392" s="9" t="s">
        <v>2136</v>
      </c>
      <c r="I392" s="3"/>
      <c r="J392" s="3"/>
      <c r="K392" s="9"/>
    </row>
    <row r="393" ht="15.75" customHeight="1">
      <c r="A393" s="10" t="s">
        <v>12</v>
      </c>
      <c r="B393" s="10" t="s">
        <v>82</v>
      </c>
      <c r="C393" s="10" t="s">
        <v>3977</v>
      </c>
      <c r="D393" s="11" t="str">
        <f t="shared" si="1"/>
        <v>Abrir anúncio ↗</v>
      </c>
      <c r="E393" s="12" t="s">
        <v>3980</v>
      </c>
      <c r="F393" s="10" t="s">
        <v>29</v>
      </c>
      <c r="G393" s="12" t="s">
        <v>965</v>
      </c>
      <c r="H393" s="12" t="s">
        <v>1015</v>
      </c>
      <c r="I393" s="10"/>
      <c r="J393" s="10"/>
      <c r="K393" s="12"/>
    </row>
    <row r="394" ht="15.75" customHeight="1">
      <c r="A394" s="3" t="s">
        <v>12</v>
      </c>
      <c r="B394" s="3" t="s">
        <v>82</v>
      </c>
      <c r="C394" s="3" t="s">
        <v>3988</v>
      </c>
      <c r="D394" s="8" t="str">
        <f t="shared" si="1"/>
        <v>Abrir anúncio ↗</v>
      </c>
      <c r="E394" s="9" t="s">
        <v>3992</v>
      </c>
      <c r="F394" s="3" t="s">
        <v>29</v>
      </c>
      <c r="G394" s="9" t="s">
        <v>965</v>
      </c>
      <c r="H394" s="9" t="s">
        <v>1015</v>
      </c>
      <c r="I394" s="3"/>
      <c r="J394" s="3"/>
      <c r="K394" s="9"/>
    </row>
    <row r="395" ht="15.75" customHeight="1">
      <c r="A395" s="10" t="s">
        <v>12</v>
      </c>
      <c r="B395" s="10" t="s">
        <v>82</v>
      </c>
      <c r="C395" s="10" t="s">
        <v>4000</v>
      </c>
      <c r="D395" s="11" t="str">
        <f t="shared" si="1"/>
        <v>Abrir anúncio ↗</v>
      </c>
      <c r="E395" s="12" t="s">
        <v>4001</v>
      </c>
      <c r="F395" s="10" t="s">
        <v>29</v>
      </c>
      <c r="G395" s="12" t="s">
        <v>965</v>
      </c>
      <c r="H395" s="12" t="s">
        <v>2008</v>
      </c>
      <c r="I395" s="10"/>
      <c r="J395" s="10"/>
      <c r="K395" s="12"/>
    </row>
    <row r="396" ht="15.75" customHeight="1">
      <c r="A396" s="3" t="s">
        <v>12</v>
      </c>
      <c r="B396" s="3" t="s">
        <v>82</v>
      </c>
      <c r="C396" s="3" t="s">
        <v>4007</v>
      </c>
      <c r="D396" s="8" t="str">
        <f t="shared" si="1"/>
        <v>Abrir anúncio ↗</v>
      </c>
      <c r="E396" s="9" t="s">
        <v>4012</v>
      </c>
      <c r="F396" s="3" t="s">
        <v>29</v>
      </c>
      <c r="G396" s="9" t="s">
        <v>965</v>
      </c>
      <c r="H396" s="9" t="s">
        <v>1676</v>
      </c>
      <c r="I396" s="3"/>
      <c r="J396" s="3"/>
      <c r="K396" s="9"/>
    </row>
    <row r="397" ht="15.75" customHeight="1">
      <c r="A397" s="10" t="s">
        <v>12</v>
      </c>
      <c r="B397" s="10" t="s">
        <v>82</v>
      </c>
      <c r="C397" s="10" t="s">
        <v>4016</v>
      </c>
      <c r="D397" s="11" t="str">
        <f t="shared" si="1"/>
        <v>Abrir anúncio ↗</v>
      </c>
      <c r="E397" s="12" t="s">
        <v>4019</v>
      </c>
      <c r="F397" s="10" t="s">
        <v>29</v>
      </c>
      <c r="G397" s="12" t="s">
        <v>965</v>
      </c>
      <c r="H397" s="12" t="s">
        <v>2018</v>
      </c>
      <c r="I397" s="10"/>
      <c r="J397" s="10"/>
      <c r="K397" s="12"/>
    </row>
    <row r="398" ht="15.75" customHeight="1">
      <c r="A398" s="3" t="s">
        <v>12</v>
      </c>
      <c r="B398" s="3" t="s">
        <v>82</v>
      </c>
      <c r="C398" s="3" t="s">
        <v>4025</v>
      </c>
      <c r="D398" s="8" t="str">
        <f t="shared" si="1"/>
        <v>Abrir anúncio ↗</v>
      </c>
      <c r="E398" s="9" t="s">
        <v>4029</v>
      </c>
      <c r="F398" s="3" t="s">
        <v>29</v>
      </c>
      <c r="G398" s="9" t="s">
        <v>965</v>
      </c>
      <c r="H398" s="9" t="s">
        <v>4031</v>
      </c>
      <c r="I398" s="3"/>
      <c r="J398" s="3"/>
      <c r="K398" s="9"/>
    </row>
    <row r="399" ht="15.75" customHeight="1">
      <c r="A399" s="10" t="s">
        <v>12</v>
      </c>
      <c r="B399" s="10" t="s">
        <v>82</v>
      </c>
      <c r="C399" s="10" t="s">
        <v>4036</v>
      </c>
      <c r="D399" s="11" t="str">
        <f t="shared" si="1"/>
        <v>Abrir anúncio ↗</v>
      </c>
      <c r="E399" s="12" t="s">
        <v>4037</v>
      </c>
      <c r="F399" s="10" t="s">
        <v>29</v>
      </c>
      <c r="G399" s="12" t="s">
        <v>965</v>
      </c>
      <c r="H399" s="12" t="s">
        <v>1015</v>
      </c>
      <c r="I399" s="10"/>
      <c r="J399" s="10"/>
      <c r="K399" s="12"/>
    </row>
    <row r="400" ht="15.75" customHeight="1">
      <c r="A400" s="3" t="s">
        <v>12</v>
      </c>
      <c r="B400" s="3" t="s">
        <v>82</v>
      </c>
      <c r="C400" s="3" t="s">
        <v>4043</v>
      </c>
      <c r="D400" s="8" t="str">
        <f t="shared" si="1"/>
        <v>Abrir anúncio ↗</v>
      </c>
      <c r="E400" s="9" t="s">
        <v>4046</v>
      </c>
      <c r="F400" s="3" t="s">
        <v>86</v>
      </c>
      <c r="G400" s="9" t="s">
        <v>965</v>
      </c>
      <c r="H400" s="9" t="s">
        <v>1676</v>
      </c>
      <c r="I400" s="3"/>
      <c r="J400" s="3"/>
      <c r="K400" s="9"/>
    </row>
    <row r="401" ht="15.75" customHeight="1">
      <c r="A401" s="10" t="s">
        <v>12</v>
      </c>
      <c r="B401" s="10" t="s">
        <v>82</v>
      </c>
      <c r="C401" s="10" t="s">
        <v>4052</v>
      </c>
      <c r="D401" s="11" t="str">
        <f t="shared" si="1"/>
        <v>Abrir anúncio ↗</v>
      </c>
      <c r="E401" s="12" t="s">
        <v>4056</v>
      </c>
      <c r="F401" s="10" t="s">
        <v>86</v>
      </c>
      <c r="G401" s="12" t="s">
        <v>965</v>
      </c>
      <c r="H401" s="12" t="s">
        <v>2136</v>
      </c>
      <c r="I401" s="10"/>
      <c r="J401" s="10"/>
      <c r="K401" s="12"/>
    </row>
    <row r="402" ht="15.75" customHeight="1">
      <c r="A402" s="3" t="s">
        <v>12</v>
      </c>
      <c r="B402" s="3" t="s">
        <v>82</v>
      </c>
      <c r="C402" s="3" t="s">
        <v>4064</v>
      </c>
      <c r="D402" s="8" t="str">
        <f t="shared" si="1"/>
        <v>Abrir anúncio ↗</v>
      </c>
      <c r="E402" s="9" t="s">
        <v>4068</v>
      </c>
      <c r="F402" s="3" t="s">
        <v>29</v>
      </c>
      <c r="G402" s="9" t="s">
        <v>1054</v>
      </c>
      <c r="H402" s="9" t="s">
        <v>1056</v>
      </c>
      <c r="I402" s="3"/>
      <c r="J402" s="3"/>
      <c r="K402" s="9"/>
    </row>
    <row r="403" ht="15.75" customHeight="1">
      <c r="A403" s="10" t="s">
        <v>12</v>
      </c>
      <c r="B403" s="10" t="s">
        <v>82</v>
      </c>
      <c r="C403" s="10" t="s">
        <v>4073</v>
      </c>
      <c r="D403" s="11" t="str">
        <f t="shared" si="1"/>
        <v>Abrir anúncio ↗</v>
      </c>
      <c r="E403" s="12" t="s">
        <v>4076</v>
      </c>
      <c r="F403" s="10" t="s">
        <v>86</v>
      </c>
      <c r="G403" s="12" t="s">
        <v>1054</v>
      </c>
      <c r="H403" s="12" t="s">
        <v>1862</v>
      </c>
      <c r="I403" s="10"/>
      <c r="J403" s="10"/>
      <c r="K403" s="12"/>
    </row>
    <row r="404" ht="15.75" customHeight="1">
      <c r="A404" s="3" t="s">
        <v>12</v>
      </c>
      <c r="B404" s="3" t="s">
        <v>82</v>
      </c>
      <c r="C404" s="3" t="s">
        <v>4083</v>
      </c>
      <c r="D404" s="8" t="str">
        <f t="shared" si="1"/>
        <v>Abrir anúncio ↗</v>
      </c>
      <c r="E404" s="9" t="s">
        <v>4085</v>
      </c>
      <c r="F404" s="3" t="s">
        <v>86</v>
      </c>
      <c r="G404" s="9" t="s">
        <v>965</v>
      </c>
      <c r="H404" s="9" t="s">
        <v>2531</v>
      </c>
      <c r="I404" s="3"/>
      <c r="J404" s="3"/>
      <c r="K404" s="9"/>
    </row>
    <row r="405" ht="15.75" customHeight="1">
      <c r="A405" s="10" t="s">
        <v>12</v>
      </c>
      <c r="B405" s="10" t="s">
        <v>82</v>
      </c>
      <c r="C405" s="10" t="s">
        <v>4093</v>
      </c>
      <c r="D405" s="11" t="str">
        <f t="shared" si="1"/>
        <v>Abrir anúncio ↗</v>
      </c>
      <c r="E405" s="12" t="s">
        <v>4095</v>
      </c>
      <c r="F405" s="10" t="s">
        <v>86</v>
      </c>
      <c r="G405" s="12" t="s">
        <v>470</v>
      </c>
      <c r="H405" s="12" t="s">
        <v>472</v>
      </c>
      <c r="I405" s="10"/>
      <c r="J405" s="10"/>
      <c r="K405" s="12"/>
    </row>
    <row r="406" ht="15.75" customHeight="1">
      <c r="A406" s="3" t="s">
        <v>12</v>
      </c>
      <c r="B406" s="3" t="s">
        <v>82</v>
      </c>
      <c r="C406" s="3" t="s">
        <v>4102</v>
      </c>
      <c r="D406" s="8" t="str">
        <f t="shared" si="1"/>
        <v>Abrir anúncio ↗</v>
      </c>
      <c r="E406" s="9" t="s">
        <v>4106</v>
      </c>
      <c r="F406" s="3" t="s">
        <v>86</v>
      </c>
      <c r="G406" s="9" t="s">
        <v>470</v>
      </c>
      <c r="H406" s="9" t="s">
        <v>472</v>
      </c>
      <c r="I406" s="3"/>
      <c r="J406" s="3"/>
      <c r="K406" s="9"/>
    </row>
    <row r="407" ht="15.75" customHeight="1">
      <c r="A407" s="10" t="s">
        <v>12</v>
      </c>
      <c r="B407" s="10" t="s">
        <v>82</v>
      </c>
      <c r="C407" s="10" t="s">
        <v>4111</v>
      </c>
      <c r="D407" s="11" t="str">
        <f t="shared" si="1"/>
        <v>Abrir anúncio ↗</v>
      </c>
      <c r="E407" s="12" t="s">
        <v>4114</v>
      </c>
      <c r="F407" s="10" t="s">
        <v>86</v>
      </c>
      <c r="G407" s="12" t="s">
        <v>470</v>
      </c>
      <c r="H407" s="12" t="s">
        <v>771</v>
      </c>
      <c r="I407" s="10"/>
      <c r="J407" s="10"/>
      <c r="K407" s="12"/>
    </row>
    <row r="408" ht="15.75" customHeight="1">
      <c r="A408" s="3" t="s">
        <v>12</v>
      </c>
      <c r="B408" s="3" t="s">
        <v>82</v>
      </c>
      <c r="C408" s="3" t="s">
        <v>4122</v>
      </c>
      <c r="D408" s="8" t="str">
        <f t="shared" si="1"/>
        <v>Abrir anúncio ↗</v>
      </c>
      <c r="E408" s="9" t="s">
        <v>4123</v>
      </c>
      <c r="F408" s="3" t="s">
        <v>86</v>
      </c>
      <c r="G408" s="9" t="s">
        <v>470</v>
      </c>
      <c r="H408" s="9" t="s">
        <v>472</v>
      </c>
      <c r="I408" s="3"/>
      <c r="J408" s="3"/>
      <c r="K408" s="9"/>
    </row>
    <row r="409" ht="15.75" customHeight="1">
      <c r="A409" s="10" t="s">
        <v>12</v>
      </c>
      <c r="B409" s="10" t="s">
        <v>82</v>
      </c>
      <c r="C409" s="10" t="s">
        <v>4131</v>
      </c>
      <c r="D409" s="11" t="str">
        <f t="shared" si="1"/>
        <v>Abrir anúncio ↗</v>
      </c>
      <c r="E409" s="12" t="s">
        <v>4134</v>
      </c>
      <c r="F409" s="10" t="s">
        <v>86</v>
      </c>
      <c r="G409" s="12" t="s">
        <v>470</v>
      </c>
      <c r="H409" s="12" t="s">
        <v>472</v>
      </c>
      <c r="I409" s="10"/>
      <c r="J409" s="10"/>
      <c r="K409" s="12"/>
    </row>
    <row r="410" ht="15.75" customHeight="1">
      <c r="A410" s="3" t="s">
        <v>12</v>
      </c>
      <c r="B410" s="3" t="s">
        <v>82</v>
      </c>
      <c r="C410" s="3" t="s">
        <v>4139</v>
      </c>
      <c r="D410" s="8" t="str">
        <f t="shared" si="1"/>
        <v>Abrir anúncio ↗</v>
      </c>
      <c r="E410" s="9" t="s">
        <v>4142</v>
      </c>
      <c r="F410" s="3" t="s">
        <v>86</v>
      </c>
      <c r="G410" s="9" t="s">
        <v>470</v>
      </c>
      <c r="H410" s="9" t="s">
        <v>472</v>
      </c>
      <c r="I410" s="3"/>
      <c r="J410" s="3"/>
      <c r="K410" s="9"/>
    </row>
    <row r="411" ht="15.75" customHeight="1">
      <c r="A411" s="10" t="s">
        <v>12</v>
      </c>
      <c r="B411" s="10" t="s">
        <v>82</v>
      </c>
      <c r="C411" s="10" t="s">
        <v>4148</v>
      </c>
      <c r="D411" s="11" t="str">
        <f t="shared" si="1"/>
        <v>Abrir anúncio ↗</v>
      </c>
      <c r="E411" s="12" t="s">
        <v>4152</v>
      </c>
      <c r="F411" s="10" t="s">
        <v>86</v>
      </c>
      <c r="G411" s="12" t="s">
        <v>470</v>
      </c>
      <c r="H411" s="12" t="s">
        <v>472</v>
      </c>
      <c r="I411" s="10"/>
      <c r="J411" s="10"/>
      <c r="K411" s="12"/>
    </row>
    <row r="412" ht="15.75" customHeight="1">
      <c r="A412" s="3" t="s">
        <v>12</v>
      </c>
      <c r="B412" s="3" t="s">
        <v>82</v>
      </c>
      <c r="C412" s="3" t="s">
        <v>4160</v>
      </c>
      <c r="D412" s="8" t="str">
        <f t="shared" si="1"/>
        <v>Abrir anúncio ↗</v>
      </c>
      <c r="E412" s="9" t="s">
        <v>4162</v>
      </c>
      <c r="F412" s="3" t="s">
        <v>86</v>
      </c>
      <c r="G412" s="9" t="s">
        <v>470</v>
      </c>
      <c r="H412" s="9" t="s">
        <v>472</v>
      </c>
      <c r="I412" s="3"/>
      <c r="J412" s="3"/>
      <c r="K412" s="9"/>
    </row>
    <row r="413" ht="15.75" customHeight="1">
      <c r="A413" s="10" t="s">
        <v>12</v>
      </c>
      <c r="B413" s="10" t="s">
        <v>82</v>
      </c>
      <c r="C413" s="10" t="s">
        <v>4168</v>
      </c>
      <c r="D413" s="11" t="str">
        <f t="shared" si="1"/>
        <v>Abrir anúncio ↗</v>
      </c>
      <c r="E413" s="12" t="s">
        <v>4171</v>
      </c>
      <c r="F413" s="10" t="s">
        <v>86</v>
      </c>
      <c r="G413" s="12" t="s">
        <v>470</v>
      </c>
      <c r="H413" s="12" t="s">
        <v>584</v>
      </c>
      <c r="I413" s="10"/>
      <c r="J413" s="10"/>
      <c r="K413" s="12"/>
    </row>
    <row r="414" ht="15.75" customHeight="1">
      <c r="A414" s="3" t="s">
        <v>12</v>
      </c>
      <c r="B414" s="3" t="s">
        <v>82</v>
      </c>
      <c r="C414" s="3" t="s">
        <v>4177</v>
      </c>
      <c r="D414" s="8" t="str">
        <f t="shared" si="1"/>
        <v>Abrir anúncio ↗</v>
      </c>
      <c r="E414" s="9" t="s">
        <v>4179</v>
      </c>
      <c r="F414" s="3" t="s">
        <v>86</v>
      </c>
      <c r="G414" s="9" t="s">
        <v>470</v>
      </c>
      <c r="H414" s="9" t="s">
        <v>472</v>
      </c>
      <c r="I414" s="3"/>
      <c r="J414" s="3"/>
      <c r="K414" s="9"/>
    </row>
    <row r="415" ht="15.75" customHeight="1">
      <c r="A415" s="10" t="s">
        <v>12</v>
      </c>
      <c r="B415" s="10" t="s">
        <v>82</v>
      </c>
      <c r="C415" s="10" t="s">
        <v>4188</v>
      </c>
      <c r="D415" s="11" t="str">
        <f t="shared" si="1"/>
        <v>Abrir anúncio ↗</v>
      </c>
      <c r="E415" s="12" t="s">
        <v>4190</v>
      </c>
      <c r="F415" s="10" t="s">
        <v>86</v>
      </c>
      <c r="G415" s="12" t="s">
        <v>470</v>
      </c>
      <c r="H415" s="12" t="s">
        <v>472</v>
      </c>
      <c r="I415" s="10"/>
      <c r="J415" s="10"/>
      <c r="K415" s="12"/>
    </row>
    <row r="416" ht="15.75" customHeight="1">
      <c r="A416" s="3" t="s">
        <v>12</v>
      </c>
      <c r="B416" s="3" t="s">
        <v>82</v>
      </c>
      <c r="C416" s="3" t="s">
        <v>4199</v>
      </c>
      <c r="D416" s="8" t="str">
        <f t="shared" si="1"/>
        <v>Abrir anúncio ↗</v>
      </c>
      <c r="E416" s="9" t="s">
        <v>4201</v>
      </c>
      <c r="F416" s="3" t="s">
        <v>86</v>
      </c>
      <c r="G416" s="9" t="s">
        <v>470</v>
      </c>
      <c r="H416" s="9" t="s">
        <v>472</v>
      </c>
      <c r="I416" s="3"/>
      <c r="J416" s="3"/>
      <c r="K416" s="9"/>
    </row>
    <row r="417" ht="15.75" customHeight="1">
      <c r="A417" s="10" t="s">
        <v>12</v>
      </c>
      <c r="B417" s="10" t="s">
        <v>82</v>
      </c>
      <c r="C417" s="10" t="s">
        <v>4208</v>
      </c>
      <c r="D417" s="11" t="str">
        <f t="shared" si="1"/>
        <v>Abrir anúncio ↗</v>
      </c>
      <c r="E417" s="12" t="s">
        <v>4211</v>
      </c>
      <c r="F417" s="10" t="s">
        <v>86</v>
      </c>
      <c r="G417" s="12" t="s">
        <v>470</v>
      </c>
      <c r="H417" s="12" t="s">
        <v>472</v>
      </c>
      <c r="I417" s="10"/>
      <c r="J417" s="10"/>
      <c r="K417" s="12"/>
    </row>
    <row r="418" ht="15.75" customHeight="1">
      <c r="A418" s="3" t="s">
        <v>12</v>
      </c>
      <c r="B418" s="3" t="s">
        <v>82</v>
      </c>
      <c r="C418" s="3" t="s">
        <v>4217</v>
      </c>
      <c r="D418" s="8" t="str">
        <f t="shared" si="1"/>
        <v>Abrir anúncio ↗</v>
      </c>
      <c r="E418" s="9" t="s">
        <v>4220</v>
      </c>
      <c r="F418" s="3" t="s">
        <v>86</v>
      </c>
      <c r="G418" s="9" t="s">
        <v>470</v>
      </c>
      <c r="H418" s="9" t="s">
        <v>771</v>
      </c>
      <c r="I418" s="3"/>
      <c r="J418" s="3"/>
      <c r="K418" s="9"/>
    </row>
    <row r="419" ht="15.75" customHeight="1">
      <c r="A419" s="10" t="s">
        <v>12</v>
      </c>
      <c r="B419" s="10" t="s">
        <v>82</v>
      </c>
      <c r="C419" s="10" t="s">
        <v>4226</v>
      </c>
      <c r="D419" s="11" t="str">
        <f t="shared" si="1"/>
        <v>Abrir anúncio ↗</v>
      </c>
      <c r="E419" s="12" t="s">
        <v>4228</v>
      </c>
      <c r="F419" s="10" t="s">
        <v>29</v>
      </c>
      <c r="G419" s="12" t="s">
        <v>470</v>
      </c>
      <c r="H419" s="12" t="s">
        <v>472</v>
      </c>
      <c r="I419" s="10"/>
      <c r="J419" s="10"/>
      <c r="K419" s="12"/>
    </row>
    <row r="420" ht="15.75" customHeight="1">
      <c r="A420" s="3" t="s">
        <v>12</v>
      </c>
      <c r="B420" s="3" t="s">
        <v>82</v>
      </c>
      <c r="C420" s="3" t="s">
        <v>4237</v>
      </c>
      <c r="D420" s="8" t="str">
        <f t="shared" si="1"/>
        <v>Abrir anúncio ↗</v>
      </c>
      <c r="E420" s="9" t="s">
        <v>4240</v>
      </c>
      <c r="F420" s="3" t="s">
        <v>86</v>
      </c>
      <c r="G420" s="9" t="s">
        <v>965</v>
      </c>
      <c r="H420" s="9" t="s">
        <v>2293</v>
      </c>
      <c r="I420" s="3"/>
      <c r="J420" s="3"/>
      <c r="K420" s="9"/>
    </row>
    <row r="421" ht="15.75" customHeight="1">
      <c r="A421" s="10" t="s">
        <v>12</v>
      </c>
      <c r="B421" s="10" t="s">
        <v>82</v>
      </c>
      <c r="C421" s="10" t="s">
        <v>4248</v>
      </c>
      <c r="D421" s="11" t="str">
        <f t="shared" si="1"/>
        <v>Abrir anúncio ↗</v>
      </c>
      <c r="E421" s="12" t="s">
        <v>4251</v>
      </c>
      <c r="F421" s="10" t="s">
        <v>86</v>
      </c>
      <c r="G421" s="12" t="s">
        <v>965</v>
      </c>
      <c r="H421" s="12" t="s">
        <v>2008</v>
      </c>
      <c r="I421" s="10"/>
      <c r="J421" s="10"/>
      <c r="K421" s="12"/>
    </row>
    <row r="422" ht="15.75" customHeight="1">
      <c r="A422" s="3" t="s">
        <v>12</v>
      </c>
      <c r="B422" s="3" t="s">
        <v>82</v>
      </c>
      <c r="C422" s="3" t="s">
        <v>4258</v>
      </c>
      <c r="D422" s="8" t="str">
        <f t="shared" si="1"/>
        <v>Abrir anúncio ↗</v>
      </c>
      <c r="E422" s="9" t="s">
        <v>4260</v>
      </c>
      <c r="F422" s="3" t="s">
        <v>86</v>
      </c>
      <c r="G422" s="9" t="s">
        <v>965</v>
      </c>
      <c r="H422" s="9" t="s">
        <v>2293</v>
      </c>
      <c r="I422" s="3"/>
      <c r="J422" s="3"/>
      <c r="K422" s="9"/>
    </row>
    <row r="423" ht="15.75" customHeight="1">
      <c r="A423" s="10" t="s">
        <v>12</v>
      </c>
      <c r="B423" s="10" t="s">
        <v>82</v>
      </c>
      <c r="C423" s="10" t="s">
        <v>4266</v>
      </c>
      <c r="D423" s="11" t="str">
        <f t="shared" si="1"/>
        <v>Abrir anúncio ↗</v>
      </c>
      <c r="E423" s="12" t="s">
        <v>4269</v>
      </c>
      <c r="F423" s="10" t="s">
        <v>29</v>
      </c>
      <c r="G423" s="12" t="s">
        <v>965</v>
      </c>
      <c r="H423" s="12" t="s">
        <v>1003</v>
      </c>
      <c r="I423" s="10"/>
      <c r="J423" s="10"/>
      <c r="K423" s="12"/>
    </row>
    <row r="424" ht="15.75" customHeight="1">
      <c r="A424" s="3" t="s">
        <v>12</v>
      </c>
      <c r="B424" s="3" t="s">
        <v>82</v>
      </c>
      <c r="C424" s="3" t="s">
        <v>4276</v>
      </c>
      <c r="D424" s="8" t="str">
        <f t="shared" si="1"/>
        <v>Abrir anúncio ↗</v>
      </c>
      <c r="E424" s="9" t="s">
        <v>4278</v>
      </c>
      <c r="F424" s="3" t="s">
        <v>86</v>
      </c>
      <c r="G424" s="9" t="s">
        <v>965</v>
      </c>
      <c r="H424" s="9" t="s">
        <v>2229</v>
      </c>
      <c r="I424" s="3"/>
      <c r="J424" s="3"/>
      <c r="K424" s="9"/>
    </row>
    <row r="425" ht="15.75" customHeight="1">
      <c r="A425" s="10" t="s">
        <v>12</v>
      </c>
      <c r="B425" s="10" t="s">
        <v>82</v>
      </c>
      <c r="C425" s="10" t="s">
        <v>4285</v>
      </c>
      <c r="D425" s="11" t="str">
        <f t="shared" si="1"/>
        <v>Abrir anúncio ↗</v>
      </c>
      <c r="E425" s="12" t="s">
        <v>4288</v>
      </c>
      <c r="F425" s="10" t="s">
        <v>29</v>
      </c>
      <c r="G425" s="12" t="s">
        <v>1054</v>
      </c>
      <c r="H425" s="12" t="s">
        <v>1804</v>
      </c>
      <c r="I425" s="10"/>
      <c r="J425" s="10"/>
      <c r="K425" s="12"/>
    </row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425"/>
  <conditionalFormatting sqref="A2:A425">
    <cfRule type="expression" dxfId="0" priority="1">
      <formula>$A2="Não verificado"</formula>
    </cfRule>
  </conditionalFormatting>
  <conditionalFormatting sqref="A2:A425">
    <cfRule type="expression" dxfId="1" priority="2">
      <formula>$A2="Em andamento"</formula>
    </cfRule>
  </conditionalFormatting>
  <conditionalFormatting sqref="A2:A425">
    <cfRule type="expression" dxfId="2" priority="3">
      <formula>$A2="Corrigido"</formula>
    </cfRule>
  </conditionalFormatting>
  <conditionalFormatting sqref="A2:A425">
    <cfRule type="expression" dxfId="3" priority="4">
      <formula>$A2="Não se aplica"</formula>
    </cfRule>
  </conditionalFormatting>
  <conditionalFormatting sqref="B2:B425">
    <cfRule type="expression" dxfId="4" priority="5">
      <formula>$B2="Crítico"</formula>
    </cfRule>
  </conditionalFormatting>
  <conditionalFormatting sqref="B2:B425">
    <cfRule type="expression" dxfId="5" priority="6">
      <formula>$B2="Alto"</formula>
    </cfRule>
  </conditionalFormatting>
  <conditionalFormatting sqref="B2:B425">
    <cfRule type="expression" dxfId="6" priority="7">
      <formula>$B2="Médio"</formula>
    </cfRule>
  </conditionalFormatting>
  <conditionalFormatting sqref="B2:B425">
    <cfRule type="expression" dxfId="7" priority="8">
      <formula>$B2="Baixo"</formula>
    </cfRule>
  </conditionalFormatting>
  <conditionalFormatting sqref="E2:K425">
    <cfRule type="expression" dxfId="8" priority="9">
      <formula>$A2="Corrigido"</formula>
    </cfRule>
  </conditionalFormatting>
  <dataValidations>
    <dataValidation type="list" allowBlank="1" sqref="A2:A425">
      <formula1>"Não verificado,Em andamento,Corrigido,Não se aplica"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4" width="14.0"/>
    <col customWidth="1" min="5" max="5" width="45.0"/>
    <col customWidth="1" min="6" max="6" width="13.0"/>
    <col customWidth="1" min="7" max="7" width="45.0"/>
    <col customWidth="1" min="8" max="8" width="55.0"/>
    <col customWidth="1" min="9" max="9" width="16.0"/>
    <col customWidth="1" min="10" max="10" width="12.0"/>
    <col customWidth="1" min="11" max="11" width="30.0"/>
    <col customWidth="1" min="12" max="26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3" t="s">
        <v>12</v>
      </c>
      <c r="B2" s="3" t="s">
        <v>14</v>
      </c>
      <c r="C2" s="3" t="s">
        <v>713</v>
      </c>
      <c r="D2" s="8" t="str">
        <f t="shared" ref="D2:D501" si="1">HYPERLINK("https://www.mercadolivre.com.br/anuncios?page=1&amp;sort=DEFAULT&amp;search="&amp;C2,"Abrir anúncio ↗")</f>
        <v>Abrir anúncio ↗</v>
      </c>
      <c r="E2" s="9" t="s">
        <v>721</v>
      </c>
      <c r="F2" s="3" t="s">
        <v>86</v>
      </c>
      <c r="G2" s="9" t="s">
        <v>723</v>
      </c>
      <c r="H2" s="9" t="s">
        <v>724</v>
      </c>
      <c r="I2" s="3"/>
      <c r="J2" s="3"/>
      <c r="K2" s="9"/>
    </row>
    <row r="3">
      <c r="A3" s="10" t="s">
        <v>12</v>
      </c>
      <c r="B3" s="10" t="s">
        <v>82</v>
      </c>
      <c r="C3" s="10" t="s">
        <v>730</v>
      </c>
      <c r="D3" s="11" t="str">
        <f t="shared" si="1"/>
        <v>Abrir anúncio ↗</v>
      </c>
      <c r="E3" s="12" t="s">
        <v>732</v>
      </c>
      <c r="F3" s="10" t="s">
        <v>86</v>
      </c>
      <c r="G3" s="12" t="s">
        <v>177</v>
      </c>
      <c r="H3" s="12" t="s">
        <v>178</v>
      </c>
      <c r="I3" s="10"/>
      <c r="J3" s="10"/>
      <c r="K3" s="12"/>
    </row>
    <row r="4">
      <c r="A4" s="3" t="s">
        <v>12</v>
      </c>
      <c r="B4" s="3" t="s">
        <v>82</v>
      </c>
      <c r="C4" s="3" t="s">
        <v>737</v>
      </c>
      <c r="D4" s="8" t="str">
        <f t="shared" si="1"/>
        <v>Abrir anúncio ↗</v>
      </c>
      <c r="E4" s="9" t="s">
        <v>742</v>
      </c>
      <c r="F4" s="3" t="s">
        <v>86</v>
      </c>
      <c r="G4" s="9" t="s">
        <v>177</v>
      </c>
      <c r="H4" s="9" t="s">
        <v>178</v>
      </c>
      <c r="I4" s="3"/>
      <c r="J4" s="3"/>
      <c r="K4" s="9"/>
    </row>
    <row r="5">
      <c r="A5" s="10" t="s">
        <v>12</v>
      </c>
      <c r="B5" s="10" t="s">
        <v>82</v>
      </c>
      <c r="C5" s="10" t="s">
        <v>751</v>
      </c>
      <c r="D5" s="11" t="str">
        <f t="shared" si="1"/>
        <v>Abrir anúncio ↗</v>
      </c>
      <c r="E5" s="12" t="s">
        <v>753</v>
      </c>
      <c r="F5" s="10" t="s">
        <v>86</v>
      </c>
      <c r="G5" s="12" t="s">
        <v>212</v>
      </c>
      <c r="H5" s="12" t="s">
        <v>213</v>
      </c>
      <c r="I5" s="10"/>
      <c r="J5" s="10"/>
      <c r="K5" s="12"/>
    </row>
    <row r="6">
      <c r="A6" s="3" t="s">
        <v>12</v>
      </c>
      <c r="B6" s="3" t="s">
        <v>82</v>
      </c>
      <c r="C6" s="3" t="s">
        <v>760</v>
      </c>
      <c r="D6" s="8" t="str">
        <f t="shared" si="1"/>
        <v>Abrir anúncio ↗</v>
      </c>
      <c r="E6" s="9" t="s">
        <v>762</v>
      </c>
      <c r="F6" s="3" t="s">
        <v>86</v>
      </c>
      <c r="G6" s="9" t="s">
        <v>177</v>
      </c>
      <c r="H6" s="9" t="s">
        <v>178</v>
      </c>
      <c r="I6" s="3"/>
      <c r="J6" s="3"/>
      <c r="K6" s="9"/>
    </row>
    <row r="7">
      <c r="A7" s="10" t="s">
        <v>12</v>
      </c>
      <c r="B7" s="10" t="s">
        <v>82</v>
      </c>
      <c r="C7" s="10" t="s">
        <v>770</v>
      </c>
      <c r="D7" s="11" t="str">
        <f t="shared" si="1"/>
        <v>Abrir anúncio ↗</v>
      </c>
      <c r="E7" s="12" t="s">
        <v>772</v>
      </c>
      <c r="F7" s="10" t="s">
        <v>86</v>
      </c>
      <c r="G7" s="12" t="s">
        <v>177</v>
      </c>
      <c r="H7" s="12" t="s">
        <v>178</v>
      </c>
      <c r="I7" s="10"/>
      <c r="J7" s="10"/>
      <c r="K7" s="12"/>
    </row>
    <row r="8">
      <c r="A8" s="3" t="s">
        <v>12</v>
      </c>
      <c r="B8" s="3" t="s">
        <v>82</v>
      </c>
      <c r="C8" s="3" t="s">
        <v>778</v>
      </c>
      <c r="D8" s="8" t="str">
        <f t="shared" si="1"/>
        <v>Abrir anúncio ↗</v>
      </c>
      <c r="E8" s="9" t="s">
        <v>781</v>
      </c>
      <c r="F8" s="3" t="s">
        <v>86</v>
      </c>
      <c r="G8" s="9" t="s">
        <v>177</v>
      </c>
      <c r="H8" s="9" t="s">
        <v>178</v>
      </c>
      <c r="I8" s="3"/>
      <c r="J8" s="3"/>
      <c r="K8" s="9"/>
    </row>
    <row r="9">
      <c r="A9" s="10" t="s">
        <v>12</v>
      </c>
      <c r="B9" s="10" t="s">
        <v>82</v>
      </c>
      <c r="C9" s="10" t="s">
        <v>786</v>
      </c>
      <c r="D9" s="11" t="str">
        <f t="shared" si="1"/>
        <v>Abrir anúncio ↗</v>
      </c>
      <c r="E9" s="12" t="s">
        <v>789</v>
      </c>
      <c r="F9" s="10" t="s">
        <v>29</v>
      </c>
      <c r="G9" s="12" t="s">
        <v>177</v>
      </c>
      <c r="H9" s="12" t="s">
        <v>178</v>
      </c>
      <c r="I9" s="10"/>
      <c r="J9" s="10"/>
      <c r="K9" s="12"/>
    </row>
    <row r="10">
      <c r="A10" s="3" t="s">
        <v>12</v>
      </c>
      <c r="B10" s="3" t="s">
        <v>82</v>
      </c>
      <c r="C10" s="3" t="s">
        <v>798</v>
      </c>
      <c r="D10" s="8" t="str">
        <f t="shared" si="1"/>
        <v>Abrir anúncio ↗</v>
      </c>
      <c r="E10" s="9" t="s">
        <v>789</v>
      </c>
      <c r="F10" s="3" t="s">
        <v>86</v>
      </c>
      <c r="G10" s="9" t="s">
        <v>177</v>
      </c>
      <c r="H10" s="9" t="s">
        <v>178</v>
      </c>
      <c r="I10" s="3"/>
      <c r="J10" s="3"/>
      <c r="K10" s="9"/>
    </row>
    <row r="11">
      <c r="A11" s="10" t="s">
        <v>12</v>
      </c>
      <c r="B11" s="10" t="s">
        <v>82</v>
      </c>
      <c r="C11" s="10" t="s">
        <v>805</v>
      </c>
      <c r="D11" s="11" t="str">
        <f t="shared" si="1"/>
        <v>Abrir anúncio ↗</v>
      </c>
      <c r="E11" s="12" t="s">
        <v>807</v>
      </c>
      <c r="F11" s="10" t="s">
        <v>29</v>
      </c>
      <c r="G11" s="12" t="s">
        <v>470</v>
      </c>
      <c r="H11" s="12" t="s">
        <v>472</v>
      </c>
      <c r="I11" s="10"/>
      <c r="J11" s="10"/>
      <c r="K11" s="12"/>
    </row>
    <row r="12">
      <c r="A12" s="3" t="s">
        <v>12</v>
      </c>
      <c r="B12" s="3" t="s">
        <v>82</v>
      </c>
      <c r="C12" s="3" t="s">
        <v>814</v>
      </c>
      <c r="D12" s="8" t="str">
        <f t="shared" si="1"/>
        <v>Abrir anúncio ↗</v>
      </c>
      <c r="E12" s="9" t="s">
        <v>816</v>
      </c>
      <c r="F12" s="3" t="s">
        <v>86</v>
      </c>
      <c r="G12" s="9" t="s">
        <v>177</v>
      </c>
      <c r="H12" s="9" t="s">
        <v>178</v>
      </c>
      <c r="I12" s="3"/>
      <c r="J12" s="3"/>
      <c r="K12" s="9"/>
    </row>
    <row r="13">
      <c r="A13" s="10" t="s">
        <v>12</v>
      </c>
      <c r="B13" s="10" t="s">
        <v>82</v>
      </c>
      <c r="C13" s="10" t="s">
        <v>822</v>
      </c>
      <c r="D13" s="11" t="str">
        <f t="shared" si="1"/>
        <v>Abrir anúncio ↗</v>
      </c>
      <c r="E13" s="12" t="s">
        <v>824</v>
      </c>
      <c r="F13" s="10" t="s">
        <v>86</v>
      </c>
      <c r="G13" s="12" t="s">
        <v>177</v>
      </c>
      <c r="H13" s="12" t="s">
        <v>178</v>
      </c>
      <c r="I13" s="10"/>
      <c r="J13" s="10"/>
      <c r="K13" s="12"/>
    </row>
    <row r="14">
      <c r="A14" s="3" t="s">
        <v>12</v>
      </c>
      <c r="B14" s="3" t="s">
        <v>82</v>
      </c>
      <c r="C14" s="3" t="s">
        <v>832</v>
      </c>
      <c r="D14" s="8" t="str">
        <f t="shared" si="1"/>
        <v>Abrir anúncio ↗</v>
      </c>
      <c r="E14" s="9" t="s">
        <v>834</v>
      </c>
      <c r="F14" s="3" t="s">
        <v>86</v>
      </c>
      <c r="G14" s="9" t="s">
        <v>470</v>
      </c>
      <c r="H14" s="9" t="s">
        <v>835</v>
      </c>
      <c r="I14" s="3"/>
      <c r="J14" s="3"/>
      <c r="K14" s="9"/>
    </row>
    <row r="15">
      <c r="A15" s="10" t="s">
        <v>12</v>
      </c>
      <c r="B15" s="10" t="s">
        <v>82</v>
      </c>
      <c r="C15" s="10" t="s">
        <v>843</v>
      </c>
      <c r="D15" s="11" t="str">
        <f t="shared" si="1"/>
        <v>Abrir anúncio ↗</v>
      </c>
      <c r="E15" s="12" t="s">
        <v>845</v>
      </c>
      <c r="F15" s="10" t="s">
        <v>86</v>
      </c>
      <c r="G15" s="12" t="s">
        <v>470</v>
      </c>
      <c r="H15" s="12" t="s">
        <v>835</v>
      </c>
      <c r="I15" s="10"/>
      <c r="J15" s="10"/>
      <c r="K15" s="12"/>
    </row>
    <row r="16">
      <c r="A16" s="3" t="s">
        <v>12</v>
      </c>
      <c r="B16" s="3" t="s">
        <v>82</v>
      </c>
      <c r="C16" s="3" t="s">
        <v>851</v>
      </c>
      <c r="D16" s="8" t="str">
        <f t="shared" si="1"/>
        <v>Abrir anúncio ↗</v>
      </c>
      <c r="E16" s="9" t="s">
        <v>854</v>
      </c>
      <c r="F16" s="3" t="s">
        <v>86</v>
      </c>
      <c r="G16" s="9" t="s">
        <v>470</v>
      </c>
      <c r="H16" s="9" t="s">
        <v>835</v>
      </c>
      <c r="I16" s="3"/>
      <c r="J16" s="3"/>
      <c r="K16" s="9"/>
    </row>
    <row r="17">
      <c r="A17" s="10" t="s">
        <v>12</v>
      </c>
      <c r="B17" s="10" t="s">
        <v>82</v>
      </c>
      <c r="C17" s="10" t="s">
        <v>860</v>
      </c>
      <c r="D17" s="11" t="str">
        <f t="shared" si="1"/>
        <v>Abrir anúncio ↗</v>
      </c>
      <c r="E17" s="12" t="s">
        <v>862</v>
      </c>
      <c r="F17" s="10" t="s">
        <v>86</v>
      </c>
      <c r="G17" s="12" t="s">
        <v>470</v>
      </c>
      <c r="H17" s="12" t="s">
        <v>835</v>
      </c>
      <c r="I17" s="10"/>
      <c r="J17" s="10"/>
      <c r="K17" s="12"/>
    </row>
    <row r="18">
      <c r="A18" s="3" t="s">
        <v>12</v>
      </c>
      <c r="B18" s="3" t="s">
        <v>82</v>
      </c>
      <c r="C18" s="3" t="s">
        <v>869</v>
      </c>
      <c r="D18" s="8" t="str">
        <f t="shared" si="1"/>
        <v>Abrir anúncio ↗</v>
      </c>
      <c r="E18" s="9" t="s">
        <v>872</v>
      </c>
      <c r="F18" s="3" t="s">
        <v>86</v>
      </c>
      <c r="G18" s="9" t="s">
        <v>470</v>
      </c>
      <c r="H18" s="9" t="s">
        <v>835</v>
      </c>
      <c r="I18" s="3"/>
      <c r="J18" s="3"/>
      <c r="K18" s="9"/>
    </row>
    <row r="19">
      <c r="A19" s="10" t="s">
        <v>12</v>
      </c>
      <c r="B19" s="10" t="s">
        <v>82</v>
      </c>
      <c r="C19" s="10" t="s">
        <v>880</v>
      </c>
      <c r="D19" s="11" t="str">
        <f t="shared" si="1"/>
        <v>Abrir anúncio ↗</v>
      </c>
      <c r="E19" s="12" t="s">
        <v>882</v>
      </c>
      <c r="F19" s="10" t="s">
        <v>86</v>
      </c>
      <c r="G19" s="12" t="s">
        <v>470</v>
      </c>
      <c r="H19" s="12" t="s">
        <v>835</v>
      </c>
      <c r="I19" s="10"/>
      <c r="J19" s="10"/>
      <c r="K19" s="12"/>
    </row>
    <row r="20">
      <c r="A20" s="3" t="s">
        <v>12</v>
      </c>
      <c r="B20" s="3" t="s">
        <v>82</v>
      </c>
      <c r="C20" s="3" t="s">
        <v>890</v>
      </c>
      <c r="D20" s="8" t="str">
        <f t="shared" si="1"/>
        <v>Abrir anúncio ↗</v>
      </c>
      <c r="E20" s="9" t="s">
        <v>893</v>
      </c>
      <c r="F20" s="3" t="s">
        <v>86</v>
      </c>
      <c r="G20" s="9" t="s">
        <v>470</v>
      </c>
      <c r="H20" s="9" t="s">
        <v>835</v>
      </c>
      <c r="I20" s="3"/>
      <c r="J20" s="3"/>
      <c r="K20" s="9"/>
    </row>
    <row r="21" ht="15.75" customHeight="1">
      <c r="A21" s="10" t="s">
        <v>12</v>
      </c>
      <c r="B21" s="10" t="s">
        <v>82</v>
      </c>
      <c r="C21" s="10" t="s">
        <v>901</v>
      </c>
      <c r="D21" s="11" t="str">
        <f t="shared" si="1"/>
        <v>Abrir anúncio ↗</v>
      </c>
      <c r="E21" s="12" t="s">
        <v>903</v>
      </c>
      <c r="F21" s="10" t="s">
        <v>86</v>
      </c>
      <c r="G21" s="12" t="s">
        <v>470</v>
      </c>
      <c r="H21" s="12" t="s">
        <v>835</v>
      </c>
      <c r="I21" s="10"/>
      <c r="J21" s="10"/>
      <c r="K21" s="12"/>
    </row>
    <row r="22" ht="15.75" customHeight="1">
      <c r="A22" s="3" t="s">
        <v>12</v>
      </c>
      <c r="B22" s="3" t="s">
        <v>82</v>
      </c>
      <c r="C22" s="3" t="s">
        <v>917</v>
      </c>
      <c r="D22" s="8" t="str">
        <f t="shared" si="1"/>
        <v>Abrir anúncio ↗</v>
      </c>
      <c r="E22" s="9" t="s">
        <v>920</v>
      </c>
      <c r="F22" s="3" t="s">
        <v>29</v>
      </c>
      <c r="G22" s="9" t="s">
        <v>470</v>
      </c>
      <c r="H22" s="9" t="s">
        <v>835</v>
      </c>
      <c r="I22" s="3"/>
      <c r="J22" s="3"/>
      <c r="K22" s="9"/>
    </row>
    <row r="23" ht="15.75" customHeight="1">
      <c r="A23" s="10" t="s">
        <v>12</v>
      </c>
      <c r="B23" s="10" t="s">
        <v>82</v>
      </c>
      <c r="C23" s="10" t="s">
        <v>928</v>
      </c>
      <c r="D23" s="11" t="str">
        <f t="shared" si="1"/>
        <v>Abrir anúncio ↗</v>
      </c>
      <c r="E23" s="12" t="s">
        <v>930</v>
      </c>
      <c r="F23" s="10" t="s">
        <v>86</v>
      </c>
      <c r="G23" s="12" t="s">
        <v>470</v>
      </c>
      <c r="H23" s="12" t="s">
        <v>835</v>
      </c>
      <c r="I23" s="10"/>
      <c r="J23" s="10"/>
      <c r="K23" s="12"/>
    </row>
    <row r="24" ht="15.75" customHeight="1">
      <c r="A24" s="3" t="s">
        <v>12</v>
      </c>
      <c r="B24" s="3" t="s">
        <v>82</v>
      </c>
      <c r="C24" s="3" t="s">
        <v>938</v>
      </c>
      <c r="D24" s="8" t="str">
        <f t="shared" si="1"/>
        <v>Abrir anúncio ↗</v>
      </c>
      <c r="E24" s="9" t="s">
        <v>941</v>
      </c>
      <c r="F24" s="3" t="s">
        <v>86</v>
      </c>
      <c r="G24" s="9" t="s">
        <v>470</v>
      </c>
      <c r="H24" s="9" t="s">
        <v>835</v>
      </c>
      <c r="I24" s="3"/>
      <c r="J24" s="3"/>
      <c r="K24" s="9"/>
    </row>
    <row r="25" ht="15.75" customHeight="1">
      <c r="A25" s="10" t="s">
        <v>12</v>
      </c>
      <c r="B25" s="10" t="s">
        <v>82</v>
      </c>
      <c r="C25" s="10" t="s">
        <v>945</v>
      </c>
      <c r="D25" s="11" t="str">
        <f t="shared" si="1"/>
        <v>Abrir anúncio ↗</v>
      </c>
      <c r="E25" s="12" t="s">
        <v>949</v>
      </c>
      <c r="F25" s="10" t="s">
        <v>86</v>
      </c>
      <c r="G25" s="12" t="s">
        <v>470</v>
      </c>
      <c r="H25" s="12" t="s">
        <v>835</v>
      </c>
      <c r="I25" s="10"/>
      <c r="J25" s="10"/>
      <c r="K25" s="12"/>
    </row>
    <row r="26" ht="15.75" customHeight="1">
      <c r="A26" s="3" t="s">
        <v>12</v>
      </c>
      <c r="B26" s="3" t="s">
        <v>82</v>
      </c>
      <c r="C26" s="3" t="s">
        <v>957</v>
      </c>
      <c r="D26" s="8" t="str">
        <f t="shared" si="1"/>
        <v>Abrir anúncio ↗</v>
      </c>
      <c r="E26" s="9" t="s">
        <v>960</v>
      </c>
      <c r="F26" s="3" t="s">
        <v>29</v>
      </c>
      <c r="G26" s="9" t="s">
        <v>470</v>
      </c>
      <c r="H26" s="9" t="s">
        <v>835</v>
      </c>
      <c r="I26" s="3"/>
      <c r="J26" s="3"/>
      <c r="K26" s="9"/>
    </row>
    <row r="27" ht="15.75" customHeight="1">
      <c r="A27" s="10" t="s">
        <v>12</v>
      </c>
      <c r="B27" s="10" t="s">
        <v>82</v>
      </c>
      <c r="C27" s="10" t="s">
        <v>970</v>
      </c>
      <c r="D27" s="11" t="str">
        <f t="shared" si="1"/>
        <v>Abrir anúncio ↗</v>
      </c>
      <c r="E27" s="12" t="s">
        <v>972</v>
      </c>
      <c r="F27" s="10" t="s">
        <v>86</v>
      </c>
      <c r="G27" s="12" t="s">
        <v>470</v>
      </c>
      <c r="H27" s="12" t="s">
        <v>835</v>
      </c>
      <c r="I27" s="10"/>
      <c r="J27" s="10"/>
      <c r="K27" s="12"/>
    </row>
    <row r="28" ht="15.75" customHeight="1">
      <c r="A28" s="3" t="s">
        <v>12</v>
      </c>
      <c r="B28" s="3" t="s">
        <v>82</v>
      </c>
      <c r="C28" s="3" t="s">
        <v>982</v>
      </c>
      <c r="D28" s="8" t="str">
        <f t="shared" si="1"/>
        <v>Abrir anúncio ↗</v>
      </c>
      <c r="E28" s="9" t="s">
        <v>984</v>
      </c>
      <c r="F28" s="3" t="s">
        <v>86</v>
      </c>
      <c r="G28" s="9" t="s">
        <v>470</v>
      </c>
      <c r="H28" s="9" t="s">
        <v>835</v>
      </c>
      <c r="I28" s="3"/>
      <c r="J28" s="3"/>
      <c r="K28" s="9"/>
    </row>
    <row r="29" ht="15.75" customHeight="1">
      <c r="A29" s="10" t="s">
        <v>12</v>
      </c>
      <c r="B29" s="10" t="s">
        <v>82</v>
      </c>
      <c r="C29" s="10" t="s">
        <v>996</v>
      </c>
      <c r="D29" s="11" t="str">
        <f t="shared" si="1"/>
        <v>Abrir anúncio ↗</v>
      </c>
      <c r="E29" s="12" t="s">
        <v>1000</v>
      </c>
      <c r="F29" s="10" t="s">
        <v>86</v>
      </c>
      <c r="G29" s="12" t="s">
        <v>991</v>
      </c>
      <c r="H29" s="12" t="s">
        <v>993</v>
      </c>
      <c r="I29" s="10"/>
      <c r="J29" s="10"/>
      <c r="K29" s="12"/>
    </row>
    <row r="30" ht="15.75" customHeight="1">
      <c r="A30" s="3" t="s">
        <v>12</v>
      </c>
      <c r="B30" s="3" t="s">
        <v>82</v>
      </c>
      <c r="C30" s="3" t="s">
        <v>1011</v>
      </c>
      <c r="D30" s="8" t="str">
        <f t="shared" si="1"/>
        <v>Abrir anúncio ↗</v>
      </c>
      <c r="E30" s="9" t="s">
        <v>1014</v>
      </c>
      <c r="F30" s="3" t="s">
        <v>86</v>
      </c>
      <c r="G30" s="9" t="s">
        <v>470</v>
      </c>
      <c r="H30" s="9" t="s">
        <v>835</v>
      </c>
      <c r="I30" s="3"/>
      <c r="J30" s="3"/>
      <c r="K30" s="9"/>
    </row>
    <row r="31" ht="15.75" customHeight="1">
      <c r="A31" s="10" t="s">
        <v>12</v>
      </c>
      <c r="B31" s="10" t="s">
        <v>82</v>
      </c>
      <c r="C31" s="10" t="s">
        <v>1020</v>
      </c>
      <c r="D31" s="11" t="str">
        <f t="shared" si="1"/>
        <v>Abrir anúncio ↗</v>
      </c>
      <c r="E31" s="12" t="s">
        <v>1023</v>
      </c>
      <c r="F31" s="10" t="s">
        <v>86</v>
      </c>
      <c r="G31" s="12" t="s">
        <v>470</v>
      </c>
      <c r="H31" s="12" t="s">
        <v>835</v>
      </c>
      <c r="I31" s="10"/>
      <c r="J31" s="10"/>
      <c r="K31" s="12"/>
    </row>
    <row r="32" ht="15.75" customHeight="1">
      <c r="A32" s="3" t="s">
        <v>12</v>
      </c>
      <c r="B32" s="3" t="s">
        <v>82</v>
      </c>
      <c r="C32" s="3" t="s">
        <v>1030</v>
      </c>
      <c r="D32" s="8" t="str">
        <f t="shared" si="1"/>
        <v>Abrir anúncio ↗</v>
      </c>
      <c r="E32" s="9" t="s">
        <v>1033</v>
      </c>
      <c r="F32" s="3" t="s">
        <v>86</v>
      </c>
      <c r="G32" s="9" t="s">
        <v>470</v>
      </c>
      <c r="H32" s="9" t="s">
        <v>835</v>
      </c>
      <c r="I32" s="3"/>
      <c r="J32" s="3"/>
      <c r="K32" s="9"/>
    </row>
    <row r="33" ht="15.75" customHeight="1">
      <c r="A33" s="10" t="s">
        <v>12</v>
      </c>
      <c r="B33" s="10" t="s">
        <v>82</v>
      </c>
      <c r="C33" s="10" t="s">
        <v>1037</v>
      </c>
      <c r="D33" s="11" t="str">
        <f t="shared" si="1"/>
        <v>Abrir anúncio ↗</v>
      </c>
      <c r="E33" s="12" t="s">
        <v>1040</v>
      </c>
      <c r="F33" s="10" t="s">
        <v>86</v>
      </c>
      <c r="G33" s="12" t="s">
        <v>470</v>
      </c>
      <c r="H33" s="12" t="s">
        <v>835</v>
      </c>
      <c r="I33" s="10"/>
      <c r="J33" s="10"/>
      <c r="K33" s="12"/>
    </row>
    <row r="34" ht="15.75" customHeight="1">
      <c r="A34" s="3" t="s">
        <v>12</v>
      </c>
      <c r="B34" s="3" t="s">
        <v>82</v>
      </c>
      <c r="C34" s="3" t="s">
        <v>1045</v>
      </c>
      <c r="D34" s="8" t="str">
        <f t="shared" si="1"/>
        <v>Abrir anúncio ↗</v>
      </c>
      <c r="E34" s="9" t="s">
        <v>1048</v>
      </c>
      <c r="F34" s="3" t="s">
        <v>86</v>
      </c>
      <c r="G34" s="9" t="s">
        <v>470</v>
      </c>
      <c r="H34" s="9" t="s">
        <v>835</v>
      </c>
      <c r="I34" s="3"/>
      <c r="J34" s="3"/>
      <c r="K34" s="9"/>
    </row>
    <row r="35" ht="15.75" customHeight="1">
      <c r="A35" s="10" t="s">
        <v>12</v>
      </c>
      <c r="B35" s="10" t="s">
        <v>82</v>
      </c>
      <c r="C35" s="10" t="s">
        <v>1059</v>
      </c>
      <c r="D35" s="11" t="str">
        <f t="shared" si="1"/>
        <v>Abrir anúncio ↗</v>
      </c>
      <c r="E35" s="12" t="s">
        <v>1060</v>
      </c>
      <c r="F35" s="10" t="s">
        <v>86</v>
      </c>
      <c r="G35" s="12" t="s">
        <v>470</v>
      </c>
      <c r="H35" s="12" t="s">
        <v>835</v>
      </c>
      <c r="I35" s="10"/>
      <c r="J35" s="10"/>
      <c r="K35" s="12"/>
    </row>
    <row r="36" ht="15.75" customHeight="1">
      <c r="A36" s="3" t="s">
        <v>12</v>
      </c>
      <c r="B36" s="3" t="s">
        <v>82</v>
      </c>
      <c r="C36" s="3" t="s">
        <v>1071</v>
      </c>
      <c r="D36" s="8" t="str">
        <f t="shared" si="1"/>
        <v>Abrir anúncio ↗</v>
      </c>
      <c r="E36" s="9" t="s">
        <v>1074</v>
      </c>
      <c r="F36" s="3" t="s">
        <v>86</v>
      </c>
      <c r="G36" s="9" t="s">
        <v>470</v>
      </c>
      <c r="H36" s="9" t="s">
        <v>835</v>
      </c>
      <c r="I36" s="3"/>
      <c r="J36" s="3"/>
      <c r="K36" s="9"/>
    </row>
    <row r="37" ht="15.75" customHeight="1">
      <c r="A37" s="10" t="s">
        <v>12</v>
      </c>
      <c r="B37" s="10" t="s">
        <v>82</v>
      </c>
      <c r="C37" s="10" t="s">
        <v>1083</v>
      </c>
      <c r="D37" s="11" t="str">
        <f t="shared" si="1"/>
        <v>Abrir anúncio ↗</v>
      </c>
      <c r="E37" s="12" t="s">
        <v>1085</v>
      </c>
      <c r="F37" s="10" t="s">
        <v>29</v>
      </c>
      <c r="G37" s="12" t="s">
        <v>470</v>
      </c>
      <c r="H37" s="12" t="s">
        <v>835</v>
      </c>
      <c r="I37" s="10"/>
      <c r="J37" s="10"/>
      <c r="K37" s="12"/>
    </row>
    <row r="38" ht="15.75" customHeight="1">
      <c r="A38" s="3" t="s">
        <v>12</v>
      </c>
      <c r="B38" s="3" t="s">
        <v>82</v>
      </c>
      <c r="C38" s="3" t="s">
        <v>1091</v>
      </c>
      <c r="D38" s="8" t="str">
        <f t="shared" si="1"/>
        <v>Abrir anúncio ↗</v>
      </c>
      <c r="E38" s="9" t="s">
        <v>1093</v>
      </c>
      <c r="F38" s="3" t="s">
        <v>29</v>
      </c>
      <c r="G38" s="9" t="s">
        <v>470</v>
      </c>
      <c r="H38" s="9" t="s">
        <v>835</v>
      </c>
      <c r="I38" s="3"/>
      <c r="J38" s="3"/>
      <c r="K38" s="9"/>
    </row>
    <row r="39" ht="15.75" customHeight="1">
      <c r="A39" s="10" t="s">
        <v>12</v>
      </c>
      <c r="B39" s="10" t="s">
        <v>82</v>
      </c>
      <c r="C39" s="10" t="s">
        <v>1099</v>
      </c>
      <c r="D39" s="11" t="str">
        <f t="shared" si="1"/>
        <v>Abrir anúncio ↗</v>
      </c>
      <c r="E39" s="12" t="s">
        <v>1100</v>
      </c>
      <c r="F39" s="10" t="s">
        <v>29</v>
      </c>
      <c r="G39" s="12" t="s">
        <v>470</v>
      </c>
      <c r="H39" s="12" t="s">
        <v>835</v>
      </c>
      <c r="I39" s="10"/>
      <c r="J39" s="10"/>
      <c r="K39" s="12"/>
    </row>
    <row r="40" ht="15.75" customHeight="1">
      <c r="A40" s="3" t="s">
        <v>12</v>
      </c>
      <c r="B40" s="3" t="s">
        <v>82</v>
      </c>
      <c r="C40" s="3" t="s">
        <v>1109</v>
      </c>
      <c r="D40" s="8" t="str">
        <f t="shared" si="1"/>
        <v>Abrir anúncio ↗</v>
      </c>
      <c r="E40" s="9" t="s">
        <v>1112</v>
      </c>
      <c r="F40" s="3" t="s">
        <v>86</v>
      </c>
      <c r="G40" s="9" t="s">
        <v>470</v>
      </c>
      <c r="H40" s="9" t="s">
        <v>835</v>
      </c>
      <c r="I40" s="3"/>
      <c r="J40" s="3"/>
      <c r="K40" s="9"/>
    </row>
    <row r="41" ht="15.75" customHeight="1">
      <c r="A41" s="10" t="s">
        <v>12</v>
      </c>
      <c r="B41" s="10" t="s">
        <v>82</v>
      </c>
      <c r="C41" s="10" t="s">
        <v>1121</v>
      </c>
      <c r="D41" s="11" t="str">
        <f t="shared" si="1"/>
        <v>Abrir anúncio ↗</v>
      </c>
      <c r="E41" s="12" t="s">
        <v>1124</v>
      </c>
      <c r="F41" s="10" t="s">
        <v>86</v>
      </c>
      <c r="G41" s="12" t="s">
        <v>470</v>
      </c>
      <c r="H41" s="12" t="s">
        <v>835</v>
      </c>
      <c r="I41" s="10"/>
      <c r="J41" s="10"/>
      <c r="K41" s="12"/>
    </row>
    <row r="42" ht="15.75" customHeight="1">
      <c r="A42" s="3" t="s">
        <v>12</v>
      </c>
      <c r="B42" s="3" t="s">
        <v>82</v>
      </c>
      <c r="C42" s="3" t="s">
        <v>1132</v>
      </c>
      <c r="D42" s="8" t="str">
        <f t="shared" si="1"/>
        <v>Abrir anúncio ↗</v>
      </c>
      <c r="E42" s="9" t="s">
        <v>1136</v>
      </c>
      <c r="F42" s="3" t="s">
        <v>86</v>
      </c>
      <c r="G42" s="9" t="s">
        <v>470</v>
      </c>
      <c r="H42" s="9" t="s">
        <v>835</v>
      </c>
      <c r="I42" s="3"/>
      <c r="J42" s="3"/>
      <c r="K42" s="9"/>
    </row>
    <row r="43" ht="15.75" customHeight="1">
      <c r="A43" s="10" t="s">
        <v>12</v>
      </c>
      <c r="B43" s="10" t="s">
        <v>82</v>
      </c>
      <c r="C43" s="10" t="s">
        <v>1141</v>
      </c>
      <c r="D43" s="11" t="str">
        <f t="shared" si="1"/>
        <v>Abrir anúncio ↗</v>
      </c>
      <c r="E43" s="12" t="s">
        <v>1143</v>
      </c>
      <c r="F43" s="10" t="s">
        <v>86</v>
      </c>
      <c r="G43" s="12" t="s">
        <v>470</v>
      </c>
      <c r="H43" s="12" t="s">
        <v>835</v>
      </c>
      <c r="I43" s="10"/>
      <c r="J43" s="10"/>
      <c r="K43" s="12"/>
    </row>
    <row r="44" ht="15.75" customHeight="1">
      <c r="A44" s="3" t="s">
        <v>12</v>
      </c>
      <c r="B44" s="3" t="s">
        <v>82</v>
      </c>
      <c r="C44" s="3" t="s">
        <v>1151</v>
      </c>
      <c r="D44" s="8" t="str">
        <f t="shared" si="1"/>
        <v>Abrir anúncio ↗</v>
      </c>
      <c r="E44" s="9" t="s">
        <v>1152</v>
      </c>
      <c r="F44" s="3" t="s">
        <v>86</v>
      </c>
      <c r="G44" s="9" t="s">
        <v>470</v>
      </c>
      <c r="H44" s="9" t="s">
        <v>835</v>
      </c>
      <c r="I44" s="3"/>
      <c r="J44" s="3"/>
      <c r="K44" s="9"/>
    </row>
    <row r="45" ht="15.75" customHeight="1">
      <c r="A45" s="10" t="s">
        <v>12</v>
      </c>
      <c r="B45" s="10" t="s">
        <v>82</v>
      </c>
      <c r="C45" s="10" t="s">
        <v>1160</v>
      </c>
      <c r="D45" s="11" t="str">
        <f t="shared" si="1"/>
        <v>Abrir anúncio ↗</v>
      </c>
      <c r="E45" s="12" t="s">
        <v>1161</v>
      </c>
      <c r="F45" s="10" t="s">
        <v>86</v>
      </c>
      <c r="G45" s="12" t="s">
        <v>470</v>
      </c>
      <c r="H45" s="12" t="s">
        <v>835</v>
      </c>
      <c r="I45" s="10"/>
      <c r="J45" s="10"/>
      <c r="K45" s="12"/>
    </row>
    <row r="46" ht="15.75" customHeight="1">
      <c r="A46" s="3" t="s">
        <v>12</v>
      </c>
      <c r="B46" s="3" t="s">
        <v>82</v>
      </c>
      <c r="C46" s="3" t="s">
        <v>1168</v>
      </c>
      <c r="D46" s="8" t="str">
        <f t="shared" si="1"/>
        <v>Abrir anúncio ↗</v>
      </c>
      <c r="E46" s="9" t="s">
        <v>1169</v>
      </c>
      <c r="F46" s="3" t="s">
        <v>86</v>
      </c>
      <c r="G46" s="9" t="s">
        <v>470</v>
      </c>
      <c r="H46" s="9" t="s">
        <v>835</v>
      </c>
      <c r="I46" s="3"/>
      <c r="J46" s="3"/>
      <c r="K46" s="9"/>
    </row>
    <row r="47" ht="15.75" customHeight="1">
      <c r="A47" s="10" t="s">
        <v>12</v>
      </c>
      <c r="B47" s="10" t="s">
        <v>82</v>
      </c>
      <c r="C47" s="10" t="s">
        <v>1177</v>
      </c>
      <c r="D47" s="11" t="str">
        <f t="shared" si="1"/>
        <v>Abrir anúncio ↗</v>
      </c>
      <c r="E47" s="12" t="s">
        <v>1179</v>
      </c>
      <c r="F47" s="10" t="s">
        <v>29</v>
      </c>
      <c r="G47" s="12" t="s">
        <v>470</v>
      </c>
      <c r="H47" s="12" t="s">
        <v>472</v>
      </c>
      <c r="I47" s="10"/>
      <c r="J47" s="10"/>
      <c r="K47" s="12"/>
    </row>
    <row r="48" ht="15.75" customHeight="1">
      <c r="A48" s="3" t="s">
        <v>12</v>
      </c>
      <c r="B48" s="3" t="s">
        <v>82</v>
      </c>
      <c r="C48" s="3" t="s">
        <v>1185</v>
      </c>
      <c r="D48" s="8" t="str">
        <f t="shared" si="1"/>
        <v>Abrir anúncio ↗</v>
      </c>
      <c r="E48" s="9" t="s">
        <v>1187</v>
      </c>
      <c r="F48" s="3" t="s">
        <v>86</v>
      </c>
      <c r="G48" s="9" t="s">
        <v>470</v>
      </c>
      <c r="H48" s="9" t="s">
        <v>472</v>
      </c>
      <c r="I48" s="3"/>
      <c r="J48" s="3"/>
      <c r="K48" s="9"/>
    </row>
    <row r="49" ht="15.75" customHeight="1">
      <c r="A49" s="10" t="s">
        <v>12</v>
      </c>
      <c r="B49" s="10" t="s">
        <v>82</v>
      </c>
      <c r="C49" s="10" t="s">
        <v>1195</v>
      </c>
      <c r="D49" s="11" t="str">
        <f t="shared" si="1"/>
        <v>Abrir anúncio ↗</v>
      </c>
      <c r="E49" s="12" t="s">
        <v>1198</v>
      </c>
      <c r="F49" s="10" t="s">
        <v>86</v>
      </c>
      <c r="G49" s="12" t="s">
        <v>470</v>
      </c>
      <c r="H49" s="12" t="s">
        <v>472</v>
      </c>
      <c r="I49" s="10"/>
      <c r="J49" s="10"/>
      <c r="K49" s="12"/>
    </row>
    <row r="50" ht="15.75" customHeight="1">
      <c r="A50" s="3" t="s">
        <v>12</v>
      </c>
      <c r="B50" s="3" t="s">
        <v>82</v>
      </c>
      <c r="C50" s="3" t="s">
        <v>1204</v>
      </c>
      <c r="D50" s="8" t="str">
        <f t="shared" si="1"/>
        <v>Abrir anúncio ↗</v>
      </c>
      <c r="E50" s="9" t="s">
        <v>1208</v>
      </c>
      <c r="F50" s="3" t="s">
        <v>86</v>
      </c>
      <c r="G50" s="9" t="s">
        <v>470</v>
      </c>
      <c r="H50" s="9" t="s">
        <v>472</v>
      </c>
      <c r="I50" s="3"/>
      <c r="J50" s="3"/>
      <c r="K50" s="9"/>
    </row>
    <row r="51" ht="15.75" customHeight="1">
      <c r="A51" s="10" t="s">
        <v>12</v>
      </c>
      <c r="B51" s="10" t="s">
        <v>82</v>
      </c>
      <c r="C51" s="10" t="s">
        <v>1213</v>
      </c>
      <c r="D51" s="11" t="str">
        <f t="shared" si="1"/>
        <v>Abrir anúncio ↗</v>
      </c>
      <c r="E51" s="12" t="s">
        <v>1217</v>
      </c>
      <c r="F51" s="10" t="s">
        <v>29</v>
      </c>
      <c r="G51" s="12" t="s">
        <v>470</v>
      </c>
      <c r="H51" s="12" t="s">
        <v>472</v>
      </c>
      <c r="I51" s="10"/>
      <c r="J51" s="10"/>
      <c r="K51" s="12"/>
    </row>
    <row r="52" ht="15.75" customHeight="1">
      <c r="A52" s="3" t="s">
        <v>12</v>
      </c>
      <c r="B52" s="3" t="s">
        <v>82</v>
      </c>
      <c r="C52" s="3" t="s">
        <v>1224</v>
      </c>
      <c r="D52" s="8" t="str">
        <f t="shared" si="1"/>
        <v>Abrir anúncio ↗</v>
      </c>
      <c r="E52" s="9" t="s">
        <v>1226</v>
      </c>
      <c r="F52" s="3" t="s">
        <v>86</v>
      </c>
      <c r="G52" s="9" t="s">
        <v>470</v>
      </c>
      <c r="H52" s="9" t="s">
        <v>472</v>
      </c>
      <c r="I52" s="3"/>
      <c r="J52" s="3"/>
      <c r="K52" s="9"/>
    </row>
    <row r="53" ht="15.75" customHeight="1">
      <c r="A53" s="10" t="s">
        <v>12</v>
      </c>
      <c r="B53" s="10" t="s">
        <v>82</v>
      </c>
      <c r="C53" s="10" t="s">
        <v>1233</v>
      </c>
      <c r="D53" s="11" t="str">
        <f t="shared" si="1"/>
        <v>Abrir anúncio ↗</v>
      </c>
      <c r="E53" s="12" t="s">
        <v>1235</v>
      </c>
      <c r="F53" s="10" t="s">
        <v>86</v>
      </c>
      <c r="G53" s="12" t="s">
        <v>470</v>
      </c>
      <c r="H53" s="12" t="s">
        <v>1241</v>
      </c>
      <c r="I53" s="10"/>
      <c r="J53" s="10"/>
      <c r="K53" s="12"/>
    </row>
    <row r="54" ht="15.75" customHeight="1">
      <c r="A54" s="3" t="s">
        <v>12</v>
      </c>
      <c r="B54" s="3" t="s">
        <v>82</v>
      </c>
      <c r="C54" s="3" t="s">
        <v>1245</v>
      </c>
      <c r="D54" s="8" t="str">
        <f t="shared" si="1"/>
        <v>Abrir anúncio ↗</v>
      </c>
      <c r="E54" s="9" t="s">
        <v>1251</v>
      </c>
      <c r="F54" s="3" t="s">
        <v>86</v>
      </c>
      <c r="G54" s="9" t="s">
        <v>470</v>
      </c>
      <c r="H54" s="9" t="s">
        <v>584</v>
      </c>
      <c r="I54" s="3"/>
      <c r="J54" s="3"/>
      <c r="K54" s="9"/>
    </row>
    <row r="55" ht="15.75" customHeight="1">
      <c r="A55" s="10" t="s">
        <v>12</v>
      </c>
      <c r="B55" s="10" t="s">
        <v>82</v>
      </c>
      <c r="C55" s="10" t="s">
        <v>1260</v>
      </c>
      <c r="D55" s="11" t="str">
        <f t="shared" si="1"/>
        <v>Abrir anúncio ↗</v>
      </c>
      <c r="E55" s="12" t="s">
        <v>1263</v>
      </c>
      <c r="F55" s="10" t="s">
        <v>86</v>
      </c>
      <c r="G55" s="12" t="s">
        <v>470</v>
      </c>
      <c r="H55" s="12" t="s">
        <v>472</v>
      </c>
      <c r="I55" s="10"/>
      <c r="J55" s="10"/>
      <c r="K55" s="12"/>
    </row>
    <row r="56" ht="15.75" customHeight="1">
      <c r="A56" s="3" t="s">
        <v>12</v>
      </c>
      <c r="B56" s="3" t="s">
        <v>82</v>
      </c>
      <c r="C56" s="3" t="s">
        <v>1271</v>
      </c>
      <c r="D56" s="8" t="str">
        <f t="shared" si="1"/>
        <v>Abrir anúncio ↗</v>
      </c>
      <c r="E56" s="9" t="s">
        <v>1272</v>
      </c>
      <c r="F56" s="3" t="s">
        <v>86</v>
      </c>
      <c r="G56" s="9" t="s">
        <v>470</v>
      </c>
      <c r="H56" s="9" t="s">
        <v>1106</v>
      </c>
      <c r="I56" s="3"/>
      <c r="J56" s="3"/>
      <c r="K56" s="9"/>
    </row>
    <row r="57" ht="15.75" customHeight="1">
      <c r="A57" s="10" t="s">
        <v>12</v>
      </c>
      <c r="B57" s="10" t="s">
        <v>82</v>
      </c>
      <c r="C57" s="10" t="s">
        <v>1280</v>
      </c>
      <c r="D57" s="11" t="str">
        <f t="shared" si="1"/>
        <v>Abrir anúncio ↗</v>
      </c>
      <c r="E57" s="12" t="s">
        <v>1284</v>
      </c>
      <c r="F57" s="10" t="s">
        <v>29</v>
      </c>
      <c r="G57" s="12" t="s">
        <v>470</v>
      </c>
      <c r="H57" s="12" t="s">
        <v>472</v>
      </c>
      <c r="I57" s="10"/>
      <c r="J57" s="10"/>
      <c r="K57" s="12"/>
    </row>
    <row r="58" ht="15.75" customHeight="1">
      <c r="A58" s="3" t="s">
        <v>12</v>
      </c>
      <c r="B58" s="3" t="s">
        <v>82</v>
      </c>
      <c r="C58" s="3" t="s">
        <v>1292</v>
      </c>
      <c r="D58" s="8" t="str">
        <f t="shared" si="1"/>
        <v>Abrir anúncio ↗</v>
      </c>
      <c r="E58" s="9" t="s">
        <v>1296</v>
      </c>
      <c r="F58" s="3" t="s">
        <v>86</v>
      </c>
      <c r="G58" s="9" t="s">
        <v>470</v>
      </c>
      <c r="H58" s="9" t="s">
        <v>472</v>
      </c>
      <c r="I58" s="3"/>
      <c r="J58" s="3"/>
      <c r="K58" s="9"/>
    </row>
    <row r="59" ht="15.75" customHeight="1">
      <c r="A59" s="10" t="s">
        <v>12</v>
      </c>
      <c r="B59" s="10" t="s">
        <v>82</v>
      </c>
      <c r="C59" s="10" t="s">
        <v>1306</v>
      </c>
      <c r="D59" s="11" t="str">
        <f t="shared" si="1"/>
        <v>Abrir anúncio ↗</v>
      </c>
      <c r="E59" s="12" t="s">
        <v>1307</v>
      </c>
      <c r="F59" s="10" t="s">
        <v>86</v>
      </c>
      <c r="G59" s="12" t="s">
        <v>470</v>
      </c>
      <c r="H59" s="12" t="s">
        <v>1241</v>
      </c>
      <c r="I59" s="10"/>
      <c r="J59" s="10"/>
      <c r="K59" s="12"/>
    </row>
    <row r="60" ht="15.75" customHeight="1">
      <c r="A60" s="3" t="s">
        <v>12</v>
      </c>
      <c r="B60" s="3" t="s">
        <v>82</v>
      </c>
      <c r="C60" s="3" t="s">
        <v>1314</v>
      </c>
      <c r="D60" s="8" t="str">
        <f t="shared" si="1"/>
        <v>Abrir anúncio ↗</v>
      </c>
      <c r="E60" s="9" t="s">
        <v>1315</v>
      </c>
      <c r="F60" s="3" t="s">
        <v>86</v>
      </c>
      <c r="G60" s="9" t="s">
        <v>470</v>
      </c>
      <c r="H60" s="9" t="s">
        <v>1241</v>
      </c>
      <c r="I60" s="3"/>
      <c r="J60" s="3"/>
      <c r="K60" s="9"/>
    </row>
    <row r="61" ht="15.75" customHeight="1">
      <c r="A61" s="10" t="s">
        <v>12</v>
      </c>
      <c r="B61" s="10" t="s">
        <v>82</v>
      </c>
      <c r="C61" s="10" t="s">
        <v>1323</v>
      </c>
      <c r="D61" s="11" t="str">
        <f t="shared" si="1"/>
        <v>Abrir anúncio ↗</v>
      </c>
      <c r="E61" s="12" t="s">
        <v>1326</v>
      </c>
      <c r="F61" s="10" t="s">
        <v>86</v>
      </c>
      <c r="G61" s="12" t="s">
        <v>602</v>
      </c>
      <c r="H61" s="12" t="s">
        <v>603</v>
      </c>
      <c r="I61" s="10"/>
      <c r="J61" s="10"/>
      <c r="K61" s="12"/>
    </row>
    <row r="62" ht="15.75" customHeight="1">
      <c r="A62" s="3" t="s">
        <v>12</v>
      </c>
      <c r="B62" s="3" t="s">
        <v>82</v>
      </c>
      <c r="C62" s="3" t="s">
        <v>1332</v>
      </c>
      <c r="D62" s="8" t="str">
        <f t="shared" si="1"/>
        <v>Abrir anúncio ↗</v>
      </c>
      <c r="E62" s="9" t="s">
        <v>1335</v>
      </c>
      <c r="F62" s="3" t="s">
        <v>86</v>
      </c>
      <c r="G62" s="9" t="s">
        <v>470</v>
      </c>
      <c r="H62" s="9" t="s">
        <v>472</v>
      </c>
      <c r="I62" s="3"/>
      <c r="J62" s="3"/>
      <c r="K62" s="9"/>
    </row>
    <row r="63" ht="15.75" customHeight="1">
      <c r="A63" s="10" t="s">
        <v>12</v>
      </c>
      <c r="B63" s="10" t="s">
        <v>82</v>
      </c>
      <c r="C63" s="10" t="s">
        <v>1339</v>
      </c>
      <c r="D63" s="11" t="str">
        <f t="shared" si="1"/>
        <v>Abrir anúncio ↗</v>
      </c>
      <c r="E63" s="12" t="s">
        <v>1343</v>
      </c>
      <c r="F63" s="10" t="s">
        <v>86</v>
      </c>
      <c r="G63" s="12" t="s">
        <v>470</v>
      </c>
      <c r="H63" s="12" t="s">
        <v>519</v>
      </c>
      <c r="I63" s="10"/>
      <c r="J63" s="10"/>
      <c r="K63" s="12"/>
    </row>
    <row r="64" ht="15.75" customHeight="1">
      <c r="A64" s="3" t="s">
        <v>12</v>
      </c>
      <c r="B64" s="3" t="s">
        <v>82</v>
      </c>
      <c r="C64" s="3" t="s">
        <v>1347</v>
      </c>
      <c r="D64" s="8" t="str">
        <f t="shared" si="1"/>
        <v>Abrir anúncio ↗</v>
      </c>
      <c r="E64" s="9" t="s">
        <v>1350</v>
      </c>
      <c r="F64" s="3" t="s">
        <v>86</v>
      </c>
      <c r="G64" s="9" t="s">
        <v>470</v>
      </c>
      <c r="H64" s="9" t="s">
        <v>584</v>
      </c>
      <c r="I64" s="3"/>
      <c r="J64" s="3"/>
      <c r="K64" s="9"/>
    </row>
    <row r="65" ht="15.75" customHeight="1">
      <c r="A65" s="10" t="s">
        <v>12</v>
      </c>
      <c r="B65" s="10" t="s">
        <v>82</v>
      </c>
      <c r="C65" s="10" t="s">
        <v>1358</v>
      </c>
      <c r="D65" s="11" t="str">
        <f t="shared" si="1"/>
        <v>Abrir anúncio ↗</v>
      </c>
      <c r="E65" s="12" t="s">
        <v>1361</v>
      </c>
      <c r="F65" s="10" t="s">
        <v>86</v>
      </c>
      <c r="G65" s="12" t="s">
        <v>470</v>
      </c>
      <c r="H65" s="12" t="s">
        <v>584</v>
      </c>
      <c r="I65" s="10"/>
      <c r="J65" s="10"/>
      <c r="K65" s="12"/>
    </row>
    <row r="66" ht="15.75" customHeight="1">
      <c r="A66" s="3" t="s">
        <v>12</v>
      </c>
      <c r="B66" s="3" t="s">
        <v>82</v>
      </c>
      <c r="C66" s="3" t="s">
        <v>1367</v>
      </c>
      <c r="D66" s="8" t="str">
        <f t="shared" si="1"/>
        <v>Abrir anúncio ↗</v>
      </c>
      <c r="E66" s="9" t="s">
        <v>1370</v>
      </c>
      <c r="F66" s="3" t="s">
        <v>86</v>
      </c>
      <c r="G66" s="9" t="s">
        <v>470</v>
      </c>
      <c r="H66" s="9" t="s">
        <v>584</v>
      </c>
      <c r="I66" s="3"/>
      <c r="J66" s="3"/>
      <c r="K66" s="9"/>
    </row>
    <row r="67" ht="15.75" customHeight="1">
      <c r="A67" s="10" t="s">
        <v>12</v>
      </c>
      <c r="B67" s="10" t="s">
        <v>82</v>
      </c>
      <c r="C67" s="10" t="s">
        <v>1377</v>
      </c>
      <c r="D67" s="11" t="str">
        <f t="shared" si="1"/>
        <v>Abrir anúncio ↗</v>
      </c>
      <c r="E67" s="12" t="s">
        <v>1380</v>
      </c>
      <c r="F67" s="10" t="s">
        <v>29</v>
      </c>
      <c r="G67" s="12" t="s">
        <v>470</v>
      </c>
      <c r="H67" s="12" t="s">
        <v>472</v>
      </c>
      <c r="I67" s="10"/>
      <c r="J67" s="10"/>
      <c r="K67" s="12"/>
    </row>
    <row r="68" ht="15.75" customHeight="1">
      <c r="A68" s="3" t="s">
        <v>12</v>
      </c>
      <c r="B68" s="3" t="s">
        <v>82</v>
      </c>
      <c r="C68" s="3" t="s">
        <v>1387</v>
      </c>
      <c r="D68" s="8" t="str">
        <f t="shared" si="1"/>
        <v>Abrir anúncio ↗</v>
      </c>
      <c r="E68" s="9" t="s">
        <v>1389</v>
      </c>
      <c r="F68" s="3" t="s">
        <v>86</v>
      </c>
      <c r="G68" s="9" t="s">
        <v>470</v>
      </c>
      <c r="H68" s="9" t="s">
        <v>1241</v>
      </c>
      <c r="I68" s="3"/>
      <c r="J68" s="3"/>
      <c r="K68" s="9"/>
    </row>
    <row r="69" ht="15.75" customHeight="1">
      <c r="A69" s="10" t="s">
        <v>12</v>
      </c>
      <c r="B69" s="10" t="s">
        <v>82</v>
      </c>
      <c r="C69" s="10" t="s">
        <v>1396</v>
      </c>
      <c r="D69" s="11" t="str">
        <f t="shared" si="1"/>
        <v>Abrir anúncio ↗</v>
      </c>
      <c r="E69" s="12" t="s">
        <v>1400</v>
      </c>
      <c r="F69" s="10" t="s">
        <v>29</v>
      </c>
      <c r="G69" s="12" t="s">
        <v>470</v>
      </c>
      <c r="H69" s="12" t="s">
        <v>472</v>
      </c>
      <c r="I69" s="10"/>
      <c r="J69" s="10"/>
      <c r="K69" s="12"/>
    </row>
    <row r="70" ht="15.75" customHeight="1">
      <c r="A70" s="3" t="s">
        <v>12</v>
      </c>
      <c r="B70" s="3" t="s">
        <v>82</v>
      </c>
      <c r="C70" s="3" t="s">
        <v>1406</v>
      </c>
      <c r="D70" s="8" t="str">
        <f t="shared" si="1"/>
        <v>Abrir anúncio ↗</v>
      </c>
      <c r="E70" s="9" t="s">
        <v>1408</v>
      </c>
      <c r="F70" s="3" t="s">
        <v>86</v>
      </c>
      <c r="G70" s="9" t="s">
        <v>470</v>
      </c>
      <c r="H70" s="9" t="s">
        <v>472</v>
      </c>
      <c r="I70" s="3"/>
      <c r="J70" s="3"/>
      <c r="K70" s="9"/>
    </row>
    <row r="71" ht="15.75" customHeight="1">
      <c r="A71" s="10" t="s">
        <v>12</v>
      </c>
      <c r="B71" s="10" t="s">
        <v>82</v>
      </c>
      <c r="C71" s="10" t="s">
        <v>1414</v>
      </c>
      <c r="D71" s="11" t="str">
        <f t="shared" si="1"/>
        <v>Abrir anúncio ↗</v>
      </c>
      <c r="E71" s="12" t="s">
        <v>1416</v>
      </c>
      <c r="F71" s="10" t="s">
        <v>86</v>
      </c>
      <c r="G71" s="12" t="s">
        <v>470</v>
      </c>
      <c r="H71" s="12" t="s">
        <v>584</v>
      </c>
      <c r="I71" s="10"/>
      <c r="J71" s="10"/>
      <c r="K71" s="12"/>
    </row>
    <row r="72" ht="15.75" customHeight="1">
      <c r="A72" s="3" t="s">
        <v>12</v>
      </c>
      <c r="B72" s="3" t="s">
        <v>82</v>
      </c>
      <c r="C72" s="3" t="s">
        <v>1424</v>
      </c>
      <c r="D72" s="8" t="str">
        <f t="shared" si="1"/>
        <v>Abrir anúncio ↗</v>
      </c>
      <c r="E72" s="9" t="s">
        <v>1425</v>
      </c>
      <c r="F72" s="3" t="s">
        <v>86</v>
      </c>
      <c r="G72" s="9" t="s">
        <v>470</v>
      </c>
      <c r="H72" s="9" t="s">
        <v>584</v>
      </c>
      <c r="I72" s="3"/>
      <c r="J72" s="3"/>
      <c r="K72" s="9"/>
    </row>
    <row r="73" ht="15.75" customHeight="1">
      <c r="A73" s="10" t="s">
        <v>12</v>
      </c>
      <c r="B73" s="10" t="s">
        <v>82</v>
      </c>
      <c r="C73" s="10" t="s">
        <v>1432</v>
      </c>
      <c r="D73" s="11" t="str">
        <f t="shared" si="1"/>
        <v>Abrir anúncio ↗</v>
      </c>
      <c r="E73" s="12" t="s">
        <v>1434</v>
      </c>
      <c r="F73" s="10" t="s">
        <v>86</v>
      </c>
      <c r="G73" s="12" t="s">
        <v>470</v>
      </c>
      <c r="H73" s="12" t="s">
        <v>1241</v>
      </c>
      <c r="I73" s="10"/>
      <c r="J73" s="10"/>
      <c r="K73" s="12"/>
    </row>
    <row r="74" ht="15.75" customHeight="1">
      <c r="A74" s="3" t="s">
        <v>12</v>
      </c>
      <c r="B74" s="3" t="s">
        <v>82</v>
      </c>
      <c r="C74" s="3" t="s">
        <v>1441</v>
      </c>
      <c r="D74" s="8" t="str">
        <f t="shared" si="1"/>
        <v>Abrir anúncio ↗</v>
      </c>
      <c r="E74" s="9" t="s">
        <v>1443</v>
      </c>
      <c r="F74" s="3" t="s">
        <v>29</v>
      </c>
      <c r="G74" s="9" t="s">
        <v>470</v>
      </c>
      <c r="H74" s="9" t="s">
        <v>519</v>
      </c>
      <c r="I74" s="3"/>
      <c r="J74" s="3"/>
      <c r="K74" s="9"/>
    </row>
    <row r="75" ht="15.75" customHeight="1">
      <c r="A75" s="10" t="s">
        <v>12</v>
      </c>
      <c r="B75" s="10" t="s">
        <v>82</v>
      </c>
      <c r="C75" s="10" t="s">
        <v>1450</v>
      </c>
      <c r="D75" s="11" t="str">
        <f t="shared" si="1"/>
        <v>Abrir anúncio ↗</v>
      </c>
      <c r="E75" s="12" t="s">
        <v>1451</v>
      </c>
      <c r="F75" s="10" t="s">
        <v>86</v>
      </c>
      <c r="G75" s="12" t="s">
        <v>470</v>
      </c>
      <c r="H75" s="12" t="s">
        <v>472</v>
      </c>
      <c r="I75" s="10"/>
      <c r="J75" s="10"/>
      <c r="K75" s="12"/>
    </row>
    <row r="76" ht="15.75" customHeight="1">
      <c r="A76" s="3" t="s">
        <v>12</v>
      </c>
      <c r="B76" s="3" t="s">
        <v>82</v>
      </c>
      <c r="C76" s="3" t="s">
        <v>1460</v>
      </c>
      <c r="D76" s="8" t="str">
        <f t="shared" si="1"/>
        <v>Abrir anúncio ↗</v>
      </c>
      <c r="E76" s="9" t="s">
        <v>1461</v>
      </c>
      <c r="F76" s="3" t="s">
        <v>86</v>
      </c>
      <c r="G76" s="9" t="s">
        <v>470</v>
      </c>
      <c r="H76" s="9" t="s">
        <v>1241</v>
      </c>
      <c r="I76" s="3"/>
      <c r="J76" s="3"/>
      <c r="K76" s="9"/>
    </row>
    <row r="77" ht="15.75" customHeight="1">
      <c r="A77" s="10" t="s">
        <v>12</v>
      </c>
      <c r="B77" s="10" t="s">
        <v>82</v>
      </c>
      <c r="C77" s="10" t="s">
        <v>1469</v>
      </c>
      <c r="D77" s="11" t="str">
        <f t="shared" si="1"/>
        <v>Abrir anúncio ↗</v>
      </c>
      <c r="E77" s="12" t="s">
        <v>1471</v>
      </c>
      <c r="F77" s="10" t="s">
        <v>86</v>
      </c>
      <c r="G77" s="12" t="s">
        <v>470</v>
      </c>
      <c r="H77" s="12" t="s">
        <v>1106</v>
      </c>
      <c r="I77" s="10"/>
      <c r="J77" s="10"/>
      <c r="K77" s="12"/>
    </row>
    <row r="78" ht="15.75" customHeight="1">
      <c r="A78" s="3" t="s">
        <v>12</v>
      </c>
      <c r="B78" s="3" t="s">
        <v>82</v>
      </c>
      <c r="C78" s="3" t="s">
        <v>1479</v>
      </c>
      <c r="D78" s="8" t="str">
        <f t="shared" si="1"/>
        <v>Abrir anúncio ↗</v>
      </c>
      <c r="E78" s="9" t="s">
        <v>1481</v>
      </c>
      <c r="F78" s="3" t="s">
        <v>86</v>
      </c>
      <c r="G78" s="9" t="s">
        <v>470</v>
      </c>
      <c r="H78" s="9" t="s">
        <v>472</v>
      </c>
      <c r="I78" s="3"/>
      <c r="J78" s="3"/>
      <c r="K78" s="9"/>
    </row>
    <row r="79" ht="15.75" customHeight="1">
      <c r="A79" s="10" t="s">
        <v>12</v>
      </c>
      <c r="B79" s="10" t="s">
        <v>82</v>
      </c>
      <c r="C79" s="10" t="s">
        <v>1488</v>
      </c>
      <c r="D79" s="11" t="str">
        <f t="shared" si="1"/>
        <v>Abrir anúncio ↗</v>
      </c>
      <c r="E79" s="12" t="s">
        <v>1491</v>
      </c>
      <c r="F79" s="10" t="s">
        <v>86</v>
      </c>
      <c r="G79" s="12" t="s">
        <v>470</v>
      </c>
      <c r="H79" s="12" t="s">
        <v>584</v>
      </c>
      <c r="I79" s="10"/>
      <c r="J79" s="10"/>
      <c r="K79" s="12"/>
    </row>
    <row r="80" ht="15.75" customHeight="1">
      <c r="A80" s="3" t="s">
        <v>12</v>
      </c>
      <c r="B80" s="3" t="s">
        <v>82</v>
      </c>
      <c r="C80" s="3" t="s">
        <v>1497</v>
      </c>
      <c r="D80" s="8" t="str">
        <f t="shared" si="1"/>
        <v>Abrir anúncio ↗</v>
      </c>
      <c r="E80" s="9" t="s">
        <v>1499</v>
      </c>
      <c r="F80" s="3" t="s">
        <v>86</v>
      </c>
      <c r="G80" s="9" t="s">
        <v>470</v>
      </c>
      <c r="H80" s="9" t="s">
        <v>1241</v>
      </c>
      <c r="I80" s="3"/>
      <c r="J80" s="3"/>
      <c r="K80" s="9"/>
    </row>
    <row r="81" ht="15.75" customHeight="1">
      <c r="A81" s="10" t="s">
        <v>12</v>
      </c>
      <c r="B81" s="10" t="s">
        <v>82</v>
      </c>
      <c r="C81" s="10" t="s">
        <v>1506</v>
      </c>
      <c r="D81" s="11" t="str">
        <f t="shared" si="1"/>
        <v>Abrir anúncio ↗</v>
      </c>
      <c r="E81" s="12" t="s">
        <v>1509</v>
      </c>
      <c r="F81" s="10" t="s">
        <v>86</v>
      </c>
      <c r="G81" s="12" t="s">
        <v>470</v>
      </c>
      <c r="H81" s="12" t="s">
        <v>472</v>
      </c>
      <c r="I81" s="10"/>
      <c r="J81" s="10"/>
      <c r="K81" s="12"/>
    </row>
    <row r="82" ht="15.75" customHeight="1">
      <c r="A82" s="3" t="s">
        <v>12</v>
      </c>
      <c r="B82" s="3" t="s">
        <v>82</v>
      </c>
      <c r="C82" s="3" t="s">
        <v>1514</v>
      </c>
      <c r="D82" s="8" t="str">
        <f t="shared" si="1"/>
        <v>Abrir anúncio ↗</v>
      </c>
      <c r="E82" s="9" t="s">
        <v>1517</v>
      </c>
      <c r="F82" s="3" t="s">
        <v>86</v>
      </c>
      <c r="G82" s="9" t="s">
        <v>470</v>
      </c>
      <c r="H82" s="9" t="s">
        <v>1241</v>
      </c>
      <c r="I82" s="3"/>
      <c r="J82" s="3"/>
      <c r="K82" s="9"/>
    </row>
    <row r="83" ht="15.75" customHeight="1">
      <c r="A83" s="10" t="s">
        <v>12</v>
      </c>
      <c r="B83" s="10" t="s">
        <v>82</v>
      </c>
      <c r="C83" s="10" t="s">
        <v>1524</v>
      </c>
      <c r="D83" s="11" t="str">
        <f t="shared" si="1"/>
        <v>Abrir anúncio ↗</v>
      </c>
      <c r="E83" s="12" t="s">
        <v>1527</v>
      </c>
      <c r="F83" s="10" t="s">
        <v>86</v>
      </c>
      <c r="G83" s="12" t="s">
        <v>470</v>
      </c>
      <c r="H83" s="12" t="s">
        <v>472</v>
      </c>
      <c r="I83" s="10"/>
      <c r="J83" s="10"/>
      <c r="K83" s="12"/>
    </row>
    <row r="84" ht="15.75" customHeight="1">
      <c r="A84" s="3" t="s">
        <v>12</v>
      </c>
      <c r="B84" s="3" t="s">
        <v>82</v>
      </c>
      <c r="C84" s="3" t="s">
        <v>1534</v>
      </c>
      <c r="D84" s="8" t="str">
        <f t="shared" si="1"/>
        <v>Abrir anúncio ↗</v>
      </c>
      <c r="E84" s="9" t="s">
        <v>1538</v>
      </c>
      <c r="F84" s="3" t="s">
        <v>86</v>
      </c>
      <c r="G84" s="9" t="s">
        <v>470</v>
      </c>
      <c r="H84" s="9" t="s">
        <v>519</v>
      </c>
      <c r="I84" s="3"/>
      <c r="J84" s="3"/>
      <c r="K84" s="9"/>
    </row>
    <row r="85" ht="15.75" customHeight="1">
      <c r="A85" s="10" t="s">
        <v>12</v>
      </c>
      <c r="B85" s="10" t="s">
        <v>82</v>
      </c>
      <c r="C85" s="10" t="s">
        <v>1546</v>
      </c>
      <c r="D85" s="11" t="str">
        <f t="shared" si="1"/>
        <v>Abrir anúncio ↗</v>
      </c>
      <c r="E85" s="12" t="s">
        <v>1549</v>
      </c>
      <c r="F85" s="10" t="s">
        <v>86</v>
      </c>
      <c r="G85" s="12" t="s">
        <v>470</v>
      </c>
      <c r="H85" s="12" t="s">
        <v>1241</v>
      </c>
      <c r="I85" s="10"/>
      <c r="J85" s="10"/>
      <c r="K85" s="12"/>
    </row>
    <row r="86" ht="15.75" customHeight="1">
      <c r="A86" s="3" t="s">
        <v>12</v>
      </c>
      <c r="B86" s="3" t="s">
        <v>82</v>
      </c>
      <c r="C86" s="3" t="s">
        <v>1555</v>
      </c>
      <c r="D86" s="8" t="str">
        <f t="shared" si="1"/>
        <v>Abrir anúncio ↗</v>
      </c>
      <c r="E86" s="9" t="s">
        <v>1559</v>
      </c>
      <c r="F86" s="3" t="s">
        <v>86</v>
      </c>
      <c r="G86" s="9" t="s">
        <v>470</v>
      </c>
      <c r="H86" s="9" t="s">
        <v>584</v>
      </c>
      <c r="I86" s="3"/>
      <c r="J86" s="3"/>
      <c r="K86" s="9"/>
    </row>
    <row r="87" ht="15.75" customHeight="1">
      <c r="A87" s="10" t="s">
        <v>12</v>
      </c>
      <c r="B87" s="10" t="s">
        <v>82</v>
      </c>
      <c r="C87" s="10" t="s">
        <v>1569</v>
      </c>
      <c r="D87" s="11" t="str">
        <f t="shared" si="1"/>
        <v>Abrir anúncio ↗</v>
      </c>
      <c r="E87" s="12" t="s">
        <v>1572</v>
      </c>
      <c r="F87" s="10" t="s">
        <v>86</v>
      </c>
      <c r="G87" s="12" t="s">
        <v>470</v>
      </c>
      <c r="H87" s="12" t="s">
        <v>472</v>
      </c>
      <c r="I87" s="10"/>
      <c r="J87" s="10"/>
      <c r="K87" s="12"/>
    </row>
    <row r="88" ht="15.75" customHeight="1">
      <c r="A88" s="3" t="s">
        <v>12</v>
      </c>
      <c r="B88" s="3" t="s">
        <v>82</v>
      </c>
      <c r="C88" s="3" t="s">
        <v>1580</v>
      </c>
      <c r="D88" s="8" t="str">
        <f t="shared" si="1"/>
        <v>Abrir anúncio ↗</v>
      </c>
      <c r="E88" s="9" t="s">
        <v>1583</v>
      </c>
      <c r="F88" s="3" t="s">
        <v>86</v>
      </c>
      <c r="G88" s="9" t="s">
        <v>470</v>
      </c>
      <c r="H88" s="9" t="s">
        <v>1106</v>
      </c>
      <c r="I88" s="3"/>
      <c r="J88" s="3"/>
      <c r="K88" s="9"/>
    </row>
    <row r="89" ht="15.75" customHeight="1">
      <c r="A89" s="10" t="s">
        <v>12</v>
      </c>
      <c r="B89" s="10" t="s">
        <v>82</v>
      </c>
      <c r="C89" s="10" t="s">
        <v>1590</v>
      </c>
      <c r="D89" s="11" t="str">
        <f t="shared" si="1"/>
        <v>Abrir anúncio ↗</v>
      </c>
      <c r="E89" s="12" t="s">
        <v>1594</v>
      </c>
      <c r="F89" s="10" t="s">
        <v>86</v>
      </c>
      <c r="G89" s="12" t="s">
        <v>470</v>
      </c>
      <c r="H89" s="12" t="s">
        <v>1106</v>
      </c>
      <c r="I89" s="10"/>
      <c r="J89" s="10"/>
      <c r="K89" s="12"/>
    </row>
    <row r="90" ht="15.75" customHeight="1">
      <c r="A90" s="3" t="s">
        <v>12</v>
      </c>
      <c r="B90" s="3" t="s">
        <v>82</v>
      </c>
      <c r="C90" s="3" t="s">
        <v>1602</v>
      </c>
      <c r="D90" s="8" t="str">
        <f t="shared" si="1"/>
        <v>Abrir anúncio ↗</v>
      </c>
      <c r="E90" s="9" t="s">
        <v>1606</v>
      </c>
      <c r="F90" s="3" t="s">
        <v>29</v>
      </c>
      <c r="G90" s="9" t="s">
        <v>470</v>
      </c>
      <c r="H90" s="9" t="s">
        <v>472</v>
      </c>
      <c r="I90" s="3"/>
      <c r="J90" s="3"/>
      <c r="K90" s="9"/>
    </row>
    <row r="91" ht="15.75" customHeight="1">
      <c r="A91" s="10" t="s">
        <v>12</v>
      </c>
      <c r="B91" s="10" t="s">
        <v>82</v>
      </c>
      <c r="C91" s="10" t="s">
        <v>1613</v>
      </c>
      <c r="D91" s="11" t="str">
        <f t="shared" si="1"/>
        <v>Abrir anúncio ↗</v>
      </c>
      <c r="E91" s="12" t="s">
        <v>1616</v>
      </c>
      <c r="F91" s="10" t="s">
        <v>29</v>
      </c>
      <c r="G91" s="12" t="s">
        <v>470</v>
      </c>
      <c r="H91" s="12" t="s">
        <v>519</v>
      </c>
      <c r="I91" s="10"/>
      <c r="J91" s="10"/>
      <c r="K91" s="12"/>
    </row>
    <row r="92" ht="15.75" customHeight="1">
      <c r="A92" s="3" t="s">
        <v>12</v>
      </c>
      <c r="B92" s="3" t="s">
        <v>82</v>
      </c>
      <c r="C92" s="3" t="s">
        <v>1623</v>
      </c>
      <c r="D92" s="8" t="str">
        <f t="shared" si="1"/>
        <v>Abrir anúncio ↗</v>
      </c>
      <c r="E92" s="9" t="s">
        <v>1625</v>
      </c>
      <c r="F92" s="3" t="s">
        <v>86</v>
      </c>
      <c r="G92" s="9" t="s">
        <v>470</v>
      </c>
      <c r="H92" s="9" t="s">
        <v>472</v>
      </c>
      <c r="I92" s="3"/>
      <c r="J92" s="3"/>
      <c r="K92" s="9"/>
    </row>
    <row r="93" ht="15.75" customHeight="1">
      <c r="A93" s="10" t="s">
        <v>12</v>
      </c>
      <c r="B93" s="10" t="s">
        <v>82</v>
      </c>
      <c r="C93" s="10" t="s">
        <v>1634</v>
      </c>
      <c r="D93" s="11" t="str">
        <f t="shared" si="1"/>
        <v>Abrir anúncio ↗</v>
      </c>
      <c r="E93" s="12" t="s">
        <v>1639</v>
      </c>
      <c r="F93" s="10" t="s">
        <v>86</v>
      </c>
      <c r="G93" s="12" t="s">
        <v>470</v>
      </c>
      <c r="H93" s="12" t="s">
        <v>472</v>
      </c>
      <c r="I93" s="10"/>
      <c r="J93" s="10"/>
      <c r="K93" s="12"/>
    </row>
    <row r="94" ht="15.75" customHeight="1">
      <c r="A94" s="3" t="s">
        <v>12</v>
      </c>
      <c r="B94" s="3" t="s">
        <v>82</v>
      </c>
      <c r="C94" s="3" t="s">
        <v>1644</v>
      </c>
      <c r="D94" s="8" t="str">
        <f t="shared" si="1"/>
        <v>Abrir anúncio ↗</v>
      </c>
      <c r="E94" s="9" t="s">
        <v>1649</v>
      </c>
      <c r="F94" s="3" t="s">
        <v>29</v>
      </c>
      <c r="G94" s="9" t="s">
        <v>470</v>
      </c>
      <c r="H94" s="9" t="s">
        <v>771</v>
      </c>
      <c r="I94" s="3"/>
      <c r="J94" s="3"/>
      <c r="K94" s="9"/>
    </row>
    <row r="95" ht="15.75" customHeight="1">
      <c r="A95" s="10" t="s">
        <v>12</v>
      </c>
      <c r="B95" s="10" t="s">
        <v>82</v>
      </c>
      <c r="C95" s="10" t="s">
        <v>1660</v>
      </c>
      <c r="D95" s="11" t="str">
        <f t="shared" si="1"/>
        <v>Abrir anúncio ↗</v>
      </c>
      <c r="E95" s="12" t="s">
        <v>1663</v>
      </c>
      <c r="F95" s="10" t="s">
        <v>86</v>
      </c>
      <c r="G95" s="12" t="s">
        <v>470</v>
      </c>
      <c r="H95" s="12" t="s">
        <v>472</v>
      </c>
      <c r="I95" s="10"/>
      <c r="J95" s="10"/>
      <c r="K95" s="12"/>
    </row>
    <row r="96" ht="15.75" customHeight="1">
      <c r="A96" s="3" t="s">
        <v>12</v>
      </c>
      <c r="B96" s="3" t="s">
        <v>82</v>
      </c>
      <c r="C96" s="3" t="s">
        <v>1672</v>
      </c>
      <c r="D96" s="8" t="str">
        <f t="shared" si="1"/>
        <v>Abrir anúncio ↗</v>
      </c>
      <c r="E96" s="9" t="s">
        <v>1675</v>
      </c>
      <c r="F96" s="3" t="s">
        <v>86</v>
      </c>
      <c r="G96" s="9" t="s">
        <v>470</v>
      </c>
      <c r="H96" s="9" t="s">
        <v>1106</v>
      </c>
      <c r="I96" s="3"/>
      <c r="J96" s="3"/>
      <c r="K96" s="9"/>
    </row>
    <row r="97" ht="15.75" customHeight="1">
      <c r="A97" s="10" t="s">
        <v>12</v>
      </c>
      <c r="B97" s="10" t="s">
        <v>82</v>
      </c>
      <c r="C97" s="10" t="s">
        <v>1681</v>
      </c>
      <c r="D97" s="11" t="str">
        <f t="shared" si="1"/>
        <v>Abrir anúncio ↗</v>
      </c>
      <c r="E97" s="12" t="s">
        <v>1685</v>
      </c>
      <c r="F97" s="10" t="s">
        <v>86</v>
      </c>
      <c r="G97" s="12" t="s">
        <v>470</v>
      </c>
      <c r="H97" s="12" t="s">
        <v>472</v>
      </c>
      <c r="I97" s="10"/>
      <c r="J97" s="10"/>
      <c r="K97" s="12"/>
    </row>
    <row r="98" ht="15.75" customHeight="1">
      <c r="A98" s="3" t="s">
        <v>12</v>
      </c>
      <c r="B98" s="3" t="s">
        <v>82</v>
      </c>
      <c r="C98" s="3" t="s">
        <v>1692</v>
      </c>
      <c r="D98" s="8" t="str">
        <f t="shared" si="1"/>
        <v>Abrir anúncio ↗</v>
      </c>
      <c r="E98" s="9" t="s">
        <v>1696</v>
      </c>
      <c r="F98" s="3" t="s">
        <v>86</v>
      </c>
      <c r="G98" s="9" t="s">
        <v>470</v>
      </c>
      <c r="H98" s="9" t="s">
        <v>584</v>
      </c>
      <c r="I98" s="3"/>
      <c r="J98" s="3"/>
      <c r="K98" s="9"/>
    </row>
    <row r="99" ht="15.75" customHeight="1">
      <c r="A99" s="10" t="s">
        <v>12</v>
      </c>
      <c r="B99" s="10" t="s">
        <v>82</v>
      </c>
      <c r="C99" s="10" t="s">
        <v>1703</v>
      </c>
      <c r="D99" s="11" t="str">
        <f t="shared" si="1"/>
        <v>Abrir anúncio ↗</v>
      </c>
      <c r="E99" s="12" t="s">
        <v>1706</v>
      </c>
      <c r="F99" s="10" t="s">
        <v>86</v>
      </c>
      <c r="G99" s="12" t="s">
        <v>470</v>
      </c>
      <c r="H99" s="12" t="s">
        <v>584</v>
      </c>
      <c r="I99" s="10"/>
      <c r="J99" s="10"/>
      <c r="K99" s="12"/>
    </row>
    <row r="100" ht="15.75" customHeight="1">
      <c r="A100" s="3" t="s">
        <v>12</v>
      </c>
      <c r="B100" s="3" t="s">
        <v>82</v>
      </c>
      <c r="C100" s="3" t="s">
        <v>1713</v>
      </c>
      <c r="D100" s="8" t="str">
        <f t="shared" si="1"/>
        <v>Abrir anúncio ↗</v>
      </c>
      <c r="E100" s="9" t="s">
        <v>1716</v>
      </c>
      <c r="F100" s="3" t="s">
        <v>86</v>
      </c>
      <c r="G100" s="9" t="s">
        <v>470</v>
      </c>
      <c r="H100" s="9" t="s">
        <v>584</v>
      </c>
      <c r="I100" s="3"/>
      <c r="J100" s="3"/>
      <c r="K100" s="9"/>
    </row>
    <row r="101" ht="15.75" customHeight="1">
      <c r="A101" s="10" t="s">
        <v>12</v>
      </c>
      <c r="B101" s="10" t="s">
        <v>82</v>
      </c>
      <c r="C101" s="10" t="s">
        <v>1723</v>
      </c>
      <c r="D101" s="11" t="str">
        <f t="shared" si="1"/>
        <v>Abrir anúncio ↗</v>
      </c>
      <c r="E101" s="12" t="s">
        <v>1726</v>
      </c>
      <c r="F101" s="10" t="s">
        <v>86</v>
      </c>
      <c r="G101" s="12" t="s">
        <v>470</v>
      </c>
      <c r="H101" s="12" t="s">
        <v>472</v>
      </c>
      <c r="I101" s="10"/>
      <c r="J101" s="10"/>
      <c r="K101" s="12"/>
    </row>
    <row r="102" ht="15.75" customHeight="1">
      <c r="A102" s="3" t="s">
        <v>12</v>
      </c>
      <c r="B102" s="3" t="s">
        <v>82</v>
      </c>
      <c r="C102" s="3" t="s">
        <v>1734</v>
      </c>
      <c r="D102" s="8" t="str">
        <f t="shared" si="1"/>
        <v>Abrir anúncio ↗</v>
      </c>
      <c r="E102" s="9" t="s">
        <v>1738</v>
      </c>
      <c r="F102" s="3" t="s">
        <v>86</v>
      </c>
      <c r="G102" s="9" t="s">
        <v>628</v>
      </c>
      <c r="H102" s="9" t="s">
        <v>1741</v>
      </c>
      <c r="I102" s="3"/>
      <c r="J102" s="3"/>
      <c r="K102" s="9"/>
    </row>
    <row r="103" ht="15.75" customHeight="1">
      <c r="A103" s="10" t="s">
        <v>12</v>
      </c>
      <c r="B103" s="10" t="s">
        <v>82</v>
      </c>
      <c r="C103" s="10" t="s">
        <v>1749</v>
      </c>
      <c r="D103" s="11" t="str">
        <f t="shared" si="1"/>
        <v>Abrir anúncio ↗</v>
      </c>
      <c r="E103" s="12" t="s">
        <v>1751</v>
      </c>
      <c r="F103" s="10" t="s">
        <v>29</v>
      </c>
      <c r="G103" s="12" t="s">
        <v>470</v>
      </c>
      <c r="H103" s="12" t="s">
        <v>472</v>
      </c>
      <c r="I103" s="10"/>
      <c r="J103" s="10"/>
      <c r="K103" s="12"/>
    </row>
    <row r="104" ht="15.75" customHeight="1">
      <c r="A104" s="3" t="s">
        <v>12</v>
      </c>
      <c r="B104" s="3" t="s">
        <v>82</v>
      </c>
      <c r="C104" s="3" t="s">
        <v>1760</v>
      </c>
      <c r="D104" s="8" t="str">
        <f t="shared" si="1"/>
        <v>Abrir anúncio ↗</v>
      </c>
      <c r="E104" s="9" t="s">
        <v>1764</v>
      </c>
      <c r="F104" s="3" t="s">
        <v>86</v>
      </c>
      <c r="G104" s="9" t="s">
        <v>470</v>
      </c>
      <c r="H104" s="9" t="s">
        <v>584</v>
      </c>
      <c r="I104" s="3"/>
      <c r="J104" s="3"/>
      <c r="K104" s="9"/>
    </row>
    <row r="105" ht="15.75" customHeight="1">
      <c r="A105" s="10" t="s">
        <v>12</v>
      </c>
      <c r="B105" s="10" t="s">
        <v>82</v>
      </c>
      <c r="C105" s="10" t="s">
        <v>1771</v>
      </c>
      <c r="D105" s="11" t="str">
        <f t="shared" si="1"/>
        <v>Abrir anúncio ↗</v>
      </c>
      <c r="E105" s="12" t="s">
        <v>1774</v>
      </c>
      <c r="F105" s="10" t="s">
        <v>86</v>
      </c>
      <c r="G105" s="12" t="s">
        <v>470</v>
      </c>
      <c r="H105" s="12" t="s">
        <v>584</v>
      </c>
      <c r="I105" s="10"/>
      <c r="J105" s="10"/>
      <c r="K105" s="12"/>
    </row>
    <row r="106" ht="15.75" customHeight="1">
      <c r="A106" s="3" t="s">
        <v>12</v>
      </c>
      <c r="B106" s="3" t="s">
        <v>82</v>
      </c>
      <c r="C106" s="3" t="s">
        <v>1782</v>
      </c>
      <c r="D106" s="8" t="str">
        <f t="shared" si="1"/>
        <v>Abrir anúncio ↗</v>
      </c>
      <c r="E106" s="9" t="s">
        <v>1785</v>
      </c>
      <c r="F106" s="3" t="s">
        <v>86</v>
      </c>
      <c r="G106" s="9" t="s">
        <v>470</v>
      </c>
      <c r="H106" s="9" t="s">
        <v>584</v>
      </c>
      <c r="I106" s="3"/>
      <c r="J106" s="3"/>
      <c r="K106" s="9"/>
    </row>
    <row r="107" ht="15.75" customHeight="1">
      <c r="A107" s="10" t="s">
        <v>12</v>
      </c>
      <c r="B107" s="10" t="s">
        <v>82</v>
      </c>
      <c r="C107" s="10" t="s">
        <v>1794</v>
      </c>
      <c r="D107" s="11" t="str">
        <f t="shared" si="1"/>
        <v>Abrir anúncio ↗</v>
      </c>
      <c r="E107" s="12" t="s">
        <v>1796</v>
      </c>
      <c r="F107" s="10" t="s">
        <v>86</v>
      </c>
      <c r="G107" s="12" t="s">
        <v>470</v>
      </c>
      <c r="H107" s="12" t="s">
        <v>584</v>
      </c>
      <c r="I107" s="10"/>
      <c r="J107" s="10"/>
      <c r="K107" s="12"/>
    </row>
    <row r="108" ht="15.75" customHeight="1">
      <c r="A108" s="3" t="s">
        <v>12</v>
      </c>
      <c r="B108" s="3" t="s">
        <v>82</v>
      </c>
      <c r="C108" s="3" t="s">
        <v>1805</v>
      </c>
      <c r="D108" s="8" t="str">
        <f t="shared" si="1"/>
        <v>Abrir anúncio ↗</v>
      </c>
      <c r="E108" s="9" t="s">
        <v>1806</v>
      </c>
      <c r="F108" s="3" t="s">
        <v>86</v>
      </c>
      <c r="G108" s="9" t="s">
        <v>470</v>
      </c>
      <c r="H108" s="9" t="s">
        <v>584</v>
      </c>
      <c r="I108" s="3"/>
      <c r="J108" s="3"/>
      <c r="K108" s="9"/>
    </row>
    <row r="109" ht="15.75" customHeight="1">
      <c r="A109" s="10" t="s">
        <v>12</v>
      </c>
      <c r="B109" s="10" t="s">
        <v>82</v>
      </c>
      <c r="C109" s="10" t="s">
        <v>1816</v>
      </c>
      <c r="D109" s="11" t="str">
        <f t="shared" si="1"/>
        <v>Abrir anúncio ↗</v>
      </c>
      <c r="E109" s="12" t="s">
        <v>1818</v>
      </c>
      <c r="F109" s="10" t="s">
        <v>86</v>
      </c>
      <c r="G109" s="12" t="s">
        <v>470</v>
      </c>
      <c r="H109" s="12" t="s">
        <v>472</v>
      </c>
      <c r="I109" s="10"/>
      <c r="J109" s="10"/>
      <c r="K109" s="12"/>
    </row>
    <row r="110" ht="15.75" customHeight="1">
      <c r="A110" s="3" t="s">
        <v>12</v>
      </c>
      <c r="B110" s="3" t="s">
        <v>82</v>
      </c>
      <c r="C110" s="3" t="s">
        <v>1827</v>
      </c>
      <c r="D110" s="8" t="str">
        <f t="shared" si="1"/>
        <v>Abrir anúncio ↗</v>
      </c>
      <c r="E110" s="9" t="s">
        <v>1828</v>
      </c>
      <c r="F110" s="3" t="s">
        <v>86</v>
      </c>
      <c r="G110" s="9" t="s">
        <v>470</v>
      </c>
      <c r="H110" s="9" t="s">
        <v>584</v>
      </c>
      <c r="I110" s="3"/>
      <c r="J110" s="3"/>
      <c r="K110" s="9"/>
    </row>
    <row r="111" ht="15.75" customHeight="1">
      <c r="A111" s="10" t="s">
        <v>12</v>
      </c>
      <c r="B111" s="10" t="s">
        <v>82</v>
      </c>
      <c r="C111" s="10" t="s">
        <v>1837</v>
      </c>
      <c r="D111" s="11" t="str">
        <f t="shared" si="1"/>
        <v>Abrir anúncio ↗</v>
      </c>
      <c r="E111" s="12" t="s">
        <v>1838</v>
      </c>
      <c r="F111" s="10" t="s">
        <v>86</v>
      </c>
      <c r="G111" s="12" t="s">
        <v>470</v>
      </c>
      <c r="H111" s="12" t="s">
        <v>472</v>
      </c>
      <c r="I111" s="10"/>
      <c r="J111" s="10"/>
      <c r="K111" s="12"/>
    </row>
    <row r="112" ht="15.75" customHeight="1">
      <c r="A112" s="3" t="s">
        <v>12</v>
      </c>
      <c r="B112" s="3" t="s">
        <v>82</v>
      </c>
      <c r="C112" s="3" t="s">
        <v>1846</v>
      </c>
      <c r="D112" s="8" t="str">
        <f t="shared" si="1"/>
        <v>Abrir anúncio ↗</v>
      </c>
      <c r="E112" s="9" t="s">
        <v>1847</v>
      </c>
      <c r="F112" s="3" t="s">
        <v>86</v>
      </c>
      <c r="G112" s="9" t="s">
        <v>470</v>
      </c>
      <c r="H112" s="9" t="s">
        <v>584</v>
      </c>
      <c r="I112" s="3"/>
      <c r="J112" s="3"/>
      <c r="K112" s="9"/>
    </row>
    <row r="113" ht="15.75" customHeight="1">
      <c r="A113" s="10" t="s">
        <v>12</v>
      </c>
      <c r="B113" s="10" t="s">
        <v>82</v>
      </c>
      <c r="C113" s="10" t="s">
        <v>1855</v>
      </c>
      <c r="D113" s="11" t="str">
        <f t="shared" si="1"/>
        <v>Abrir anúncio ↗</v>
      </c>
      <c r="E113" s="12" t="s">
        <v>1858</v>
      </c>
      <c r="F113" s="10" t="s">
        <v>86</v>
      </c>
      <c r="G113" s="12" t="s">
        <v>1054</v>
      </c>
      <c r="H113" s="12" t="s">
        <v>1862</v>
      </c>
      <c r="I113" s="10"/>
      <c r="J113" s="10"/>
      <c r="K113" s="12"/>
    </row>
    <row r="114" ht="15.75" customHeight="1">
      <c r="A114" s="3" t="s">
        <v>12</v>
      </c>
      <c r="B114" s="3" t="s">
        <v>82</v>
      </c>
      <c r="C114" s="3" t="s">
        <v>1867</v>
      </c>
      <c r="D114" s="8" t="str">
        <f t="shared" si="1"/>
        <v>Abrir anúncio ↗</v>
      </c>
      <c r="E114" s="9" t="s">
        <v>1870</v>
      </c>
      <c r="F114" s="3" t="s">
        <v>29</v>
      </c>
      <c r="G114" s="9" t="s">
        <v>1054</v>
      </c>
      <c r="H114" s="9" t="s">
        <v>1651</v>
      </c>
      <c r="I114" s="3"/>
      <c r="J114" s="3"/>
      <c r="K114" s="9"/>
    </row>
    <row r="115" ht="15.75" customHeight="1">
      <c r="A115" s="10" t="s">
        <v>12</v>
      </c>
      <c r="B115" s="10" t="s">
        <v>82</v>
      </c>
      <c r="C115" s="10" t="s">
        <v>1878</v>
      </c>
      <c r="D115" s="11" t="str">
        <f t="shared" si="1"/>
        <v>Abrir anúncio ↗</v>
      </c>
      <c r="E115" s="12" t="s">
        <v>1880</v>
      </c>
      <c r="F115" s="10" t="s">
        <v>86</v>
      </c>
      <c r="G115" s="12" t="s">
        <v>1054</v>
      </c>
      <c r="H115" s="12" t="s">
        <v>1056</v>
      </c>
      <c r="I115" s="10"/>
      <c r="J115" s="10"/>
      <c r="K115" s="12"/>
    </row>
    <row r="116" ht="15.75" customHeight="1">
      <c r="A116" s="3" t="s">
        <v>12</v>
      </c>
      <c r="B116" s="3" t="s">
        <v>82</v>
      </c>
      <c r="C116" s="3" t="s">
        <v>1887</v>
      </c>
      <c r="D116" s="8" t="str">
        <f t="shared" si="1"/>
        <v>Abrir anúncio ↗</v>
      </c>
      <c r="E116" s="9" t="s">
        <v>1890</v>
      </c>
      <c r="F116" s="3" t="s">
        <v>86</v>
      </c>
      <c r="G116" s="9" t="s">
        <v>1054</v>
      </c>
      <c r="H116" s="9" t="s">
        <v>1895</v>
      </c>
      <c r="I116" s="3"/>
      <c r="J116" s="3"/>
      <c r="K116" s="9"/>
    </row>
    <row r="117" ht="15.75" customHeight="1">
      <c r="A117" s="10" t="s">
        <v>12</v>
      </c>
      <c r="B117" s="10" t="s">
        <v>82</v>
      </c>
      <c r="C117" s="10" t="s">
        <v>1900</v>
      </c>
      <c r="D117" s="11" t="str">
        <f t="shared" si="1"/>
        <v>Abrir anúncio ↗</v>
      </c>
      <c r="E117" s="12" t="s">
        <v>1903</v>
      </c>
      <c r="F117" s="10" t="s">
        <v>86</v>
      </c>
      <c r="G117" s="12" t="s">
        <v>1054</v>
      </c>
      <c r="H117" s="12" t="s">
        <v>1056</v>
      </c>
      <c r="I117" s="10"/>
      <c r="J117" s="10"/>
      <c r="K117" s="12"/>
    </row>
    <row r="118" ht="15.75" customHeight="1">
      <c r="A118" s="3" t="s">
        <v>12</v>
      </c>
      <c r="B118" s="3" t="s">
        <v>82</v>
      </c>
      <c r="C118" s="3" t="s">
        <v>1909</v>
      </c>
      <c r="D118" s="8" t="str">
        <f t="shared" si="1"/>
        <v>Abrir anúncio ↗</v>
      </c>
      <c r="E118" s="9" t="s">
        <v>1912</v>
      </c>
      <c r="F118" s="3" t="s">
        <v>86</v>
      </c>
      <c r="G118" s="9" t="s">
        <v>1054</v>
      </c>
      <c r="H118" s="9" t="s">
        <v>1056</v>
      </c>
      <c r="I118" s="3"/>
      <c r="J118" s="3"/>
      <c r="K118" s="9"/>
    </row>
    <row r="119" ht="15.75" customHeight="1">
      <c r="A119" s="10" t="s">
        <v>12</v>
      </c>
      <c r="B119" s="10" t="s">
        <v>82</v>
      </c>
      <c r="C119" s="10" t="s">
        <v>1917</v>
      </c>
      <c r="D119" s="11" t="str">
        <f t="shared" si="1"/>
        <v>Abrir anúncio ↗</v>
      </c>
      <c r="E119" s="12" t="s">
        <v>1921</v>
      </c>
      <c r="F119" s="10" t="s">
        <v>86</v>
      </c>
      <c r="G119" s="12" t="s">
        <v>1054</v>
      </c>
      <c r="H119" s="12" t="s">
        <v>1923</v>
      </c>
      <c r="I119" s="10"/>
      <c r="J119" s="10"/>
      <c r="K119" s="12"/>
    </row>
    <row r="120" ht="15.75" customHeight="1">
      <c r="A120" s="3" t="s">
        <v>12</v>
      </c>
      <c r="B120" s="3" t="s">
        <v>82</v>
      </c>
      <c r="C120" s="3" t="s">
        <v>1928</v>
      </c>
      <c r="D120" s="8" t="str">
        <f t="shared" si="1"/>
        <v>Abrir anúncio ↗</v>
      </c>
      <c r="E120" s="9" t="s">
        <v>1931</v>
      </c>
      <c r="F120" s="3" t="s">
        <v>86</v>
      </c>
      <c r="G120" s="9" t="s">
        <v>1054</v>
      </c>
      <c r="H120" s="9" t="s">
        <v>1750</v>
      </c>
      <c r="I120" s="3"/>
      <c r="J120" s="3"/>
      <c r="K120" s="9"/>
    </row>
    <row r="121" ht="15.75" customHeight="1">
      <c r="A121" s="10" t="s">
        <v>12</v>
      </c>
      <c r="B121" s="10" t="s">
        <v>82</v>
      </c>
      <c r="C121" s="10" t="s">
        <v>1939</v>
      </c>
      <c r="D121" s="11" t="str">
        <f t="shared" si="1"/>
        <v>Abrir anúncio ↗</v>
      </c>
      <c r="E121" s="12" t="s">
        <v>1941</v>
      </c>
      <c r="F121" s="10" t="s">
        <v>86</v>
      </c>
      <c r="G121" s="12" t="s">
        <v>1054</v>
      </c>
      <c r="H121" s="12" t="s">
        <v>1519</v>
      </c>
      <c r="I121" s="10"/>
      <c r="J121" s="10"/>
      <c r="K121" s="12"/>
    </row>
    <row r="122" ht="15.75" customHeight="1">
      <c r="A122" s="3" t="s">
        <v>12</v>
      </c>
      <c r="B122" s="3" t="s">
        <v>82</v>
      </c>
      <c r="C122" s="3" t="s">
        <v>1948</v>
      </c>
      <c r="D122" s="8" t="str">
        <f t="shared" si="1"/>
        <v>Abrir anúncio ↗</v>
      </c>
      <c r="E122" s="9" t="s">
        <v>1952</v>
      </c>
      <c r="F122" s="3" t="s">
        <v>86</v>
      </c>
      <c r="G122" s="9" t="s">
        <v>1054</v>
      </c>
      <c r="H122" s="9" t="s">
        <v>1895</v>
      </c>
      <c r="I122" s="3"/>
      <c r="J122" s="3"/>
      <c r="K122" s="9"/>
    </row>
    <row r="123" ht="15.75" customHeight="1">
      <c r="A123" s="10" t="s">
        <v>12</v>
      </c>
      <c r="B123" s="10" t="s">
        <v>82</v>
      </c>
      <c r="C123" s="10" t="s">
        <v>1963</v>
      </c>
      <c r="D123" s="11" t="str">
        <f t="shared" si="1"/>
        <v>Abrir anúncio ↗</v>
      </c>
      <c r="E123" s="12" t="s">
        <v>1966</v>
      </c>
      <c r="F123" s="10" t="s">
        <v>86</v>
      </c>
      <c r="G123" s="12" t="s">
        <v>1054</v>
      </c>
      <c r="H123" s="12" t="s">
        <v>1519</v>
      </c>
      <c r="I123" s="10"/>
      <c r="J123" s="10"/>
      <c r="K123" s="12"/>
    </row>
    <row r="124" ht="15.75" customHeight="1">
      <c r="A124" s="3" t="s">
        <v>12</v>
      </c>
      <c r="B124" s="3" t="s">
        <v>82</v>
      </c>
      <c r="C124" s="3" t="s">
        <v>1976</v>
      </c>
      <c r="D124" s="8" t="str">
        <f t="shared" si="1"/>
        <v>Abrir anúncio ↗</v>
      </c>
      <c r="E124" s="9" t="s">
        <v>1978</v>
      </c>
      <c r="F124" s="3" t="s">
        <v>86</v>
      </c>
      <c r="G124" s="9" t="s">
        <v>1054</v>
      </c>
      <c r="H124" s="9" t="s">
        <v>1519</v>
      </c>
      <c r="I124" s="3"/>
      <c r="J124" s="3"/>
      <c r="K124" s="9"/>
    </row>
    <row r="125" ht="15.75" customHeight="1">
      <c r="A125" s="10" t="s">
        <v>12</v>
      </c>
      <c r="B125" s="10" t="s">
        <v>82</v>
      </c>
      <c r="C125" s="10" t="s">
        <v>1985</v>
      </c>
      <c r="D125" s="11" t="str">
        <f t="shared" si="1"/>
        <v>Abrir anúncio ↗</v>
      </c>
      <c r="E125" s="12" t="s">
        <v>1987</v>
      </c>
      <c r="F125" s="10" t="s">
        <v>86</v>
      </c>
      <c r="G125" s="12" t="s">
        <v>1054</v>
      </c>
      <c r="H125" s="12" t="s">
        <v>1862</v>
      </c>
      <c r="I125" s="10"/>
      <c r="J125" s="10"/>
      <c r="K125" s="12"/>
    </row>
    <row r="126" ht="15.75" customHeight="1">
      <c r="A126" s="3" t="s">
        <v>12</v>
      </c>
      <c r="B126" s="3" t="s">
        <v>82</v>
      </c>
      <c r="C126" s="3" t="s">
        <v>1994</v>
      </c>
      <c r="D126" s="8" t="str">
        <f t="shared" si="1"/>
        <v>Abrir anúncio ↗</v>
      </c>
      <c r="E126" s="9" t="s">
        <v>1998</v>
      </c>
      <c r="F126" s="3" t="s">
        <v>29</v>
      </c>
      <c r="G126" s="9" t="s">
        <v>1054</v>
      </c>
      <c r="H126" s="9" t="s">
        <v>1056</v>
      </c>
      <c r="I126" s="3"/>
      <c r="J126" s="3"/>
      <c r="K126" s="9"/>
    </row>
    <row r="127" ht="15.75" customHeight="1">
      <c r="A127" s="10" t="s">
        <v>12</v>
      </c>
      <c r="B127" s="10" t="s">
        <v>82</v>
      </c>
      <c r="C127" s="10" t="s">
        <v>2006</v>
      </c>
      <c r="D127" s="11" t="str">
        <f t="shared" si="1"/>
        <v>Abrir anúncio ↗</v>
      </c>
      <c r="E127" s="12" t="s">
        <v>2010</v>
      </c>
      <c r="F127" s="10" t="s">
        <v>86</v>
      </c>
      <c r="G127" s="12" t="s">
        <v>965</v>
      </c>
      <c r="H127" s="12" t="s">
        <v>1897</v>
      </c>
      <c r="I127" s="10"/>
      <c r="J127" s="10"/>
      <c r="K127" s="12"/>
    </row>
    <row r="128" ht="15.75" customHeight="1">
      <c r="A128" s="3" t="s">
        <v>12</v>
      </c>
      <c r="B128" s="3" t="s">
        <v>82</v>
      </c>
      <c r="C128" s="3" t="s">
        <v>2016</v>
      </c>
      <c r="D128" s="8" t="str">
        <f t="shared" si="1"/>
        <v>Abrir anúncio ↗</v>
      </c>
      <c r="E128" s="9" t="s">
        <v>2019</v>
      </c>
      <c r="F128" s="3" t="s">
        <v>86</v>
      </c>
      <c r="G128" s="9" t="s">
        <v>965</v>
      </c>
      <c r="H128" s="9" t="s">
        <v>1676</v>
      </c>
      <c r="I128" s="3"/>
      <c r="J128" s="3"/>
      <c r="K128" s="9"/>
    </row>
    <row r="129" ht="15.75" customHeight="1">
      <c r="A129" s="10" t="s">
        <v>12</v>
      </c>
      <c r="B129" s="10" t="s">
        <v>82</v>
      </c>
      <c r="C129" s="10" t="s">
        <v>2026</v>
      </c>
      <c r="D129" s="11" t="str">
        <f t="shared" si="1"/>
        <v>Abrir anúncio ↗</v>
      </c>
      <c r="E129" s="12" t="s">
        <v>2029</v>
      </c>
      <c r="F129" s="10" t="s">
        <v>86</v>
      </c>
      <c r="G129" s="12" t="s">
        <v>991</v>
      </c>
      <c r="H129" s="12" t="s">
        <v>993</v>
      </c>
      <c r="I129" s="10"/>
      <c r="J129" s="10"/>
      <c r="K129" s="12"/>
    </row>
    <row r="130" ht="15.75" customHeight="1">
      <c r="A130" s="3" t="s">
        <v>12</v>
      </c>
      <c r="B130" s="3" t="s">
        <v>82</v>
      </c>
      <c r="C130" s="3" t="s">
        <v>2035</v>
      </c>
      <c r="D130" s="8" t="str">
        <f t="shared" si="1"/>
        <v>Abrir anúncio ↗</v>
      </c>
      <c r="E130" s="9" t="s">
        <v>2037</v>
      </c>
      <c r="F130" s="3" t="s">
        <v>86</v>
      </c>
      <c r="G130" s="9" t="s">
        <v>965</v>
      </c>
      <c r="H130" s="9" t="s">
        <v>1934</v>
      </c>
      <c r="I130" s="3"/>
      <c r="J130" s="3"/>
      <c r="K130" s="9"/>
    </row>
    <row r="131" ht="15.75" customHeight="1">
      <c r="A131" s="10" t="s">
        <v>12</v>
      </c>
      <c r="B131" s="10" t="s">
        <v>82</v>
      </c>
      <c r="C131" s="10" t="s">
        <v>2046</v>
      </c>
      <c r="D131" s="11" t="str">
        <f t="shared" si="1"/>
        <v>Abrir anúncio ↗</v>
      </c>
      <c r="E131" s="12" t="s">
        <v>2048</v>
      </c>
      <c r="F131" s="10" t="s">
        <v>86</v>
      </c>
      <c r="G131" s="12" t="s">
        <v>1054</v>
      </c>
      <c r="H131" s="12" t="s">
        <v>1056</v>
      </c>
      <c r="I131" s="10"/>
      <c r="J131" s="10"/>
      <c r="K131" s="12"/>
    </row>
    <row r="132" ht="15.75" customHeight="1">
      <c r="A132" s="3" t="s">
        <v>12</v>
      </c>
      <c r="B132" s="3" t="s">
        <v>82</v>
      </c>
      <c r="C132" s="3" t="s">
        <v>2055</v>
      </c>
      <c r="D132" s="8" t="str">
        <f t="shared" si="1"/>
        <v>Abrir anúncio ↗</v>
      </c>
      <c r="E132" s="9" t="s">
        <v>2060</v>
      </c>
      <c r="F132" s="3" t="s">
        <v>86</v>
      </c>
      <c r="G132" s="9" t="s">
        <v>470</v>
      </c>
      <c r="H132" s="9" t="s">
        <v>472</v>
      </c>
      <c r="I132" s="3"/>
      <c r="J132" s="3"/>
      <c r="K132" s="9"/>
    </row>
    <row r="133" ht="15.75" customHeight="1">
      <c r="A133" s="10" t="s">
        <v>12</v>
      </c>
      <c r="B133" s="10" t="s">
        <v>82</v>
      </c>
      <c r="C133" s="10" t="s">
        <v>2066</v>
      </c>
      <c r="D133" s="11" t="str">
        <f t="shared" si="1"/>
        <v>Abrir anúncio ↗</v>
      </c>
      <c r="E133" s="12" t="s">
        <v>2069</v>
      </c>
      <c r="F133" s="10" t="s">
        <v>86</v>
      </c>
      <c r="G133" s="12" t="s">
        <v>470</v>
      </c>
      <c r="H133" s="12" t="s">
        <v>584</v>
      </c>
      <c r="I133" s="10"/>
      <c r="J133" s="10"/>
      <c r="K133" s="12"/>
    </row>
    <row r="134" ht="15.75" customHeight="1">
      <c r="A134" s="3" t="s">
        <v>12</v>
      </c>
      <c r="B134" s="3" t="s">
        <v>82</v>
      </c>
      <c r="C134" s="3" t="s">
        <v>2073</v>
      </c>
      <c r="D134" s="8" t="str">
        <f t="shared" si="1"/>
        <v>Abrir anúncio ↗</v>
      </c>
      <c r="E134" s="9" t="s">
        <v>2076</v>
      </c>
      <c r="F134" s="3" t="s">
        <v>86</v>
      </c>
      <c r="G134" s="9" t="s">
        <v>470</v>
      </c>
      <c r="H134" s="9" t="s">
        <v>584</v>
      </c>
      <c r="I134" s="3"/>
      <c r="J134" s="3"/>
      <c r="K134" s="9"/>
    </row>
    <row r="135" ht="15.75" customHeight="1">
      <c r="A135" s="10" t="s">
        <v>12</v>
      </c>
      <c r="B135" s="10" t="s">
        <v>82</v>
      </c>
      <c r="C135" s="10" t="s">
        <v>2081</v>
      </c>
      <c r="D135" s="11" t="str">
        <f t="shared" si="1"/>
        <v>Abrir anúncio ↗</v>
      </c>
      <c r="E135" s="12" t="s">
        <v>2084</v>
      </c>
      <c r="F135" s="10" t="s">
        <v>86</v>
      </c>
      <c r="G135" s="12" t="s">
        <v>470</v>
      </c>
      <c r="H135" s="12" t="s">
        <v>472</v>
      </c>
      <c r="I135" s="10"/>
      <c r="J135" s="10"/>
      <c r="K135" s="12"/>
    </row>
    <row r="136" ht="15.75" customHeight="1">
      <c r="A136" s="3" t="s">
        <v>12</v>
      </c>
      <c r="B136" s="3" t="s">
        <v>82</v>
      </c>
      <c r="C136" s="3" t="s">
        <v>2089</v>
      </c>
      <c r="D136" s="8" t="str">
        <f t="shared" si="1"/>
        <v>Abrir anúncio ↗</v>
      </c>
      <c r="E136" s="9" t="s">
        <v>2091</v>
      </c>
      <c r="F136" s="3" t="s">
        <v>86</v>
      </c>
      <c r="G136" s="9" t="s">
        <v>470</v>
      </c>
      <c r="H136" s="9" t="s">
        <v>472</v>
      </c>
      <c r="I136" s="3"/>
      <c r="J136" s="3"/>
      <c r="K136" s="9"/>
    </row>
    <row r="137" ht="15.75" customHeight="1">
      <c r="A137" s="10" t="s">
        <v>12</v>
      </c>
      <c r="B137" s="10" t="s">
        <v>82</v>
      </c>
      <c r="C137" s="10" t="s">
        <v>2098</v>
      </c>
      <c r="D137" s="11" t="str">
        <f t="shared" si="1"/>
        <v>Abrir anúncio ↗</v>
      </c>
      <c r="E137" s="12" t="s">
        <v>2100</v>
      </c>
      <c r="F137" s="10" t="s">
        <v>86</v>
      </c>
      <c r="G137" s="12" t="s">
        <v>470</v>
      </c>
      <c r="H137" s="12" t="s">
        <v>519</v>
      </c>
      <c r="I137" s="10"/>
      <c r="J137" s="10"/>
      <c r="K137" s="12"/>
    </row>
    <row r="138" ht="15.75" customHeight="1">
      <c r="A138" s="3" t="s">
        <v>12</v>
      </c>
      <c r="B138" s="3" t="s">
        <v>82</v>
      </c>
      <c r="C138" s="3" t="s">
        <v>2108</v>
      </c>
      <c r="D138" s="8" t="str">
        <f t="shared" si="1"/>
        <v>Abrir anúncio ↗</v>
      </c>
      <c r="E138" s="9" t="s">
        <v>2111</v>
      </c>
      <c r="F138" s="3" t="s">
        <v>86</v>
      </c>
      <c r="G138" s="9" t="s">
        <v>470</v>
      </c>
      <c r="H138" s="9" t="s">
        <v>472</v>
      </c>
      <c r="I138" s="3"/>
      <c r="J138" s="3"/>
      <c r="K138" s="9"/>
    </row>
    <row r="139" ht="15.75" customHeight="1">
      <c r="A139" s="10" t="s">
        <v>12</v>
      </c>
      <c r="B139" s="10" t="s">
        <v>82</v>
      </c>
      <c r="C139" s="10" t="s">
        <v>2119</v>
      </c>
      <c r="D139" s="11" t="str">
        <f t="shared" si="1"/>
        <v>Abrir anúncio ↗</v>
      </c>
      <c r="E139" s="12" t="s">
        <v>2121</v>
      </c>
      <c r="F139" s="10" t="s">
        <v>86</v>
      </c>
      <c r="G139" s="12" t="s">
        <v>470</v>
      </c>
      <c r="H139" s="12" t="s">
        <v>472</v>
      </c>
      <c r="I139" s="10"/>
      <c r="J139" s="10"/>
      <c r="K139" s="12"/>
    </row>
    <row r="140" ht="15.75" customHeight="1">
      <c r="A140" s="3" t="s">
        <v>12</v>
      </c>
      <c r="B140" s="3" t="s">
        <v>82</v>
      </c>
      <c r="C140" s="3" t="s">
        <v>2128</v>
      </c>
      <c r="D140" s="8" t="str">
        <f t="shared" si="1"/>
        <v>Abrir anúncio ↗</v>
      </c>
      <c r="E140" s="9" t="s">
        <v>2133</v>
      </c>
      <c r="F140" s="3" t="s">
        <v>86</v>
      </c>
      <c r="G140" s="9" t="s">
        <v>965</v>
      </c>
      <c r="H140" s="9" t="s">
        <v>2136</v>
      </c>
      <c r="I140" s="3"/>
      <c r="J140" s="3"/>
      <c r="K140" s="9"/>
    </row>
    <row r="141" ht="15.75" customHeight="1">
      <c r="A141" s="10" t="s">
        <v>12</v>
      </c>
      <c r="B141" s="10" t="s">
        <v>82</v>
      </c>
      <c r="C141" s="10" t="s">
        <v>2140</v>
      </c>
      <c r="D141" s="11" t="str">
        <f t="shared" si="1"/>
        <v>Abrir anúncio ↗</v>
      </c>
      <c r="E141" s="12" t="s">
        <v>2145</v>
      </c>
      <c r="F141" s="10" t="s">
        <v>86</v>
      </c>
      <c r="G141" s="12" t="s">
        <v>2146</v>
      </c>
      <c r="H141" s="12" t="s">
        <v>2148</v>
      </c>
      <c r="I141" s="10"/>
      <c r="J141" s="10"/>
      <c r="K141" s="12"/>
    </row>
    <row r="142" ht="15.75" customHeight="1">
      <c r="A142" s="3" t="s">
        <v>12</v>
      </c>
      <c r="B142" s="3" t="s">
        <v>82</v>
      </c>
      <c r="C142" s="3" t="s">
        <v>2154</v>
      </c>
      <c r="D142" s="8" t="str">
        <f t="shared" si="1"/>
        <v>Abrir anúncio ↗</v>
      </c>
      <c r="E142" s="9" t="s">
        <v>2158</v>
      </c>
      <c r="F142" s="3" t="s">
        <v>86</v>
      </c>
      <c r="G142" s="9" t="s">
        <v>2146</v>
      </c>
      <c r="H142" s="9" t="s">
        <v>2162</v>
      </c>
      <c r="I142" s="3"/>
      <c r="J142" s="3"/>
      <c r="K142" s="9"/>
    </row>
    <row r="143" ht="15.75" customHeight="1">
      <c r="A143" s="10" t="s">
        <v>12</v>
      </c>
      <c r="B143" s="10" t="s">
        <v>82</v>
      </c>
      <c r="C143" s="10" t="s">
        <v>2166</v>
      </c>
      <c r="D143" s="11" t="str">
        <f t="shared" si="1"/>
        <v>Abrir anúncio ↗</v>
      </c>
      <c r="E143" s="12" t="s">
        <v>2170</v>
      </c>
      <c r="F143" s="10" t="s">
        <v>86</v>
      </c>
      <c r="G143" s="12" t="s">
        <v>965</v>
      </c>
      <c r="H143" s="12" t="s">
        <v>2173</v>
      </c>
      <c r="I143" s="10"/>
      <c r="J143" s="10"/>
      <c r="K143" s="12"/>
    </row>
    <row r="144" ht="15.75" customHeight="1">
      <c r="A144" s="3" t="s">
        <v>12</v>
      </c>
      <c r="B144" s="3" t="s">
        <v>82</v>
      </c>
      <c r="C144" s="3" t="s">
        <v>2180</v>
      </c>
      <c r="D144" s="8" t="str">
        <f t="shared" si="1"/>
        <v>Abrir anúncio ↗</v>
      </c>
      <c r="E144" s="9" t="s">
        <v>2183</v>
      </c>
      <c r="F144" s="3" t="s">
        <v>86</v>
      </c>
      <c r="G144" s="9" t="s">
        <v>965</v>
      </c>
      <c r="H144" s="9" t="s">
        <v>2008</v>
      </c>
      <c r="I144" s="3"/>
      <c r="J144" s="3"/>
      <c r="K144" s="9"/>
    </row>
    <row r="145" ht="15.75" customHeight="1">
      <c r="A145" s="10" t="s">
        <v>12</v>
      </c>
      <c r="B145" s="10" t="s">
        <v>82</v>
      </c>
      <c r="C145" s="10" t="s">
        <v>2190</v>
      </c>
      <c r="D145" s="11" t="str">
        <f t="shared" si="1"/>
        <v>Abrir anúncio ↗</v>
      </c>
      <c r="E145" s="12" t="s">
        <v>2193</v>
      </c>
      <c r="F145" s="10" t="s">
        <v>86</v>
      </c>
      <c r="G145" s="12" t="s">
        <v>965</v>
      </c>
      <c r="H145" s="12" t="s">
        <v>2008</v>
      </c>
      <c r="I145" s="10"/>
      <c r="J145" s="10"/>
      <c r="K145" s="12"/>
    </row>
    <row r="146" ht="15.75" customHeight="1">
      <c r="A146" s="3" t="s">
        <v>12</v>
      </c>
      <c r="B146" s="3" t="s">
        <v>82</v>
      </c>
      <c r="C146" s="3" t="s">
        <v>2200</v>
      </c>
      <c r="D146" s="8" t="str">
        <f t="shared" si="1"/>
        <v>Abrir anúncio ↗</v>
      </c>
      <c r="E146" s="9" t="s">
        <v>2204</v>
      </c>
      <c r="F146" s="3" t="s">
        <v>86</v>
      </c>
      <c r="G146" s="9" t="s">
        <v>965</v>
      </c>
      <c r="H146" s="9" t="s">
        <v>2136</v>
      </c>
      <c r="I146" s="3"/>
      <c r="J146" s="3"/>
      <c r="K146" s="9"/>
    </row>
    <row r="147" ht="15.75" customHeight="1">
      <c r="A147" s="10" t="s">
        <v>12</v>
      </c>
      <c r="B147" s="10" t="s">
        <v>82</v>
      </c>
      <c r="C147" s="10" t="s">
        <v>2212</v>
      </c>
      <c r="D147" s="11" t="str">
        <f t="shared" si="1"/>
        <v>Abrir anúncio ↗</v>
      </c>
      <c r="E147" s="12" t="s">
        <v>2216</v>
      </c>
      <c r="F147" s="10" t="s">
        <v>86</v>
      </c>
      <c r="G147" s="12" t="s">
        <v>965</v>
      </c>
      <c r="H147" s="12" t="s">
        <v>1897</v>
      </c>
      <c r="I147" s="10"/>
      <c r="J147" s="10"/>
      <c r="K147" s="12"/>
    </row>
    <row r="148" ht="15.75" customHeight="1">
      <c r="A148" s="3" t="s">
        <v>12</v>
      </c>
      <c r="B148" s="3" t="s">
        <v>82</v>
      </c>
      <c r="C148" s="3" t="s">
        <v>2222</v>
      </c>
      <c r="D148" s="8" t="str">
        <f t="shared" si="1"/>
        <v>Abrir anúncio ↗</v>
      </c>
      <c r="E148" s="9" t="s">
        <v>2227</v>
      </c>
      <c r="F148" s="3" t="s">
        <v>86</v>
      </c>
      <c r="G148" s="9" t="s">
        <v>965</v>
      </c>
      <c r="H148" s="9" t="s">
        <v>2229</v>
      </c>
      <c r="I148" s="3"/>
      <c r="J148" s="3"/>
      <c r="K148" s="9"/>
    </row>
    <row r="149" ht="15.75" customHeight="1">
      <c r="A149" s="10" t="s">
        <v>12</v>
      </c>
      <c r="B149" s="10" t="s">
        <v>82</v>
      </c>
      <c r="C149" s="10" t="s">
        <v>2234</v>
      </c>
      <c r="D149" s="11" t="str">
        <f t="shared" si="1"/>
        <v>Abrir anúncio ↗</v>
      </c>
      <c r="E149" s="12" t="s">
        <v>2238</v>
      </c>
      <c r="F149" s="10" t="s">
        <v>86</v>
      </c>
      <c r="G149" s="12" t="s">
        <v>470</v>
      </c>
      <c r="H149" s="12" t="s">
        <v>472</v>
      </c>
      <c r="I149" s="10"/>
      <c r="J149" s="10"/>
      <c r="K149" s="12"/>
    </row>
    <row r="150" ht="15.75" customHeight="1">
      <c r="A150" s="3" t="s">
        <v>12</v>
      </c>
      <c r="B150" s="3" t="s">
        <v>82</v>
      </c>
      <c r="C150" s="3" t="s">
        <v>2247</v>
      </c>
      <c r="D150" s="8" t="str">
        <f t="shared" si="1"/>
        <v>Abrir anúncio ↗</v>
      </c>
      <c r="E150" s="9" t="s">
        <v>2250</v>
      </c>
      <c r="F150" s="3" t="s">
        <v>29</v>
      </c>
      <c r="G150" s="9" t="s">
        <v>470</v>
      </c>
      <c r="H150" s="9" t="s">
        <v>472</v>
      </c>
      <c r="I150" s="3"/>
      <c r="J150" s="3"/>
      <c r="K150" s="9"/>
    </row>
    <row r="151" ht="15.75" customHeight="1">
      <c r="A151" s="10" t="s">
        <v>12</v>
      </c>
      <c r="B151" s="10" t="s">
        <v>82</v>
      </c>
      <c r="C151" s="10" t="s">
        <v>2259</v>
      </c>
      <c r="D151" s="11" t="str">
        <f t="shared" si="1"/>
        <v>Abrir anúncio ↗</v>
      </c>
      <c r="E151" s="12" t="s">
        <v>2261</v>
      </c>
      <c r="F151" s="10" t="s">
        <v>86</v>
      </c>
      <c r="G151" s="12" t="s">
        <v>470</v>
      </c>
      <c r="H151" s="12" t="s">
        <v>472</v>
      </c>
      <c r="I151" s="10"/>
      <c r="J151" s="10"/>
      <c r="K151" s="12"/>
    </row>
    <row r="152" ht="15.75" customHeight="1">
      <c r="A152" s="3" t="s">
        <v>12</v>
      </c>
      <c r="B152" s="3" t="s">
        <v>82</v>
      </c>
      <c r="C152" s="3" t="s">
        <v>2269</v>
      </c>
      <c r="D152" s="8" t="str">
        <f t="shared" si="1"/>
        <v>Abrir anúncio ↗</v>
      </c>
      <c r="E152" s="9" t="s">
        <v>2271</v>
      </c>
      <c r="F152" s="3" t="s">
        <v>86</v>
      </c>
      <c r="G152" s="9" t="s">
        <v>470</v>
      </c>
      <c r="H152" s="9" t="s">
        <v>472</v>
      </c>
      <c r="I152" s="3"/>
      <c r="J152" s="3"/>
      <c r="K152" s="9"/>
    </row>
    <row r="153" ht="15.75" customHeight="1">
      <c r="A153" s="10" t="s">
        <v>12</v>
      </c>
      <c r="B153" s="10" t="s">
        <v>82</v>
      </c>
      <c r="C153" s="10" t="s">
        <v>2278</v>
      </c>
      <c r="D153" s="11" t="str">
        <f t="shared" si="1"/>
        <v>Abrir anúncio ↗</v>
      </c>
      <c r="E153" s="12" t="s">
        <v>2280</v>
      </c>
      <c r="F153" s="10" t="s">
        <v>86</v>
      </c>
      <c r="G153" s="12" t="s">
        <v>470</v>
      </c>
      <c r="H153" s="12" t="s">
        <v>584</v>
      </c>
      <c r="I153" s="10"/>
      <c r="J153" s="10"/>
      <c r="K153" s="12"/>
    </row>
    <row r="154" ht="15.75" customHeight="1">
      <c r="A154" s="3" t="s">
        <v>12</v>
      </c>
      <c r="B154" s="3" t="s">
        <v>82</v>
      </c>
      <c r="C154" s="3" t="s">
        <v>2286</v>
      </c>
      <c r="D154" s="8" t="str">
        <f t="shared" si="1"/>
        <v>Abrir anúncio ↗</v>
      </c>
      <c r="E154" s="9" t="s">
        <v>2291</v>
      </c>
      <c r="F154" s="3" t="s">
        <v>86</v>
      </c>
      <c r="G154" s="9" t="s">
        <v>470</v>
      </c>
      <c r="H154" s="9" t="s">
        <v>472</v>
      </c>
      <c r="I154" s="3"/>
      <c r="J154" s="3"/>
      <c r="K154" s="9"/>
    </row>
    <row r="155" ht="15.75" customHeight="1">
      <c r="A155" s="10" t="s">
        <v>12</v>
      </c>
      <c r="B155" s="10" t="s">
        <v>82</v>
      </c>
      <c r="C155" s="10" t="s">
        <v>2298</v>
      </c>
      <c r="D155" s="11" t="str">
        <f t="shared" si="1"/>
        <v>Abrir anúncio ↗</v>
      </c>
      <c r="E155" s="12" t="s">
        <v>2301</v>
      </c>
      <c r="F155" s="10" t="s">
        <v>86</v>
      </c>
      <c r="G155" s="12" t="s">
        <v>470</v>
      </c>
      <c r="H155" s="12" t="s">
        <v>472</v>
      </c>
      <c r="I155" s="10"/>
      <c r="J155" s="10"/>
      <c r="K155" s="12"/>
    </row>
    <row r="156" ht="15.75" customHeight="1">
      <c r="A156" s="3" t="s">
        <v>12</v>
      </c>
      <c r="B156" s="3" t="s">
        <v>82</v>
      </c>
      <c r="C156" s="3" t="s">
        <v>2309</v>
      </c>
      <c r="D156" s="8" t="str">
        <f t="shared" si="1"/>
        <v>Abrir anúncio ↗</v>
      </c>
      <c r="E156" s="9" t="s">
        <v>2313</v>
      </c>
      <c r="F156" s="3" t="s">
        <v>86</v>
      </c>
      <c r="G156" s="9" t="s">
        <v>470</v>
      </c>
      <c r="H156" s="9" t="s">
        <v>472</v>
      </c>
      <c r="I156" s="3"/>
      <c r="J156" s="3"/>
      <c r="K156" s="9"/>
    </row>
    <row r="157" ht="15.75" customHeight="1">
      <c r="A157" s="10" t="s">
        <v>12</v>
      </c>
      <c r="B157" s="10" t="s">
        <v>82</v>
      </c>
      <c r="C157" s="10" t="s">
        <v>2321</v>
      </c>
      <c r="D157" s="11" t="str">
        <f t="shared" si="1"/>
        <v>Abrir anúncio ↗</v>
      </c>
      <c r="E157" s="12" t="s">
        <v>2324</v>
      </c>
      <c r="F157" s="10" t="s">
        <v>86</v>
      </c>
      <c r="G157" s="12" t="s">
        <v>470</v>
      </c>
      <c r="H157" s="12" t="s">
        <v>584</v>
      </c>
      <c r="I157" s="10"/>
      <c r="J157" s="10"/>
      <c r="K157" s="12"/>
    </row>
    <row r="158" ht="15.75" customHeight="1">
      <c r="A158" s="3" t="s">
        <v>12</v>
      </c>
      <c r="B158" s="3" t="s">
        <v>82</v>
      </c>
      <c r="C158" s="3" t="s">
        <v>2332</v>
      </c>
      <c r="D158" s="8" t="str">
        <f t="shared" si="1"/>
        <v>Abrir anúncio ↗</v>
      </c>
      <c r="E158" s="9" t="s">
        <v>2335</v>
      </c>
      <c r="F158" s="3" t="s">
        <v>29</v>
      </c>
      <c r="G158" s="9" t="s">
        <v>470</v>
      </c>
      <c r="H158" s="9" t="s">
        <v>519</v>
      </c>
      <c r="I158" s="3"/>
      <c r="J158" s="3"/>
      <c r="K158" s="9"/>
    </row>
    <row r="159" ht="15.75" customHeight="1">
      <c r="A159" s="10" t="s">
        <v>12</v>
      </c>
      <c r="B159" s="10" t="s">
        <v>82</v>
      </c>
      <c r="C159" s="10" t="s">
        <v>2342</v>
      </c>
      <c r="D159" s="11" t="str">
        <f t="shared" si="1"/>
        <v>Abrir anúncio ↗</v>
      </c>
      <c r="E159" s="12" t="s">
        <v>2345</v>
      </c>
      <c r="F159" s="10" t="s">
        <v>86</v>
      </c>
      <c r="G159" s="12" t="s">
        <v>470</v>
      </c>
      <c r="H159" s="12" t="s">
        <v>584</v>
      </c>
      <c r="I159" s="10"/>
      <c r="J159" s="10"/>
      <c r="K159" s="12"/>
    </row>
    <row r="160" ht="15.75" customHeight="1">
      <c r="A160" s="3" t="s">
        <v>12</v>
      </c>
      <c r="B160" s="3" t="s">
        <v>82</v>
      </c>
      <c r="C160" s="3" t="s">
        <v>2352</v>
      </c>
      <c r="D160" s="8" t="str">
        <f t="shared" si="1"/>
        <v>Abrir anúncio ↗</v>
      </c>
      <c r="E160" s="9" t="s">
        <v>2355</v>
      </c>
      <c r="F160" s="3" t="s">
        <v>86</v>
      </c>
      <c r="G160" s="9" t="s">
        <v>470</v>
      </c>
      <c r="H160" s="9" t="s">
        <v>584</v>
      </c>
      <c r="I160" s="3"/>
      <c r="J160" s="3"/>
      <c r="K160" s="9"/>
    </row>
    <row r="161" ht="15.75" customHeight="1">
      <c r="A161" s="10" t="s">
        <v>12</v>
      </c>
      <c r="B161" s="10" t="s">
        <v>82</v>
      </c>
      <c r="C161" s="10" t="s">
        <v>2361</v>
      </c>
      <c r="D161" s="11" t="str">
        <f t="shared" si="1"/>
        <v>Abrir anúncio ↗</v>
      </c>
      <c r="E161" s="12" t="s">
        <v>2365</v>
      </c>
      <c r="F161" s="10" t="s">
        <v>86</v>
      </c>
      <c r="G161" s="12" t="s">
        <v>470</v>
      </c>
      <c r="H161" s="12" t="s">
        <v>472</v>
      </c>
      <c r="I161" s="10"/>
      <c r="J161" s="10"/>
      <c r="K161" s="12"/>
    </row>
    <row r="162" ht="15.75" customHeight="1">
      <c r="A162" s="3" t="s">
        <v>12</v>
      </c>
      <c r="B162" s="3" t="s">
        <v>82</v>
      </c>
      <c r="C162" s="3" t="s">
        <v>2371</v>
      </c>
      <c r="D162" s="8" t="str">
        <f t="shared" si="1"/>
        <v>Abrir anúncio ↗</v>
      </c>
      <c r="E162" s="9" t="s">
        <v>2376</v>
      </c>
      <c r="F162" s="3" t="s">
        <v>86</v>
      </c>
      <c r="G162" s="9" t="s">
        <v>470</v>
      </c>
      <c r="H162" s="9" t="s">
        <v>1106</v>
      </c>
      <c r="I162" s="3"/>
      <c r="J162" s="3"/>
      <c r="K162" s="9"/>
    </row>
    <row r="163" ht="15.75" customHeight="1">
      <c r="A163" s="10" t="s">
        <v>12</v>
      </c>
      <c r="B163" s="10" t="s">
        <v>82</v>
      </c>
      <c r="C163" s="10" t="s">
        <v>2384</v>
      </c>
      <c r="D163" s="11" t="str">
        <f t="shared" si="1"/>
        <v>Abrir anúncio ↗</v>
      </c>
      <c r="E163" s="12" t="s">
        <v>2389</v>
      </c>
      <c r="F163" s="10" t="s">
        <v>86</v>
      </c>
      <c r="G163" s="12" t="s">
        <v>470</v>
      </c>
      <c r="H163" s="12" t="s">
        <v>472</v>
      </c>
      <c r="I163" s="10"/>
      <c r="J163" s="10"/>
      <c r="K163" s="12"/>
    </row>
    <row r="164" ht="15.75" customHeight="1">
      <c r="A164" s="3" t="s">
        <v>12</v>
      </c>
      <c r="B164" s="3" t="s">
        <v>82</v>
      </c>
      <c r="C164" s="3" t="s">
        <v>2396</v>
      </c>
      <c r="D164" s="8" t="str">
        <f t="shared" si="1"/>
        <v>Abrir anúncio ↗</v>
      </c>
      <c r="E164" s="9" t="s">
        <v>2401</v>
      </c>
      <c r="F164" s="3" t="s">
        <v>86</v>
      </c>
      <c r="G164" s="9" t="s">
        <v>470</v>
      </c>
      <c r="H164" s="9" t="s">
        <v>472</v>
      </c>
      <c r="I164" s="3"/>
      <c r="J164" s="3"/>
      <c r="K164" s="9"/>
    </row>
    <row r="165" ht="15.75" customHeight="1">
      <c r="A165" s="10" t="s">
        <v>12</v>
      </c>
      <c r="B165" s="10" t="s">
        <v>82</v>
      </c>
      <c r="C165" s="10" t="s">
        <v>2408</v>
      </c>
      <c r="D165" s="11" t="str">
        <f t="shared" si="1"/>
        <v>Abrir anúncio ↗</v>
      </c>
      <c r="E165" s="12" t="s">
        <v>2412</v>
      </c>
      <c r="F165" s="10" t="s">
        <v>86</v>
      </c>
      <c r="G165" s="12" t="s">
        <v>470</v>
      </c>
      <c r="H165" s="12" t="s">
        <v>472</v>
      </c>
      <c r="I165" s="10"/>
      <c r="J165" s="10"/>
      <c r="K165" s="12"/>
    </row>
    <row r="166" ht="15.75" customHeight="1">
      <c r="A166" s="3" t="s">
        <v>12</v>
      </c>
      <c r="B166" s="3" t="s">
        <v>82</v>
      </c>
      <c r="C166" s="3" t="s">
        <v>2419</v>
      </c>
      <c r="D166" s="8" t="str">
        <f t="shared" si="1"/>
        <v>Abrir anúncio ↗</v>
      </c>
      <c r="E166" s="9" t="s">
        <v>2421</v>
      </c>
      <c r="F166" s="3" t="s">
        <v>86</v>
      </c>
      <c r="G166" s="9" t="s">
        <v>470</v>
      </c>
      <c r="H166" s="9" t="s">
        <v>1106</v>
      </c>
      <c r="I166" s="3"/>
      <c r="J166" s="3"/>
      <c r="K166" s="9"/>
    </row>
    <row r="167" ht="15.75" customHeight="1">
      <c r="A167" s="10" t="s">
        <v>12</v>
      </c>
      <c r="B167" s="10" t="s">
        <v>82</v>
      </c>
      <c r="C167" s="10" t="s">
        <v>2429</v>
      </c>
      <c r="D167" s="11" t="str">
        <f t="shared" si="1"/>
        <v>Abrir anúncio ↗</v>
      </c>
      <c r="E167" s="12" t="s">
        <v>2432</v>
      </c>
      <c r="F167" s="10" t="s">
        <v>86</v>
      </c>
      <c r="G167" s="12" t="s">
        <v>470</v>
      </c>
      <c r="H167" s="12" t="s">
        <v>472</v>
      </c>
      <c r="I167" s="10"/>
      <c r="J167" s="10"/>
      <c r="K167" s="12"/>
    </row>
    <row r="168" ht="15.75" customHeight="1">
      <c r="A168" s="3" t="s">
        <v>12</v>
      </c>
      <c r="B168" s="3" t="s">
        <v>82</v>
      </c>
      <c r="C168" s="3" t="s">
        <v>2443</v>
      </c>
      <c r="D168" s="8" t="str">
        <f t="shared" si="1"/>
        <v>Abrir anúncio ↗</v>
      </c>
      <c r="E168" s="9" t="s">
        <v>2445</v>
      </c>
      <c r="F168" s="3" t="s">
        <v>86</v>
      </c>
      <c r="G168" s="9" t="s">
        <v>470</v>
      </c>
      <c r="H168" s="9" t="s">
        <v>472</v>
      </c>
      <c r="I168" s="3"/>
      <c r="J168" s="3"/>
      <c r="K168" s="9"/>
    </row>
    <row r="169" ht="15.75" customHeight="1">
      <c r="A169" s="10" t="s">
        <v>12</v>
      </c>
      <c r="B169" s="10" t="s">
        <v>82</v>
      </c>
      <c r="C169" s="10" t="s">
        <v>2453</v>
      </c>
      <c r="D169" s="11" t="str">
        <f t="shared" si="1"/>
        <v>Abrir anúncio ↗</v>
      </c>
      <c r="E169" s="12" t="s">
        <v>2456</v>
      </c>
      <c r="F169" s="10" t="s">
        <v>86</v>
      </c>
      <c r="G169" s="12" t="s">
        <v>470</v>
      </c>
      <c r="H169" s="12" t="s">
        <v>472</v>
      </c>
      <c r="I169" s="10"/>
      <c r="J169" s="10"/>
      <c r="K169" s="12"/>
    </row>
    <row r="170" ht="15.75" customHeight="1">
      <c r="A170" s="3" t="s">
        <v>12</v>
      </c>
      <c r="B170" s="3" t="s">
        <v>82</v>
      </c>
      <c r="C170" s="3" t="s">
        <v>2463</v>
      </c>
      <c r="D170" s="8" t="str">
        <f t="shared" si="1"/>
        <v>Abrir anúncio ↗</v>
      </c>
      <c r="E170" s="9" t="s">
        <v>2466</v>
      </c>
      <c r="F170" s="3" t="s">
        <v>86</v>
      </c>
      <c r="G170" s="9" t="s">
        <v>965</v>
      </c>
      <c r="H170" s="9" t="s">
        <v>2229</v>
      </c>
      <c r="I170" s="3"/>
      <c r="J170" s="3"/>
      <c r="K170" s="9"/>
    </row>
    <row r="171" ht="15.75" customHeight="1">
      <c r="A171" s="10" t="s">
        <v>12</v>
      </c>
      <c r="B171" s="10" t="s">
        <v>82</v>
      </c>
      <c r="C171" s="10" t="s">
        <v>2473</v>
      </c>
      <c r="D171" s="11" t="str">
        <f t="shared" si="1"/>
        <v>Abrir anúncio ↗</v>
      </c>
      <c r="E171" s="12" t="s">
        <v>2478</v>
      </c>
      <c r="F171" s="10" t="s">
        <v>86</v>
      </c>
      <c r="G171" s="12" t="s">
        <v>991</v>
      </c>
      <c r="H171" s="12" t="s">
        <v>993</v>
      </c>
      <c r="I171" s="10"/>
      <c r="J171" s="10"/>
      <c r="K171" s="12"/>
    </row>
    <row r="172" ht="15.75" customHeight="1">
      <c r="A172" s="3" t="s">
        <v>12</v>
      </c>
      <c r="B172" s="3" t="s">
        <v>82</v>
      </c>
      <c r="C172" s="3" t="s">
        <v>2485</v>
      </c>
      <c r="D172" s="8" t="str">
        <f t="shared" si="1"/>
        <v>Abrir anúncio ↗</v>
      </c>
      <c r="E172" s="9" t="s">
        <v>2488</v>
      </c>
      <c r="F172" s="3" t="s">
        <v>86</v>
      </c>
      <c r="G172" s="9" t="s">
        <v>991</v>
      </c>
      <c r="H172" s="9" t="s">
        <v>993</v>
      </c>
      <c r="I172" s="3"/>
      <c r="J172" s="3"/>
      <c r="K172" s="9"/>
    </row>
    <row r="173" ht="15.75" customHeight="1">
      <c r="A173" s="10" t="s">
        <v>12</v>
      </c>
      <c r="B173" s="10" t="s">
        <v>82</v>
      </c>
      <c r="C173" s="10" t="s">
        <v>2495</v>
      </c>
      <c r="D173" s="11" t="str">
        <f t="shared" si="1"/>
        <v>Abrir anúncio ↗</v>
      </c>
      <c r="E173" s="12" t="s">
        <v>2499</v>
      </c>
      <c r="F173" s="10" t="s">
        <v>86</v>
      </c>
      <c r="G173" s="12" t="s">
        <v>965</v>
      </c>
      <c r="H173" s="12" t="s">
        <v>2502</v>
      </c>
      <c r="I173" s="10"/>
      <c r="J173" s="10"/>
      <c r="K173" s="12"/>
    </row>
    <row r="174" ht="15.75" customHeight="1">
      <c r="A174" s="3" t="s">
        <v>12</v>
      </c>
      <c r="B174" s="3" t="s">
        <v>82</v>
      </c>
      <c r="C174" s="3" t="s">
        <v>2506</v>
      </c>
      <c r="D174" s="8" t="str">
        <f t="shared" si="1"/>
        <v>Abrir anúncio ↗</v>
      </c>
      <c r="E174" s="9" t="s">
        <v>2508</v>
      </c>
      <c r="F174" s="3" t="s">
        <v>86</v>
      </c>
      <c r="G174" s="9" t="s">
        <v>965</v>
      </c>
      <c r="H174" s="9" t="s">
        <v>2008</v>
      </c>
      <c r="I174" s="3"/>
      <c r="J174" s="3"/>
      <c r="K174" s="9"/>
    </row>
    <row r="175" ht="15.75" customHeight="1">
      <c r="A175" s="10" t="s">
        <v>12</v>
      </c>
      <c r="B175" s="10" t="s">
        <v>82</v>
      </c>
      <c r="C175" s="10" t="s">
        <v>2516</v>
      </c>
      <c r="D175" s="11" t="str">
        <f t="shared" si="1"/>
        <v>Abrir anúncio ↗</v>
      </c>
      <c r="E175" s="12" t="s">
        <v>2520</v>
      </c>
      <c r="F175" s="10" t="s">
        <v>86</v>
      </c>
      <c r="G175" s="12" t="s">
        <v>965</v>
      </c>
      <c r="H175" s="12" t="s">
        <v>2173</v>
      </c>
      <c r="I175" s="10"/>
      <c r="J175" s="10"/>
      <c r="K175" s="12"/>
    </row>
    <row r="176" ht="15.75" customHeight="1">
      <c r="A176" s="3" t="s">
        <v>12</v>
      </c>
      <c r="B176" s="3" t="s">
        <v>82</v>
      </c>
      <c r="C176" s="3" t="s">
        <v>2527</v>
      </c>
      <c r="D176" s="8" t="str">
        <f t="shared" si="1"/>
        <v>Abrir anúncio ↗</v>
      </c>
      <c r="E176" s="9" t="s">
        <v>2530</v>
      </c>
      <c r="F176" s="3" t="s">
        <v>29</v>
      </c>
      <c r="G176" s="9" t="s">
        <v>965</v>
      </c>
      <c r="H176" s="9" t="s">
        <v>2531</v>
      </c>
      <c r="I176" s="3"/>
      <c r="J176" s="3"/>
      <c r="K176" s="9"/>
    </row>
    <row r="177" ht="15.75" customHeight="1">
      <c r="A177" s="10" t="s">
        <v>12</v>
      </c>
      <c r="B177" s="10" t="s">
        <v>82</v>
      </c>
      <c r="C177" s="10" t="s">
        <v>2538</v>
      </c>
      <c r="D177" s="11" t="str">
        <f t="shared" si="1"/>
        <v>Abrir anúncio ↗</v>
      </c>
      <c r="E177" s="12" t="s">
        <v>2540</v>
      </c>
      <c r="F177" s="10" t="s">
        <v>86</v>
      </c>
      <c r="G177" s="12" t="s">
        <v>470</v>
      </c>
      <c r="H177" s="12" t="s">
        <v>519</v>
      </c>
      <c r="I177" s="10"/>
      <c r="J177" s="10"/>
      <c r="K177" s="12"/>
    </row>
    <row r="178" ht="15.75" customHeight="1">
      <c r="A178" s="3" t="s">
        <v>12</v>
      </c>
      <c r="B178" s="3" t="s">
        <v>82</v>
      </c>
      <c r="C178" s="3" t="s">
        <v>2548</v>
      </c>
      <c r="D178" s="8" t="str">
        <f t="shared" si="1"/>
        <v>Abrir anúncio ↗</v>
      </c>
      <c r="E178" s="9" t="s">
        <v>2551</v>
      </c>
      <c r="F178" s="3" t="s">
        <v>86</v>
      </c>
      <c r="G178" s="9" t="s">
        <v>470</v>
      </c>
      <c r="H178" s="9" t="s">
        <v>771</v>
      </c>
      <c r="I178" s="3"/>
      <c r="J178" s="3"/>
      <c r="K178" s="9"/>
    </row>
    <row r="179" ht="15.75" customHeight="1">
      <c r="A179" s="10" t="s">
        <v>12</v>
      </c>
      <c r="B179" s="10" t="s">
        <v>82</v>
      </c>
      <c r="C179" s="10" t="s">
        <v>2558</v>
      </c>
      <c r="D179" s="11" t="str">
        <f t="shared" si="1"/>
        <v>Abrir anúncio ↗</v>
      </c>
      <c r="E179" s="12" t="s">
        <v>2563</v>
      </c>
      <c r="F179" s="10" t="s">
        <v>86</v>
      </c>
      <c r="G179" s="12" t="s">
        <v>470</v>
      </c>
      <c r="H179" s="12" t="s">
        <v>472</v>
      </c>
      <c r="I179" s="10"/>
      <c r="J179" s="10"/>
      <c r="K179" s="12"/>
    </row>
    <row r="180" ht="15.75" customHeight="1">
      <c r="A180" s="3" t="s">
        <v>12</v>
      </c>
      <c r="B180" s="3" t="s">
        <v>82</v>
      </c>
      <c r="C180" s="3" t="s">
        <v>2567</v>
      </c>
      <c r="D180" s="8" t="str">
        <f t="shared" si="1"/>
        <v>Abrir anúncio ↗</v>
      </c>
      <c r="E180" s="9" t="s">
        <v>2572</v>
      </c>
      <c r="F180" s="3" t="s">
        <v>86</v>
      </c>
      <c r="G180" s="9" t="s">
        <v>470</v>
      </c>
      <c r="H180" s="9" t="s">
        <v>584</v>
      </c>
      <c r="I180" s="3"/>
      <c r="J180" s="3"/>
      <c r="K180" s="9"/>
    </row>
    <row r="181" ht="15.75" customHeight="1">
      <c r="A181" s="10" t="s">
        <v>12</v>
      </c>
      <c r="B181" s="10" t="s">
        <v>82</v>
      </c>
      <c r="C181" s="10" t="s">
        <v>2581</v>
      </c>
      <c r="D181" s="11" t="str">
        <f t="shared" si="1"/>
        <v>Abrir anúncio ↗</v>
      </c>
      <c r="E181" s="12" t="s">
        <v>2584</v>
      </c>
      <c r="F181" s="10" t="s">
        <v>86</v>
      </c>
      <c r="G181" s="12" t="s">
        <v>470</v>
      </c>
      <c r="H181" s="12" t="s">
        <v>519</v>
      </c>
      <c r="I181" s="10"/>
      <c r="J181" s="10"/>
      <c r="K181" s="12"/>
    </row>
    <row r="182" ht="15.75" customHeight="1">
      <c r="A182" s="3" t="s">
        <v>12</v>
      </c>
      <c r="B182" s="3" t="s">
        <v>82</v>
      </c>
      <c r="C182" s="3" t="s">
        <v>2592</v>
      </c>
      <c r="D182" s="8" t="str">
        <f t="shared" si="1"/>
        <v>Abrir anúncio ↗</v>
      </c>
      <c r="E182" s="9" t="s">
        <v>2596</v>
      </c>
      <c r="F182" s="3" t="s">
        <v>86</v>
      </c>
      <c r="G182" s="9" t="s">
        <v>470</v>
      </c>
      <c r="H182" s="9" t="s">
        <v>472</v>
      </c>
      <c r="I182" s="3"/>
      <c r="J182" s="3"/>
      <c r="K182" s="9"/>
    </row>
    <row r="183" ht="15.75" customHeight="1">
      <c r="A183" s="10" t="s">
        <v>12</v>
      </c>
      <c r="B183" s="10" t="s">
        <v>82</v>
      </c>
      <c r="C183" s="10" t="s">
        <v>2601</v>
      </c>
      <c r="D183" s="11" t="str">
        <f t="shared" si="1"/>
        <v>Abrir anúncio ↗</v>
      </c>
      <c r="E183" s="12" t="s">
        <v>2605</v>
      </c>
      <c r="F183" s="10" t="s">
        <v>86</v>
      </c>
      <c r="G183" s="12" t="s">
        <v>470</v>
      </c>
      <c r="H183" s="12" t="s">
        <v>519</v>
      </c>
      <c r="I183" s="10"/>
      <c r="J183" s="10"/>
      <c r="K183" s="12"/>
    </row>
    <row r="184" ht="15.75" customHeight="1">
      <c r="A184" s="3" t="s">
        <v>12</v>
      </c>
      <c r="B184" s="3" t="s">
        <v>82</v>
      </c>
      <c r="C184" s="3" t="s">
        <v>2611</v>
      </c>
      <c r="D184" s="8" t="str">
        <f t="shared" si="1"/>
        <v>Abrir anúncio ↗</v>
      </c>
      <c r="E184" s="9" t="s">
        <v>2616</v>
      </c>
      <c r="F184" s="3" t="s">
        <v>86</v>
      </c>
      <c r="G184" s="9" t="s">
        <v>470</v>
      </c>
      <c r="H184" s="9" t="s">
        <v>584</v>
      </c>
      <c r="I184" s="3"/>
      <c r="J184" s="3"/>
      <c r="K184" s="9"/>
    </row>
    <row r="185" ht="15.75" customHeight="1">
      <c r="A185" s="10" t="s">
        <v>12</v>
      </c>
      <c r="B185" s="10" t="s">
        <v>82</v>
      </c>
      <c r="C185" s="10" t="s">
        <v>2622</v>
      </c>
      <c r="D185" s="11" t="str">
        <f t="shared" si="1"/>
        <v>Abrir anúncio ↗</v>
      </c>
      <c r="E185" s="12" t="s">
        <v>2626</v>
      </c>
      <c r="F185" s="10" t="s">
        <v>86</v>
      </c>
      <c r="G185" s="12" t="s">
        <v>470</v>
      </c>
      <c r="H185" s="12" t="s">
        <v>472</v>
      </c>
      <c r="I185" s="10"/>
      <c r="J185" s="10"/>
      <c r="K185" s="12"/>
    </row>
    <row r="186" ht="15.75" customHeight="1">
      <c r="A186" s="3" t="s">
        <v>12</v>
      </c>
      <c r="B186" s="3" t="s">
        <v>82</v>
      </c>
      <c r="C186" s="3" t="s">
        <v>2632</v>
      </c>
      <c r="D186" s="8" t="str">
        <f t="shared" si="1"/>
        <v>Abrir anúncio ↗</v>
      </c>
      <c r="E186" s="9" t="s">
        <v>2636</v>
      </c>
      <c r="F186" s="3" t="s">
        <v>86</v>
      </c>
      <c r="G186" s="9" t="s">
        <v>470</v>
      </c>
      <c r="H186" s="9" t="s">
        <v>519</v>
      </c>
      <c r="I186" s="3"/>
      <c r="J186" s="3"/>
      <c r="K186" s="9"/>
    </row>
    <row r="187" ht="15.75" customHeight="1">
      <c r="A187" s="10" t="s">
        <v>12</v>
      </c>
      <c r="B187" s="10" t="s">
        <v>82</v>
      </c>
      <c r="C187" s="10" t="s">
        <v>2644</v>
      </c>
      <c r="D187" s="11" t="str">
        <f t="shared" si="1"/>
        <v>Abrir anúncio ↗</v>
      </c>
      <c r="E187" s="12" t="s">
        <v>2647</v>
      </c>
      <c r="F187" s="10" t="s">
        <v>86</v>
      </c>
      <c r="G187" s="12" t="s">
        <v>470</v>
      </c>
      <c r="H187" s="12" t="s">
        <v>472</v>
      </c>
      <c r="I187" s="10"/>
      <c r="J187" s="10"/>
      <c r="K187" s="12"/>
    </row>
    <row r="188" ht="15.75" customHeight="1">
      <c r="A188" s="3" t="s">
        <v>12</v>
      </c>
      <c r="B188" s="3" t="s">
        <v>82</v>
      </c>
      <c r="C188" s="3" t="s">
        <v>2653</v>
      </c>
      <c r="D188" s="8" t="str">
        <f t="shared" si="1"/>
        <v>Abrir anúncio ↗</v>
      </c>
      <c r="E188" s="9" t="s">
        <v>2657</v>
      </c>
      <c r="F188" s="3" t="s">
        <v>86</v>
      </c>
      <c r="G188" s="9" t="s">
        <v>470</v>
      </c>
      <c r="H188" s="9" t="s">
        <v>584</v>
      </c>
      <c r="I188" s="3"/>
      <c r="J188" s="3"/>
      <c r="K188" s="9"/>
    </row>
    <row r="189" ht="15.75" customHeight="1">
      <c r="A189" s="10" t="s">
        <v>12</v>
      </c>
      <c r="B189" s="10" t="s">
        <v>82</v>
      </c>
      <c r="C189" s="10" t="s">
        <v>2663</v>
      </c>
      <c r="D189" s="11" t="str">
        <f t="shared" si="1"/>
        <v>Abrir anúncio ↗</v>
      </c>
      <c r="E189" s="12" t="s">
        <v>2664</v>
      </c>
      <c r="F189" s="10" t="s">
        <v>86</v>
      </c>
      <c r="G189" s="12" t="s">
        <v>470</v>
      </c>
      <c r="H189" s="12" t="s">
        <v>519</v>
      </c>
      <c r="I189" s="10"/>
      <c r="J189" s="10"/>
      <c r="K189" s="12"/>
    </row>
    <row r="190" ht="15.75" customHeight="1">
      <c r="A190" s="3" t="s">
        <v>12</v>
      </c>
      <c r="B190" s="3" t="s">
        <v>82</v>
      </c>
      <c r="C190" s="3" t="s">
        <v>2670</v>
      </c>
      <c r="D190" s="8" t="str">
        <f t="shared" si="1"/>
        <v>Abrir anúncio ↗</v>
      </c>
      <c r="E190" s="9" t="s">
        <v>2674</v>
      </c>
      <c r="F190" s="3" t="s">
        <v>86</v>
      </c>
      <c r="G190" s="9" t="s">
        <v>470</v>
      </c>
      <c r="H190" s="9" t="s">
        <v>1312</v>
      </c>
      <c r="I190" s="3"/>
      <c r="J190" s="3"/>
      <c r="K190" s="9"/>
    </row>
    <row r="191" ht="15.75" customHeight="1">
      <c r="A191" s="10" t="s">
        <v>12</v>
      </c>
      <c r="B191" s="10" t="s">
        <v>82</v>
      </c>
      <c r="C191" s="10" t="s">
        <v>2680</v>
      </c>
      <c r="D191" s="11" t="str">
        <f t="shared" si="1"/>
        <v>Abrir anúncio ↗</v>
      </c>
      <c r="E191" s="12" t="s">
        <v>2682</v>
      </c>
      <c r="F191" s="10" t="s">
        <v>86</v>
      </c>
      <c r="G191" s="12" t="s">
        <v>470</v>
      </c>
      <c r="H191" s="12" t="s">
        <v>519</v>
      </c>
      <c r="I191" s="10"/>
      <c r="J191" s="10"/>
      <c r="K191" s="12"/>
    </row>
    <row r="192" ht="15.75" customHeight="1">
      <c r="A192" s="3" t="s">
        <v>12</v>
      </c>
      <c r="B192" s="3" t="s">
        <v>82</v>
      </c>
      <c r="C192" s="3" t="s">
        <v>2690</v>
      </c>
      <c r="D192" s="8" t="str">
        <f t="shared" si="1"/>
        <v>Abrir anúncio ↗</v>
      </c>
      <c r="E192" s="9" t="s">
        <v>2691</v>
      </c>
      <c r="F192" s="3" t="s">
        <v>86</v>
      </c>
      <c r="G192" s="9" t="s">
        <v>470</v>
      </c>
      <c r="H192" s="9" t="s">
        <v>584</v>
      </c>
      <c r="I192" s="3"/>
      <c r="J192" s="3"/>
      <c r="K192" s="9"/>
    </row>
    <row r="193" ht="15.75" customHeight="1">
      <c r="A193" s="10" t="s">
        <v>12</v>
      </c>
      <c r="B193" s="10" t="s">
        <v>82</v>
      </c>
      <c r="C193" s="10" t="s">
        <v>2699</v>
      </c>
      <c r="D193" s="11" t="str">
        <f t="shared" si="1"/>
        <v>Abrir anúncio ↗</v>
      </c>
      <c r="E193" s="12" t="s">
        <v>2702</v>
      </c>
      <c r="F193" s="10" t="s">
        <v>86</v>
      </c>
      <c r="G193" s="12" t="s">
        <v>470</v>
      </c>
      <c r="H193" s="12" t="s">
        <v>584</v>
      </c>
      <c r="I193" s="10"/>
      <c r="J193" s="10"/>
      <c r="K193" s="12"/>
    </row>
    <row r="194" ht="15.75" customHeight="1">
      <c r="A194" s="3" t="s">
        <v>12</v>
      </c>
      <c r="B194" s="3" t="s">
        <v>82</v>
      </c>
      <c r="C194" s="3" t="s">
        <v>2710</v>
      </c>
      <c r="D194" s="8" t="str">
        <f t="shared" si="1"/>
        <v>Abrir anúncio ↗</v>
      </c>
      <c r="E194" s="9" t="s">
        <v>2713</v>
      </c>
      <c r="F194" s="3" t="s">
        <v>86</v>
      </c>
      <c r="G194" s="9" t="s">
        <v>470</v>
      </c>
      <c r="H194" s="9" t="s">
        <v>771</v>
      </c>
      <c r="I194" s="3"/>
      <c r="J194" s="3"/>
      <c r="K194" s="9"/>
    </row>
    <row r="195" ht="15.75" customHeight="1">
      <c r="A195" s="10" t="s">
        <v>12</v>
      </c>
      <c r="B195" s="10" t="s">
        <v>82</v>
      </c>
      <c r="C195" s="10" t="s">
        <v>2720</v>
      </c>
      <c r="D195" s="11" t="str">
        <f t="shared" si="1"/>
        <v>Abrir anúncio ↗</v>
      </c>
      <c r="E195" s="12" t="s">
        <v>2722</v>
      </c>
      <c r="F195" s="10" t="s">
        <v>86</v>
      </c>
      <c r="G195" s="12" t="s">
        <v>470</v>
      </c>
      <c r="H195" s="12" t="s">
        <v>519</v>
      </c>
      <c r="I195" s="10"/>
      <c r="J195" s="10"/>
      <c r="K195" s="12"/>
    </row>
    <row r="196" ht="15.75" customHeight="1">
      <c r="A196" s="3" t="s">
        <v>12</v>
      </c>
      <c r="B196" s="3" t="s">
        <v>82</v>
      </c>
      <c r="C196" s="3" t="s">
        <v>2730</v>
      </c>
      <c r="D196" s="8" t="str">
        <f t="shared" si="1"/>
        <v>Abrir anúncio ↗</v>
      </c>
      <c r="E196" s="9" t="s">
        <v>2732</v>
      </c>
      <c r="F196" s="3" t="s">
        <v>86</v>
      </c>
      <c r="G196" s="9" t="s">
        <v>470</v>
      </c>
      <c r="H196" s="9" t="s">
        <v>584</v>
      </c>
      <c r="I196" s="3"/>
      <c r="J196" s="3"/>
      <c r="K196" s="9"/>
    </row>
    <row r="197" ht="15.75" customHeight="1">
      <c r="A197" s="10" t="s">
        <v>12</v>
      </c>
      <c r="B197" s="10" t="s">
        <v>82</v>
      </c>
      <c r="C197" s="10" t="s">
        <v>2740</v>
      </c>
      <c r="D197" s="11" t="str">
        <f t="shared" si="1"/>
        <v>Abrir anúncio ↗</v>
      </c>
      <c r="E197" s="12" t="s">
        <v>2741</v>
      </c>
      <c r="F197" s="10" t="s">
        <v>86</v>
      </c>
      <c r="G197" s="12" t="s">
        <v>470</v>
      </c>
      <c r="H197" s="12" t="s">
        <v>472</v>
      </c>
      <c r="I197" s="10"/>
      <c r="J197" s="10"/>
      <c r="K197" s="12"/>
    </row>
    <row r="198" ht="15.75" customHeight="1">
      <c r="A198" s="3" t="s">
        <v>12</v>
      </c>
      <c r="B198" s="3" t="s">
        <v>82</v>
      </c>
      <c r="C198" s="3" t="s">
        <v>2748</v>
      </c>
      <c r="D198" s="8" t="str">
        <f t="shared" si="1"/>
        <v>Abrir anúncio ↗</v>
      </c>
      <c r="E198" s="9" t="s">
        <v>2750</v>
      </c>
      <c r="F198" s="3" t="s">
        <v>86</v>
      </c>
      <c r="G198" s="9" t="s">
        <v>470</v>
      </c>
      <c r="H198" s="9" t="s">
        <v>472</v>
      </c>
      <c r="I198" s="3"/>
      <c r="J198" s="3"/>
      <c r="K198" s="9"/>
    </row>
    <row r="199" ht="15.75" customHeight="1">
      <c r="A199" s="10" t="s">
        <v>12</v>
      </c>
      <c r="B199" s="10" t="s">
        <v>82</v>
      </c>
      <c r="C199" s="10" t="s">
        <v>2756</v>
      </c>
      <c r="D199" s="11" t="str">
        <f t="shared" si="1"/>
        <v>Abrir anúncio ↗</v>
      </c>
      <c r="E199" s="12" t="s">
        <v>2758</v>
      </c>
      <c r="F199" s="10" t="s">
        <v>86</v>
      </c>
      <c r="G199" s="12" t="s">
        <v>470</v>
      </c>
      <c r="H199" s="12" t="s">
        <v>771</v>
      </c>
      <c r="I199" s="10"/>
      <c r="J199" s="10"/>
      <c r="K199" s="12"/>
    </row>
    <row r="200" ht="15.75" customHeight="1">
      <c r="A200" s="3" t="s">
        <v>12</v>
      </c>
      <c r="B200" s="3" t="s">
        <v>82</v>
      </c>
      <c r="C200" s="3" t="s">
        <v>2767</v>
      </c>
      <c r="D200" s="8" t="str">
        <f t="shared" si="1"/>
        <v>Abrir anúncio ↗</v>
      </c>
      <c r="E200" s="9" t="s">
        <v>2770</v>
      </c>
      <c r="F200" s="3" t="s">
        <v>86</v>
      </c>
      <c r="G200" s="9" t="s">
        <v>470</v>
      </c>
      <c r="H200" s="9" t="s">
        <v>519</v>
      </c>
      <c r="I200" s="3"/>
      <c r="J200" s="3"/>
      <c r="K200" s="9"/>
    </row>
    <row r="201" ht="15.75" customHeight="1">
      <c r="A201" s="10" t="s">
        <v>12</v>
      </c>
      <c r="B201" s="10" t="s">
        <v>82</v>
      </c>
      <c r="C201" s="10" t="s">
        <v>2776</v>
      </c>
      <c r="D201" s="11" t="str">
        <f t="shared" si="1"/>
        <v>Abrir anúncio ↗</v>
      </c>
      <c r="E201" s="12" t="s">
        <v>2777</v>
      </c>
      <c r="F201" s="10" t="s">
        <v>86</v>
      </c>
      <c r="G201" s="12" t="s">
        <v>470</v>
      </c>
      <c r="H201" s="12" t="s">
        <v>472</v>
      </c>
      <c r="I201" s="10"/>
      <c r="J201" s="10"/>
      <c r="K201" s="12"/>
    </row>
    <row r="202" ht="15.75" customHeight="1">
      <c r="A202" s="3" t="s">
        <v>12</v>
      </c>
      <c r="B202" s="3" t="s">
        <v>82</v>
      </c>
      <c r="C202" s="3" t="s">
        <v>2785</v>
      </c>
      <c r="D202" s="8" t="str">
        <f t="shared" si="1"/>
        <v>Abrir anúncio ↗</v>
      </c>
      <c r="E202" s="9" t="s">
        <v>2787</v>
      </c>
      <c r="F202" s="3" t="s">
        <v>86</v>
      </c>
      <c r="G202" s="9" t="s">
        <v>470</v>
      </c>
      <c r="H202" s="9" t="s">
        <v>472</v>
      </c>
      <c r="I202" s="3"/>
      <c r="J202" s="3"/>
      <c r="K202" s="9"/>
    </row>
    <row r="203" ht="15.75" customHeight="1">
      <c r="A203" s="10" t="s">
        <v>12</v>
      </c>
      <c r="B203" s="10" t="s">
        <v>82</v>
      </c>
      <c r="C203" s="10" t="s">
        <v>2794</v>
      </c>
      <c r="D203" s="11" t="str">
        <f t="shared" si="1"/>
        <v>Abrir anúncio ↗</v>
      </c>
      <c r="E203" s="12" t="s">
        <v>2797</v>
      </c>
      <c r="F203" s="10" t="s">
        <v>86</v>
      </c>
      <c r="G203" s="12" t="s">
        <v>470</v>
      </c>
      <c r="H203" s="12" t="s">
        <v>472</v>
      </c>
      <c r="I203" s="10"/>
      <c r="J203" s="10"/>
      <c r="K203" s="12"/>
    </row>
    <row r="204" ht="15.75" customHeight="1">
      <c r="A204" s="3" t="s">
        <v>12</v>
      </c>
      <c r="B204" s="3" t="s">
        <v>82</v>
      </c>
      <c r="C204" s="3" t="s">
        <v>2803</v>
      </c>
      <c r="D204" s="8" t="str">
        <f t="shared" si="1"/>
        <v>Abrir anúncio ↗</v>
      </c>
      <c r="E204" s="9" t="s">
        <v>2807</v>
      </c>
      <c r="F204" s="3" t="s">
        <v>86</v>
      </c>
      <c r="G204" s="9" t="s">
        <v>470</v>
      </c>
      <c r="H204" s="9" t="s">
        <v>584</v>
      </c>
      <c r="I204" s="3"/>
      <c r="J204" s="3"/>
      <c r="K204" s="9"/>
    </row>
    <row r="205" ht="15.75" customHeight="1">
      <c r="A205" s="10" t="s">
        <v>12</v>
      </c>
      <c r="B205" s="10" t="s">
        <v>82</v>
      </c>
      <c r="C205" s="10" t="s">
        <v>2815</v>
      </c>
      <c r="D205" s="11" t="str">
        <f t="shared" si="1"/>
        <v>Abrir anúncio ↗</v>
      </c>
      <c r="E205" s="12" t="s">
        <v>2817</v>
      </c>
      <c r="F205" s="10" t="s">
        <v>86</v>
      </c>
      <c r="G205" s="12" t="s">
        <v>470</v>
      </c>
      <c r="H205" s="12" t="s">
        <v>519</v>
      </c>
      <c r="I205" s="10"/>
      <c r="J205" s="10"/>
      <c r="K205" s="12"/>
    </row>
    <row r="206" ht="15.75" customHeight="1">
      <c r="A206" s="3" t="s">
        <v>12</v>
      </c>
      <c r="B206" s="3" t="s">
        <v>82</v>
      </c>
      <c r="C206" s="3" t="s">
        <v>2821</v>
      </c>
      <c r="D206" s="8" t="str">
        <f t="shared" si="1"/>
        <v>Abrir anúncio ↗</v>
      </c>
      <c r="E206" s="9" t="s">
        <v>2823</v>
      </c>
      <c r="F206" s="3" t="s">
        <v>86</v>
      </c>
      <c r="G206" s="9" t="s">
        <v>470</v>
      </c>
      <c r="H206" s="9" t="s">
        <v>771</v>
      </c>
      <c r="I206" s="3"/>
      <c r="J206" s="3"/>
      <c r="K206" s="9"/>
    </row>
    <row r="207" ht="15.75" customHeight="1">
      <c r="A207" s="10" t="s">
        <v>12</v>
      </c>
      <c r="B207" s="10" t="s">
        <v>82</v>
      </c>
      <c r="C207" s="10" t="s">
        <v>2828</v>
      </c>
      <c r="D207" s="11" t="str">
        <f t="shared" si="1"/>
        <v>Abrir anúncio ↗</v>
      </c>
      <c r="E207" s="12" t="s">
        <v>2831</v>
      </c>
      <c r="F207" s="10" t="s">
        <v>86</v>
      </c>
      <c r="G207" s="12" t="s">
        <v>965</v>
      </c>
      <c r="H207" s="12" t="s">
        <v>1676</v>
      </c>
      <c r="I207" s="10"/>
      <c r="J207" s="10"/>
      <c r="K207" s="12"/>
    </row>
    <row r="208" ht="15.75" customHeight="1">
      <c r="A208" s="3" t="s">
        <v>12</v>
      </c>
      <c r="B208" s="3" t="s">
        <v>82</v>
      </c>
      <c r="C208" s="3" t="s">
        <v>2837</v>
      </c>
      <c r="D208" s="8" t="str">
        <f t="shared" si="1"/>
        <v>Abrir anúncio ↗</v>
      </c>
      <c r="E208" s="9" t="s">
        <v>2841</v>
      </c>
      <c r="F208" s="3" t="s">
        <v>29</v>
      </c>
      <c r="G208" s="9" t="s">
        <v>965</v>
      </c>
      <c r="H208" s="9" t="s">
        <v>1676</v>
      </c>
      <c r="I208" s="3"/>
      <c r="J208" s="3"/>
      <c r="K208" s="9"/>
    </row>
    <row r="209" ht="15.75" customHeight="1">
      <c r="A209" s="10" t="s">
        <v>12</v>
      </c>
      <c r="B209" s="10" t="s">
        <v>82</v>
      </c>
      <c r="C209" s="10" t="s">
        <v>2846</v>
      </c>
      <c r="D209" s="11" t="str">
        <f t="shared" si="1"/>
        <v>Abrir anúncio ↗</v>
      </c>
      <c r="E209" s="12" t="s">
        <v>2850</v>
      </c>
      <c r="F209" s="10" t="s">
        <v>86</v>
      </c>
      <c r="G209" s="12" t="s">
        <v>470</v>
      </c>
      <c r="H209" s="12" t="s">
        <v>472</v>
      </c>
      <c r="I209" s="10"/>
      <c r="J209" s="10"/>
      <c r="K209" s="12"/>
    </row>
    <row r="210" ht="15.75" customHeight="1">
      <c r="A210" s="3" t="s">
        <v>12</v>
      </c>
      <c r="B210" s="3" t="s">
        <v>82</v>
      </c>
      <c r="C210" s="3" t="s">
        <v>2856</v>
      </c>
      <c r="D210" s="8" t="str">
        <f t="shared" si="1"/>
        <v>Abrir anúncio ↗</v>
      </c>
      <c r="E210" s="9" t="s">
        <v>2859</v>
      </c>
      <c r="F210" s="3" t="s">
        <v>29</v>
      </c>
      <c r="G210" s="9" t="s">
        <v>470</v>
      </c>
      <c r="H210" s="9" t="s">
        <v>519</v>
      </c>
      <c r="I210" s="3"/>
      <c r="J210" s="3"/>
      <c r="K210" s="9"/>
    </row>
    <row r="211" ht="15.75" customHeight="1">
      <c r="A211" s="10" t="s">
        <v>12</v>
      </c>
      <c r="B211" s="10" t="s">
        <v>82</v>
      </c>
      <c r="C211" s="10" t="s">
        <v>2863</v>
      </c>
      <c r="D211" s="11" t="str">
        <f t="shared" si="1"/>
        <v>Abrir anúncio ↗</v>
      </c>
      <c r="E211" s="12" t="s">
        <v>2867</v>
      </c>
      <c r="F211" s="10" t="s">
        <v>86</v>
      </c>
      <c r="G211" s="12" t="s">
        <v>470</v>
      </c>
      <c r="H211" s="12" t="s">
        <v>771</v>
      </c>
      <c r="I211" s="10"/>
      <c r="J211" s="10"/>
      <c r="K211" s="12"/>
    </row>
    <row r="212" ht="15.75" customHeight="1">
      <c r="A212" s="3" t="s">
        <v>12</v>
      </c>
      <c r="B212" s="3" t="s">
        <v>82</v>
      </c>
      <c r="C212" s="3" t="s">
        <v>2869</v>
      </c>
      <c r="D212" s="8" t="str">
        <f t="shared" si="1"/>
        <v>Abrir anúncio ↗</v>
      </c>
      <c r="E212" s="9" t="s">
        <v>2872</v>
      </c>
      <c r="F212" s="3" t="s">
        <v>86</v>
      </c>
      <c r="G212" s="9" t="s">
        <v>470</v>
      </c>
      <c r="H212" s="9" t="s">
        <v>472</v>
      </c>
      <c r="I212" s="3"/>
      <c r="J212" s="3"/>
      <c r="K212" s="9"/>
    </row>
    <row r="213" ht="15.75" customHeight="1">
      <c r="A213" s="10" t="s">
        <v>12</v>
      </c>
      <c r="B213" s="10" t="s">
        <v>82</v>
      </c>
      <c r="C213" s="10" t="s">
        <v>2878</v>
      </c>
      <c r="D213" s="11" t="str">
        <f t="shared" si="1"/>
        <v>Abrir anúncio ↗</v>
      </c>
      <c r="E213" s="12" t="s">
        <v>2881</v>
      </c>
      <c r="F213" s="10" t="s">
        <v>86</v>
      </c>
      <c r="G213" s="12" t="s">
        <v>470</v>
      </c>
      <c r="H213" s="12" t="s">
        <v>771</v>
      </c>
      <c r="I213" s="10"/>
      <c r="J213" s="10"/>
      <c r="K213" s="12"/>
    </row>
    <row r="214" ht="15.75" customHeight="1">
      <c r="A214" s="3" t="s">
        <v>12</v>
      </c>
      <c r="B214" s="3" t="s">
        <v>82</v>
      </c>
      <c r="C214" s="3" t="s">
        <v>2887</v>
      </c>
      <c r="D214" s="8" t="str">
        <f t="shared" si="1"/>
        <v>Abrir anúncio ↗</v>
      </c>
      <c r="E214" s="9" t="s">
        <v>2890</v>
      </c>
      <c r="F214" s="3" t="s">
        <v>86</v>
      </c>
      <c r="G214" s="9" t="s">
        <v>470</v>
      </c>
      <c r="H214" s="9" t="s">
        <v>472</v>
      </c>
      <c r="I214" s="3"/>
      <c r="J214" s="3"/>
      <c r="K214" s="9"/>
    </row>
    <row r="215" ht="15.75" customHeight="1">
      <c r="A215" s="10" t="s">
        <v>12</v>
      </c>
      <c r="B215" s="10" t="s">
        <v>82</v>
      </c>
      <c r="C215" s="10" t="s">
        <v>2897</v>
      </c>
      <c r="D215" s="11" t="str">
        <f t="shared" si="1"/>
        <v>Abrir anúncio ↗</v>
      </c>
      <c r="E215" s="12" t="s">
        <v>2900</v>
      </c>
      <c r="F215" s="10" t="s">
        <v>86</v>
      </c>
      <c r="G215" s="12" t="s">
        <v>470</v>
      </c>
      <c r="H215" s="12" t="s">
        <v>519</v>
      </c>
      <c r="I215" s="10"/>
      <c r="J215" s="10"/>
      <c r="K215" s="12"/>
    </row>
    <row r="216" ht="15.75" customHeight="1">
      <c r="A216" s="3" t="s">
        <v>12</v>
      </c>
      <c r="B216" s="3" t="s">
        <v>82</v>
      </c>
      <c r="C216" s="3" t="s">
        <v>2905</v>
      </c>
      <c r="D216" s="8" t="str">
        <f t="shared" si="1"/>
        <v>Abrir anúncio ↗</v>
      </c>
      <c r="E216" s="9" t="s">
        <v>2907</v>
      </c>
      <c r="F216" s="3" t="s">
        <v>86</v>
      </c>
      <c r="G216" s="9" t="s">
        <v>470</v>
      </c>
      <c r="H216" s="9" t="s">
        <v>472</v>
      </c>
      <c r="I216" s="3"/>
      <c r="J216" s="3"/>
      <c r="K216" s="9"/>
    </row>
    <row r="217" ht="15.75" customHeight="1">
      <c r="A217" s="10" t="s">
        <v>12</v>
      </c>
      <c r="B217" s="10" t="s">
        <v>82</v>
      </c>
      <c r="C217" s="10" t="s">
        <v>2912</v>
      </c>
      <c r="D217" s="11" t="str">
        <f t="shared" si="1"/>
        <v>Abrir anúncio ↗</v>
      </c>
      <c r="E217" s="12" t="s">
        <v>2914</v>
      </c>
      <c r="F217" s="10" t="s">
        <v>86</v>
      </c>
      <c r="G217" s="12" t="s">
        <v>470</v>
      </c>
      <c r="H217" s="12" t="s">
        <v>472</v>
      </c>
      <c r="I217" s="10"/>
      <c r="J217" s="10"/>
      <c r="K217" s="12"/>
    </row>
    <row r="218" ht="15.75" customHeight="1">
      <c r="A218" s="3" t="s">
        <v>12</v>
      </c>
      <c r="B218" s="3" t="s">
        <v>82</v>
      </c>
      <c r="C218" s="3" t="s">
        <v>2922</v>
      </c>
      <c r="D218" s="8" t="str">
        <f t="shared" si="1"/>
        <v>Abrir anúncio ↗</v>
      </c>
      <c r="E218" s="9" t="s">
        <v>2925</v>
      </c>
      <c r="F218" s="3" t="s">
        <v>86</v>
      </c>
      <c r="G218" s="9" t="s">
        <v>470</v>
      </c>
      <c r="H218" s="9" t="s">
        <v>771</v>
      </c>
      <c r="I218" s="3"/>
      <c r="J218" s="3"/>
      <c r="K218" s="9"/>
    </row>
    <row r="219" ht="15.75" customHeight="1">
      <c r="A219" s="10" t="s">
        <v>12</v>
      </c>
      <c r="B219" s="10" t="s">
        <v>82</v>
      </c>
      <c r="C219" s="10" t="s">
        <v>2930</v>
      </c>
      <c r="D219" s="11" t="str">
        <f t="shared" si="1"/>
        <v>Abrir anúncio ↗</v>
      </c>
      <c r="E219" s="12" t="s">
        <v>2933</v>
      </c>
      <c r="F219" s="10" t="s">
        <v>86</v>
      </c>
      <c r="G219" s="12" t="s">
        <v>470</v>
      </c>
      <c r="H219" s="12" t="s">
        <v>771</v>
      </c>
      <c r="I219" s="10"/>
      <c r="J219" s="10"/>
      <c r="K219" s="12"/>
    </row>
    <row r="220" ht="15.75" customHeight="1">
      <c r="A220" s="3" t="s">
        <v>12</v>
      </c>
      <c r="B220" s="3" t="s">
        <v>82</v>
      </c>
      <c r="C220" s="3" t="s">
        <v>2938</v>
      </c>
      <c r="D220" s="8" t="str">
        <f t="shared" si="1"/>
        <v>Abrir anúncio ↗</v>
      </c>
      <c r="E220" s="9" t="s">
        <v>2940</v>
      </c>
      <c r="F220" s="3" t="s">
        <v>86</v>
      </c>
      <c r="G220" s="9" t="s">
        <v>470</v>
      </c>
      <c r="H220" s="9" t="s">
        <v>472</v>
      </c>
      <c r="I220" s="3"/>
      <c r="J220" s="3"/>
      <c r="K220" s="9"/>
    </row>
    <row r="221" ht="15.75" customHeight="1">
      <c r="A221" s="10" t="s">
        <v>12</v>
      </c>
      <c r="B221" s="10" t="s">
        <v>82</v>
      </c>
      <c r="C221" s="10" t="s">
        <v>2948</v>
      </c>
      <c r="D221" s="11" t="str">
        <f t="shared" si="1"/>
        <v>Abrir anúncio ↗</v>
      </c>
      <c r="E221" s="12" t="s">
        <v>2950</v>
      </c>
      <c r="F221" s="10" t="s">
        <v>86</v>
      </c>
      <c r="G221" s="12" t="s">
        <v>470</v>
      </c>
      <c r="H221" s="12" t="s">
        <v>519</v>
      </c>
      <c r="I221" s="10"/>
      <c r="J221" s="10"/>
      <c r="K221" s="12"/>
    </row>
    <row r="222" ht="15.75" customHeight="1">
      <c r="A222" s="3" t="s">
        <v>12</v>
      </c>
      <c r="B222" s="3" t="s">
        <v>82</v>
      </c>
      <c r="C222" s="3" t="s">
        <v>2956</v>
      </c>
      <c r="D222" s="8" t="str">
        <f t="shared" si="1"/>
        <v>Abrir anúncio ↗</v>
      </c>
      <c r="E222" s="9" t="s">
        <v>2959</v>
      </c>
      <c r="F222" s="3" t="s">
        <v>86</v>
      </c>
      <c r="G222" s="9" t="s">
        <v>470</v>
      </c>
      <c r="H222" s="9" t="s">
        <v>771</v>
      </c>
      <c r="I222" s="3"/>
      <c r="J222" s="3"/>
      <c r="K222" s="9"/>
    </row>
    <row r="223" ht="15.75" customHeight="1">
      <c r="A223" s="10" t="s">
        <v>12</v>
      </c>
      <c r="B223" s="10" t="s">
        <v>82</v>
      </c>
      <c r="C223" s="10" t="s">
        <v>2966</v>
      </c>
      <c r="D223" s="11" t="str">
        <f t="shared" si="1"/>
        <v>Abrir anúncio ↗</v>
      </c>
      <c r="E223" s="12" t="s">
        <v>2969</v>
      </c>
      <c r="F223" s="10" t="s">
        <v>29</v>
      </c>
      <c r="G223" s="12" t="s">
        <v>470</v>
      </c>
      <c r="H223" s="12" t="s">
        <v>771</v>
      </c>
      <c r="I223" s="10"/>
      <c r="J223" s="10"/>
      <c r="K223" s="12"/>
    </row>
    <row r="224" ht="15.75" customHeight="1">
      <c r="A224" s="3" t="s">
        <v>12</v>
      </c>
      <c r="B224" s="3" t="s">
        <v>82</v>
      </c>
      <c r="C224" s="3" t="s">
        <v>2977</v>
      </c>
      <c r="D224" s="8" t="str">
        <f t="shared" si="1"/>
        <v>Abrir anúncio ↗</v>
      </c>
      <c r="E224" s="9" t="s">
        <v>2980</v>
      </c>
      <c r="F224" s="3" t="s">
        <v>86</v>
      </c>
      <c r="G224" s="9" t="s">
        <v>470</v>
      </c>
      <c r="H224" s="9" t="s">
        <v>584</v>
      </c>
      <c r="I224" s="3"/>
      <c r="J224" s="3"/>
      <c r="K224" s="9"/>
    </row>
    <row r="225" ht="15.75" customHeight="1">
      <c r="A225" s="10" t="s">
        <v>12</v>
      </c>
      <c r="B225" s="10" t="s">
        <v>82</v>
      </c>
      <c r="C225" s="10" t="s">
        <v>2988</v>
      </c>
      <c r="D225" s="11" t="str">
        <f t="shared" si="1"/>
        <v>Abrir anúncio ↗</v>
      </c>
      <c r="E225" s="12" t="s">
        <v>2990</v>
      </c>
      <c r="F225" s="10" t="s">
        <v>86</v>
      </c>
      <c r="G225" s="12" t="s">
        <v>470</v>
      </c>
      <c r="H225" s="12" t="s">
        <v>1106</v>
      </c>
      <c r="I225" s="10"/>
      <c r="J225" s="10"/>
      <c r="K225" s="12"/>
    </row>
    <row r="226" ht="15.75" customHeight="1">
      <c r="A226" s="3" t="s">
        <v>12</v>
      </c>
      <c r="B226" s="3" t="s">
        <v>82</v>
      </c>
      <c r="C226" s="3" t="s">
        <v>2998</v>
      </c>
      <c r="D226" s="8" t="str">
        <f t="shared" si="1"/>
        <v>Abrir anúncio ↗</v>
      </c>
      <c r="E226" s="9" t="s">
        <v>3001</v>
      </c>
      <c r="F226" s="3" t="s">
        <v>86</v>
      </c>
      <c r="G226" s="9" t="s">
        <v>470</v>
      </c>
      <c r="H226" s="9" t="s">
        <v>584</v>
      </c>
      <c r="I226" s="3"/>
      <c r="J226" s="3"/>
      <c r="K226" s="9"/>
    </row>
    <row r="227" ht="15.75" customHeight="1">
      <c r="A227" s="10" t="s">
        <v>12</v>
      </c>
      <c r="B227" s="10" t="s">
        <v>82</v>
      </c>
      <c r="C227" s="10" t="s">
        <v>3006</v>
      </c>
      <c r="D227" s="11" t="str">
        <f t="shared" si="1"/>
        <v>Abrir anúncio ↗</v>
      </c>
      <c r="E227" s="12" t="s">
        <v>3010</v>
      </c>
      <c r="F227" s="10" t="s">
        <v>86</v>
      </c>
      <c r="G227" s="12" t="s">
        <v>1054</v>
      </c>
      <c r="H227" s="12" t="s">
        <v>1750</v>
      </c>
      <c r="I227" s="10"/>
      <c r="J227" s="10"/>
      <c r="K227" s="12"/>
    </row>
    <row r="228" ht="15.75" customHeight="1">
      <c r="A228" s="3" t="s">
        <v>12</v>
      </c>
      <c r="B228" s="3" t="s">
        <v>82</v>
      </c>
      <c r="C228" s="3" t="s">
        <v>3017</v>
      </c>
      <c r="D228" s="8" t="str">
        <f t="shared" si="1"/>
        <v>Abrir anúncio ↗</v>
      </c>
      <c r="E228" s="9" t="s">
        <v>3018</v>
      </c>
      <c r="F228" s="3" t="s">
        <v>86</v>
      </c>
      <c r="G228" s="9" t="s">
        <v>1054</v>
      </c>
      <c r="H228" s="9" t="s">
        <v>1895</v>
      </c>
      <c r="I228" s="3"/>
      <c r="J228" s="3"/>
      <c r="K228" s="9"/>
    </row>
    <row r="229" ht="15.75" customHeight="1">
      <c r="A229" s="10" t="s">
        <v>12</v>
      </c>
      <c r="B229" s="10" t="s">
        <v>82</v>
      </c>
      <c r="C229" s="10" t="s">
        <v>3026</v>
      </c>
      <c r="D229" s="11" t="str">
        <f t="shared" si="1"/>
        <v>Abrir anúncio ↗</v>
      </c>
      <c r="E229" s="12" t="s">
        <v>3027</v>
      </c>
      <c r="F229" s="10" t="s">
        <v>86</v>
      </c>
      <c r="G229" s="12" t="s">
        <v>1054</v>
      </c>
      <c r="H229" s="12" t="s">
        <v>1651</v>
      </c>
      <c r="I229" s="10"/>
      <c r="J229" s="10"/>
      <c r="K229" s="12"/>
    </row>
    <row r="230" ht="15.75" customHeight="1">
      <c r="A230" s="3" t="s">
        <v>12</v>
      </c>
      <c r="B230" s="3" t="s">
        <v>82</v>
      </c>
      <c r="C230" s="3" t="s">
        <v>3035</v>
      </c>
      <c r="D230" s="8" t="str">
        <f t="shared" si="1"/>
        <v>Abrir anúncio ↗</v>
      </c>
      <c r="E230" s="9" t="s">
        <v>3037</v>
      </c>
      <c r="F230" s="3" t="s">
        <v>86</v>
      </c>
      <c r="G230" s="9" t="s">
        <v>1054</v>
      </c>
      <c r="H230" s="9" t="s">
        <v>1750</v>
      </c>
      <c r="I230" s="3"/>
      <c r="J230" s="3"/>
      <c r="K230" s="9"/>
    </row>
    <row r="231" ht="15.75" customHeight="1">
      <c r="A231" s="10" t="s">
        <v>12</v>
      </c>
      <c r="B231" s="10" t="s">
        <v>82</v>
      </c>
      <c r="C231" s="10" t="s">
        <v>3043</v>
      </c>
      <c r="D231" s="11" t="str">
        <f t="shared" si="1"/>
        <v>Abrir anúncio ↗</v>
      </c>
      <c r="E231" s="12" t="s">
        <v>3046</v>
      </c>
      <c r="F231" s="10" t="s">
        <v>86</v>
      </c>
      <c r="G231" s="12" t="s">
        <v>1054</v>
      </c>
      <c r="H231" s="12" t="s">
        <v>1056</v>
      </c>
      <c r="I231" s="10"/>
      <c r="J231" s="10"/>
      <c r="K231" s="12"/>
    </row>
    <row r="232" ht="15.75" customHeight="1">
      <c r="A232" s="3" t="s">
        <v>12</v>
      </c>
      <c r="B232" s="3" t="s">
        <v>82</v>
      </c>
      <c r="C232" s="3" t="s">
        <v>3053</v>
      </c>
      <c r="D232" s="8" t="str">
        <f t="shared" si="1"/>
        <v>Abrir anúncio ↗</v>
      </c>
      <c r="E232" s="9" t="s">
        <v>3055</v>
      </c>
      <c r="F232" s="3" t="s">
        <v>86</v>
      </c>
      <c r="G232" s="9" t="s">
        <v>470</v>
      </c>
      <c r="H232" s="9" t="s">
        <v>584</v>
      </c>
      <c r="I232" s="3"/>
      <c r="J232" s="3"/>
      <c r="K232" s="9"/>
    </row>
    <row r="233" ht="15.75" customHeight="1">
      <c r="A233" s="10" t="s">
        <v>12</v>
      </c>
      <c r="B233" s="10" t="s">
        <v>82</v>
      </c>
      <c r="C233" s="10" t="s">
        <v>3063</v>
      </c>
      <c r="D233" s="11" t="str">
        <f t="shared" si="1"/>
        <v>Abrir anúncio ↗</v>
      </c>
      <c r="E233" s="12" t="s">
        <v>3065</v>
      </c>
      <c r="F233" s="10" t="s">
        <v>86</v>
      </c>
      <c r="G233" s="12" t="s">
        <v>470</v>
      </c>
      <c r="H233" s="12" t="s">
        <v>519</v>
      </c>
      <c r="I233" s="10"/>
      <c r="J233" s="10"/>
      <c r="K233" s="12"/>
    </row>
    <row r="234" ht="15.75" customHeight="1">
      <c r="A234" s="3" t="s">
        <v>12</v>
      </c>
      <c r="B234" s="3" t="s">
        <v>82</v>
      </c>
      <c r="C234" s="3" t="s">
        <v>3072</v>
      </c>
      <c r="D234" s="8" t="str">
        <f t="shared" si="1"/>
        <v>Abrir anúncio ↗</v>
      </c>
      <c r="E234" s="9" t="s">
        <v>3074</v>
      </c>
      <c r="F234" s="3" t="s">
        <v>86</v>
      </c>
      <c r="G234" s="9" t="s">
        <v>470</v>
      </c>
      <c r="H234" s="9" t="s">
        <v>584</v>
      </c>
      <c r="I234" s="3"/>
      <c r="J234" s="3"/>
      <c r="K234" s="9"/>
    </row>
    <row r="235" ht="15.75" customHeight="1">
      <c r="A235" s="10" t="s">
        <v>12</v>
      </c>
      <c r="B235" s="10" t="s">
        <v>82</v>
      </c>
      <c r="C235" s="10" t="s">
        <v>3081</v>
      </c>
      <c r="D235" s="11" t="str">
        <f t="shared" si="1"/>
        <v>Abrir anúncio ↗</v>
      </c>
      <c r="E235" s="12" t="s">
        <v>3084</v>
      </c>
      <c r="F235" s="10" t="s">
        <v>86</v>
      </c>
      <c r="G235" s="12" t="s">
        <v>470</v>
      </c>
      <c r="H235" s="12" t="s">
        <v>1106</v>
      </c>
      <c r="I235" s="10"/>
      <c r="J235" s="10"/>
      <c r="K235" s="12"/>
    </row>
    <row r="236" ht="15.75" customHeight="1">
      <c r="A236" s="3" t="s">
        <v>12</v>
      </c>
      <c r="B236" s="3" t="s">
        <v>82</v>
      </c>
      <c r="C236" s="3" t="s">
        <v>3090</v>
      </c>
      <c r="D236" s="8" t="str">
        <f t="shared" si="1"/>
        <v>Abrir anúncio ↗</v>
      </c>
      <c r="E236" s="9" t="s">
        <v>3092</v>
      </c>
      <c r="F236" s="3" t="s">
        <v>86</v>
      </c>
      <c r="G236" s="9" t="s">
        <v>470</v>
      </c>
      <c r="H236" s="9" t="s">
        <v>584</v>
      </c>
      <c r="I236" s="3"/>
      <c r="J236" s="3"/>
      <c r="K236" s="9"/>
    </row>
    <row r="237" ht="15.75" customHeight="1">
      <c r="A237" s="10" t="s">
        <v>12</v>
      </c>
      <c r="B237" s="10" t="s">
        <v>82</v>
      </c>
      <c r="C237" s="10" t="s">
        <v>3098</v>
      </c>
      <c r="D237" s="11" t="str">
        <f t="shared" si="1"/>
        <v>Abrir anúncio ↗</v>
      </c>
      <c r="E237" s="12" t="s">
        <v>3001</v>
      </c>
      <c r="F237" s="10" t="s">
        <v>29</v>
      </c>
      <c r="G237" s="12" t="s">
        <v>470</v>
      </c>
      <c r="H237" s="12" t="s">
        <v>771</v>
      </c>
      <c r="I237" s="10"/>
      <c r="J237" s="10"/>
      <c r="K237" s="12"/>
    </row>
    <row r="238" ht="15.75" customHeight="1">
      <c r="A238" s="3" t="s">
        <v>12</v>
      </c>
      <c r="B238" s="3" t="s">
        <v>82</v>
      </c>
      <c r="C238" s="3" t="s">
        <v>3106</v>
      </c>
      <c r="D238" s="8" t="str">
        <f t="shared" si="1"/>
        <v>Abrir anúncio ↗</v>
      </c>
      <c r="E238" s="9" t="s">
        <v>3108</v>
      </c>
      <c r="F238" s="3" t="s">
        <v>86</v>
      </c>
      <c r="G238" s="9" t="s">
        <v>1662</v>
      </c>
      <c r="H238" s="9" t="s">
        <v>3109</v>
      </c>
      <c r="I238" s="3"/>
      <c r="J238" s="3"/>
      <c r="K238" s="9"/>
    </row>
    <row r="239" ht="15.75" customHeight="1">
      <c r="A239" s="10" t="s">
        <v>12</v>
      </c>
      <c r="B239" s="10" t="s">
        <v>82</v>
      </c>
      <c r="C239" s="10" t="s">
        <v>3116</v>
      </c>
      <c r="D239" s="11" t="str">
        <f t="shared" si="1"/>
        <v>Abrir anúncio ↗</v>
      </c>
      <c r="E239" s="12" t="s">
        <v>3119</v>
      </c>
      <c r="F239" s="10" t="s">
        <v>86</v>
      </c>
      <c r="G239" s="12" t="s">
        <v>1054</v>
      </c>
      <c r="H239" s="12" t="s">
        <v>1895</v>
      </c>
      <c r="I239" s="10"/>
      <c r="J239" s="10"/>
      <c r="K239" s="12"/>
    </row>
    <row r="240" ht="15.75" customHeight="1">
      <c r="A240" s="3" t="s">
        <v>12</v>
      </c>
      <c r="B240" s="3" t="s">
        <v>82</v>
      </c>
      <c r="C240" s="3" t="s">
        <v>3123</v>
      </c>
      <c r="D240" s="8" t="str">
        <f t="shared" si="1"/>
        <v>Abrir anúncio ↗</v>
      </c>
      <c r="E240" s="9" t="s">
        <v>3126</v>
      </c>
      <c r="F240" s="3" t="s">
        <v>86</v>
      </c>
      <c r="G240" s="9" t="s">
        <v>1054</v>
      </c>
      <c r="H240" s="9" t="s">
        <v>1750</v>
      </c>
      <c r="I240" s="3"/>
      <c r="J240" s="3"/>
      <c r="K240" s="9"/>
    </row>
    <row r="241" ht="15.75" customHeight="1">
      <c r="A241" s="10" t="s">
        <v>12</v>
      </c>
      <c r="B241" s="10" t="s">
        <v>82</v>
      </c>
      <c r="C241" s="10" t="s">
        <v>3132</v>
      </c>
      <c r="D241" s="11" t="str">
        <f t="shared" si="1"/>
        <v>Abrir anúncio ↗</v>
      </c>
      <c r="E241" s="12" t="s">
        <v>3135</v>
      </c>
      <c r="F241" s="10" t="s">
        <v>29</v>
      </c>
      <c r="G241" s="12" t="s">
        <v>1054</v>
      </c>
      <c r="H241" s="12" t="s">
        <v>1056</v>
      </c>
      <c r="I241" s="10"/>
      <c r="J241" s="10"/>
      <c r="K241" s="12"/>
    </row>
    <row r="242" ht="15.75" customHeight="1">
      <c r="A242" s="3" t="s">
        <v>12</v>
      </c>
      <c r="B242" s="3" t="s">
        <v>82</v>
      </c>
      <c r="C242" s="3" t="s">
        <v>3142</v>
      </c>
      <c r="D242" s="8" t="str">
        <f t="shared" si="1"/>
        <v>Abrir anúncio ↗</v>
      </c>
      <c r="E242" s="9" t="s">
        <v>3145</v>
      </c>
      <c r="F242" s="3" t="s">
        <v>86</v>
      </c>
      <c r="G242" s="9" t="s">
        <v>1054</v>
      </c>
      <c r="H242" s="9" t="s">
        <v>1895</v>
      </c>
      <c r="I242" s="3"/>
      <c r="J242" s="3"/>
      <c r="K242" s="9"/>
    </row>
    <row r="243" ht="15.75" customHeight="1">
      <c r="A243" s="10" t="s">
        <v>12</v>
      </c>
      <c r="B243" s="10" t="s">
        <v>82</v>
      </c>
      <c r="C243" s="10" t="s">
        <v>3150</v>
      </c>
      <c r="D243" s="11" t="str">
        <f t="shared" si="1"/>
        <v>Abrir anúncio ↗</v>
      </c>
      <c r="E243" s="12" t="s">
        <v>3152</v>
      </c>
      <c r="F243" s="10" t="s">
        <v>86</v>
      </c>
      <c r="G243" s="12" t="s">
        <v>1054</v>
      </c>
      <c r="H243" s="12" t="s">
        <v>1895</v>
      </c>
      <c r="I243" s="10"/>
      <c r="J243" s="10"/>
      <c r="K243" s="12"/>
    </row>
    <row r="244" ht="15.75" customHeight="1">
      <c r="A244" s="3" t="s">
        <v>12</v>
      </c>
      <c r="B244" s="3" t="s">
        <v>82</v>
      </c>
      <c r="C244" s="3" t="s">
        <v>3157</v>
      </c>
      <c r="D244" s="8" t="str">
        <f t="shared" si="1"/>
        <v>Abrir anúncio ↗</v>
      </c>
      <c r="E244" s="9" t="s">
        <v>3160</v>
      </c>
      <c r="F244" s="3" t="s">
        <v>86</v>
      </c>
      <c r="G244" s="9" t="s">
        <v>991</v>
      </c>
      <c r="H244" s="9" t="s">
        <v>993</v>
      </c>
      <c r="I244" s="3"/>
      <c r="J244" s="3"/>
      <c r="K244" s="9"/>
    </row>
    <row r="245" ht="15.75" customHeight="1">
      <c r="A245" s="10" t="s">
        <v>12</v>
      </c>
      <c r="B245" s="10" t="s">
        <v>82</v>
      </c>
      <c r="C245" s="10" t="s">
        <v>3170</v>
      </c>
      <c r="D245" s="11" t="str">
        <f t="shared" si="1"/>
        <v>Abrir anúncio ↗</v>
      </c>
      <c r="E245" s="12" t="s">
        <v>3084</v>
      </c>
      <c r="F245" s="10" t="s">
        <v>86</v>
      </c>
      <c r="G245" s="12" t="s">
        <v>991</v>
      </c>
      <c r="H245" s="12" t="s">
        <v>993</v>
      </c>
      <c r="I245" s="10"/>
      <c r="J245" s="10"/>
      <c r="K245" s="12"/>
    </row>
    <row r="246" ht="15.75" customHeight="1">
      <c r="A246" s="3" t="s">
        <v>12</v>
      </c>
      <c r="B246" s="3" t="s">
        <v>82</v>
      </c>
      <c r="C246" s="3" t="s">
        <v>3178</v>
      </c>
      <c r="D246" s="8" t="str">
        <f t="shared" si="1"/>
        <v>Abrir anúncio ↗</v>
      </c>
      <c r="E246" s="9" t="s">
        <v>3065</v>
      </c>
      <c r="F246" s="3" t="s">
        <v>86</v>
      </c>
      <c r="G246" s="9" t="s">
        <v>991</v>
      </c>
      <c r="H246" s="9" t="s">
        <v>993</v>
      </c>
      <c r="I246" s="3"/>
      <c r="J246" s="3"/>
      <c r="K246" s="9"/>
    </row>
    <row r="247" ht="15.75" customHeight="1">
      <c r="A247" s="10" t="s">
        <v>12</v>
      </c>
      <c r="B247" s="10" t="s">
        <v>82</v>
      </c>
      <c r="C247" s="10" t="s">
        <v>3186</v>
      </c>
      <c r="D247" s="11" t="str">
        <f t="shared" si="1"/>
        <v>Abrir anúncio ↗</v>
      </c>
      <c r="E247" s="12" t="s">
        <v>3188</v>
      </c>
      <c r="F247" s="10" t="s">
        <v>86</v>
      </c>
      <c r="G247" s="12" t="s">
        <v>965</v>
      </c>
      <c r="H247" s="12" t="s">
        <v>1676</v>
      </c>
      <c r="I247" s="10"/>
      <c r="J247" s="10"/>
      <c r="K247" s="12"/>
    </row>
    <row r="248" ht="15.75" customHeight="1">
      <c r="A248" s="3" t="s">
        <v>12</v>
      </c>
      <c r="B248" s="3" t="s">
        <v>82</v>
      </c>
      <c r="C248" s="3" t="s">
        <v>3195</v>
      </c>
      <c r="D248" s="8" t="str">
        <f t="shared" si="1"/>
        <v>Abrir anúncio ↗</v>
      </c>
      <c r="E248" s="9" t="s">
        <v>3197</v>
      </c>
      <c r="F248" s="3" t="s">
        <v>86</v>
      </c>
      <c r="G248" s="9" t="s">
        <v>965</v>
      </c>
      <c r="H248" s="9" t="s">
        <v>3201</v>
      </c>
      <c r="I248" s="3"/>
      <c r="J248" s="3"/>
      <c r="K248" s="9"/>
    </row>
    <row r="249" ht="15.75" customHeight="1">
      <c r="A249" s="10" t="s">
        <v>12</v>
      </c>
      <c r="B249" s="10" t="s">
        <v>82</v>
      </c>
      <c r="C249" s="10" t="s">
        <v>3205</v>
      </c>
      <c r="D249" s="11" t="str">
        <f t="shared" si="1"/>
        <v>Abrir anúncio ↗</v>
      </c>
      <c r="E249" s="12" t="s">
        <v>3207</v>
      </c>
      <c r="F249" s="10" t="s">
        <v>86</v>
      </c>
      <c r="G249" s="12" t="s">
        <v>965</v>
      </c>
      <c r="H249" s="12" t="s">
        <v>2008</v>
      </c>
      <c r="I249" s="10"/>
      <c r="J249" s="10"/>
      <c r="K249" s="12"/>
    </row>
    <row r="250" ht="15.75" customHeight="1">
      <c r="A250" s="3" t="s">
        <v>12</v>
      </c>
      <c r="B250" s="3" t="s">
        <v>82</v>
      </c>
      <c r="C250" s="3" t="s">
        <v>3214</v>
      </c>
      <c r="D250" s="8" t="str">
        <f t="shared" si="1"/>
        <v>Abrir anúncio ↗</v>
      </c>
      <c r="E250" s="9" t="s">
        <v>3217</v>
      </c>
      <c r="F250" s="3" t="s">
        <v>29</v>
      </c>
      <c r="G250" s="9" t="s">
        <v>965</v>
      </c>
      <c r="H250" s="9" t="s">
        <v>967</v>
      </c>
      <c r="I250" s="3"/>
      <c r="J250" s="3"/>
      <c r="K250" s="9"/>
    </row>
    <row r="251" ht="15.75" customHeight="1">
      <c r="A251" s="10" t="s">
        <v>12</v>
      </c>
      <c r="B251" s="10" t="s">
        <v>82</v>
      </c>
      <c r="C251" s="10" t="s">
        <v>3223</v>
      </c>
      <c r="D251" s="11" t="str">
        <f t="shared" si="1"/>
        <v>Abrir anúncio ↗</v>
      </c>
      <c r="E251" s="12" t="s">
        <v>3226</v>
      </c>
      <c r="F251" s="10" t="s">
        <v>86</v>
      </c>
      <c r="G251" s="12" t="s">
        <v>470</v>
      </c>
      <c r="H251" s="12" t="s">
        <v>1106</v>
      </c>
      <c r="I251" s="10"/>
      <c r="J251" s="10"/>
      <c r="K251" s="12"/>
    </row>
    <row r="252" ht="15.75" customHeight="1">
      <c r="A252" s="3" t="s">
        <v>12</v>
      </c>
      <c r="B252" s="3" t="s">
        <v>82</v>
      </c>
      <c r="C252" s="3" t="s">
        <v>3234</v>
      </c>
      <c r="D252" s="8" t="str">
        <f t="shared" si="1"/>
        <v>Abrir anúncio ↗</v>
      </c>
      <c r="E252" s="9" t="s">
        <v>3239</v>
      </c>
      <c r="F252" s="3" t="s">
        <v>86</v>
      </c>
      <c r="G252" s="9" t="s">
        <v>470</v>
      </c>
      <c r="H252" s="9" t="s">
        <v>472</v>
      </c>
      <c r="I252" s="3"/>
      <c r="J252" s="3"/>
      <c r="K252" s="9"/>
    </row>
    <row r="253" ht="15.75" customHeight="1">
      <c r="A253" s="10" t="s">
        <v>12</v>
      </c>
      <c r="B253" s="10" t="s">
        <v>82</v>
      </c>
      <c r="C253" s="10" t="s">
        <v>3247</v>
      </c>
      <c r="D253" s="11" t="str">
        <f t="shared" si="1"/>
        <v>Abrir anúncio ↗</v>
      </c>
      <c r="E253" s="12" t="s">
        <v>3249</v>
      </c>
      <c r="F253" s="10" t="s">
        <v>86</v>
      </c>
      <c r="G253" s="12" t="s">
        <v>470</v>
      </c>
      <c r="H253" s="12" t="s">
        <v>519</v>
      </c>
      <c r="I253" s="10"/>
      <c r="J253" s="10"/>
      <c r="K253" s="12"/>
    </row>
    <row r="254" ht="15.75" customHeight="1">
      <c r="A254" s="3" t="s">
        <v>12</v>
      </c>
      <c r="B254" s="3" t="s">
        <v>82</v>
      </c>
      <c r="C254" s="3" t="s">
        <v>3258</v>
      </c>
      <c r="D254" s="8" t="str">
        <f t="shared" si="1"/>
        <v>Abrir anúncio ↗</v>
      </c>
      <c r="E254" s="9" t="s">
        <v>3259</v>
      </c>
      <c r="F254" s="3" t="s">
        <v>86</v>
      </c>
      <c r="G254" s="9" t="s">
        <v>470</v>
      </c>
      <c r="H254" s="9" t="s">
        <v>1106</v>
      </c>
      <c r="I254" s="3"/>
      <c r="J254" s="3"/>
      <c r="K254" s="9"/>
    </row>
    <row r="255" ht="15.75" customHeight="1">
      <c r="A255" s="10" t="s">
        <v>12</v>
      </c>
      <c r="B255" s="10" t="s">
        <v>82</v>
      </c>
      <c r="C255" s="10" t="s">
        <v>3268</v>
      </c>
      <c r="D255" s="11" t="str">
        <f t="shared" si="1"/>
        <v>Abrir anúncio ↗</v>
      </c>
      <c r="E255" s="12" t="s">
        <v>3270</v>
      </c>
      <c r="F255" s="10" t="s">
        <v>29</v>
      </c>
      <c r="G255" s="12" t="s">
        <v>470</v>
      </c>
      <c r="H255" s="12" t="s">
        <v>472</v>
      </c>
      <c r="I255" s="10"/>
      <c r="J255" s="10"/>
      <c r="K255" s="12"/>
    </row>
    <row r="256" ht="15.75" customHeight="1">
      <c r="A256" s="3" t="s">
        <v>12</v>
      </c>
      <c r="B256" s="3" t="s">
        <v>82</v>
      </c>
      <c r="C256" s="3" t="s">
        <v>3279</v>
      </c>
      <c r="D256" s="8" t="str">
        <f t="shared" si="1"/>
        <v>Abrir anúncio ↗</v>
      </c>
      <c r="E256" s="9" t="s">
        <v>3281</v>
      </c>
      <c r="F256" s="3" t="s">
        <v>86</v>
      </c>
      <c r="G256" s="9" t="s">
        <v>470</v>
      </c>
      <c r="H256" s="9" t="s">
        <v>472</v>
      </c>
      <c r="I256" s="3"/>
      <c r="J256" s="3"/>
      <c r="K256" s="9"/>
    </row>
    <row r="257" ht="15.75" customHeight="1">
      <c r="A257" s="10" t="s">
        <v>12</v>
      </c>
      <c r="B257" s="10" t="s">
        <v>82</v>
      </c>
      <c r="C257" s="10" t="s">
        <v>3290</v>
      </c>
      <c r="D257" s="11" t="str">
        <f t="shared" si="1"/>
        <v>Abrir anúncio ↗</v>
      </c>
      <c r="E257" s="12" t="s">
        <v>3292</v>
      </c>
      <c r="F257" s="10" t="s">
        <v>29</v>
      </c>
      <c r="G257" s="12" t="s">
        <v>470</v>
      </c>
      <c r="H257" s="12" t="s">
        <v>472</v>
      </c>
      <c r="I257" s="10"/>
      <c r="J257" s="10"/>
      <c r="K257" s="12"/>
    </row>
    <row r="258" ht="15.75" customHeight="1">
      <c r="A258" s="3" t="s">
        <v>12</v>
      </c>
      <c r="B258" s="3" t="s">
        <v>82</v>
      </c>
      <c r="C258" s="3" t="s">
        <v>3300</v>
      </c>
      <c r="D258" s="8" t="str">
        <f t="shared" si="1"/>
        <v>Abrir anúncio ↗</v>
      </c>
      <c r="E258" s="9" t="s">
        <v>3303</v>
      </c>
      <c r="F258" s="3" t="s">
        <v>86</v>
      </c>
      <c r="G258" s="9" t="s">
        <v>470</v>
      </c>
      <c r="H258" s="9" t="s">
        <v>1106</v>
      </c>
      <c r="I258" s="3"/>
      <c r="J258" s="3"/>
      <c r="K258" s="9"/>
    </row>
    <row r="259" ht="15.75" customHeight="1">
      <c r="A259" s="10" t="s">
        <v>12</v>
      </c>
      <c r="B259" s="10" t="s">
        <v>82</v>
      </c>
      <c r="C259" s="10" t="s">
        <v>3311</v>
      </c>
      <c r="D259" s="11" t="str">
        <f t="shared" si="1"/>
        <v>Abrir anúncio ↗</v>
      </c>
      <c r="E259" s="12" t="s">
        <v>3314</v>
      </c>
      <c r="F259" s="10" t="s">
        <v>86</v>
      </c>
      <c r="G259" s="12" t="s">
        <v>470</v>
      </c>
      <c r="H259" s="12" t="s">
        <v>1106</v>
      </c>
      <c r="I259" s="10"/>
      <c r="J259" s="10"/>
      <c r="K259" s="12"/>
    </row>
    <row r="260" ht="15.75" customHeight="1">
      <c r="A260" s="3" t="s">
        <v>12</v>
      </c>
      <c r="B260" s="3" t="s">
        <v>82</v>
      </c>
      <c r="C260" s="3" t="s">
        <v>3322</v>
      </c>
      <c r="D260" s="8" t="str">
        <f t="shared" si="1"/>
        <v>Abrir anúncio ↗</v>
      </c>
      <c r="E260" s="9" t="s">
        <v>3325</v>
      </c>
      <c r="F260" s="3" t="s">
        <v>86</v>
      </c>
      <c r="G260" s="9" t="s">
        <v>470</v>
      </c>
      <c r="H260" s="9" t="s">
        <v>519</v>
      </c>
      <c r="I260" s="3"/>
      <c r="J260" s="3"/>
      <c r="K260" s="9"/>
    </row>
    <row r="261" ht="15.75" customHeight="1">
      <c r="A261" s="10" t="s">
        <v>12</v>
      </c>
      <c r="B261" s="10" t="s">
        <v>82</v>
      </c>
      <c r="C261" s="10" t="s">
        <v>3331</v>
      </c>
      <c r="D261" s="11" t="str">
        <f t="shared" si="1"/>
        <v>Abrir anúncio ↗</v>
      </c>
      <c r="E261" s="12" t="s">
        <v>3334</v>
      </c>
      <c r="F261" s="10" t="s">
        <v>86</v>
      </c>
      <c r="G261" s="12" t="s">
        <v>470</v>
      </c>
      <c r="H261" s="12" t="s">
        <v>771</v>
      </c>
      <c r="I261" s="10"/>
      <c r="J261" s="10"/>
      <c r="K261" s="12"/>
    </row>
    <row r="262" ht="15.75" customHeight="1">
      <c r="A262" s="3" t="s">
        <v>12</v>
      </c>
      <c r="B262" s="3" t="s">
        <v>82</v>
      </c>
      <c r="C262" s="3" t="s">
        <v>3341</v>
      </c>
      <c r="D262" s="8" t="str">
        <f t="shared" si="1"/>
        <v>Abrir anúncio ↗</v>
      </c>
      <c r="E262" s="9" t="s">
        <v>3344</v>
      </c>
      <c r="F262" s="3" t="s">
        <v>86</v>
      </c>
      <c r="G262" s="9" t="s">
        <v>991</v>
      </c>
      <c r="H262" s="9" t="s">
        <v>993</v>
      </c>
      <c r="I262" s="3"/>
      <c r="J262" s="3"/>
      <c r="K262" s="9"/>
    </row>
    <row r="263" ht="15.75" customHeight="1">
      <c r="A263" s="10" t="s">
        <v>12</v>
      </c>
      <c r="B263" s="10" t="s">
        <v>82</v>
      </c>
      <c r="C263" s="10" t="s">
        <v>3353</v>
      </c>
      <c r="D263" s="11" t="str">
        <f t="shared" si="1"/>
        <v>Abrir anúncio ↗</v>
      </c>
      <c r="E263" s="12" t="s">
        <v>3355</v>
      </c>
      <c r="F263" s="10" t="s">
        <v>86</v>
      </c>
      <c r="G263" s="12" t="s">
        <v>965</v>
      </c>
      <c r="H263" s="12" t="s">
        <v>2008</v>
      </c>
      <c r="I263" s="10"/>
      <c r="J263" s="10"/>
      <c r="K263" s="12"/>
    </row>
    <row r="264" ht="15.75" customHeight="1">
      <c r="A264" s="3" t="s">
        <v>12</v>
      </c>
      <c r="B264" s="3" t="s">
        <v>82</v>
      </c>
      <c r="C264" s="3" t="s">
        <v>3364</v>
      </c>
      <c r="D264" s="8" t="str">
        <f t="shared" si="1"/>
        <v>Abrir anúncio ↗</v>
      </c>
      <c r="E264" s="9" t="s">
        <v>3366</v>
      </c>
      <c r="F264" s="3" t="s">
        <v>86</v>
      </c>
      <c r="G264" s="9" t="s">
        <v>965</v>
      </c>
      <c r="H264" s="9" t="s">
        <v>3369</v>
      </c>
      <c r="I264" s="3"/>
      <c r="J264" s="3"/>
      <c r="K264" s="9"/>
    </row>
    <row r="265" ht="15.75" customHeight="1">
      <c r="A265" s="10" t="s">
        <v>12</v>
      </c>
      <c r="B265" s="10" t="s">
        <v>82</v>
      </c>
      <c r="C265" s="10" t="s">
        <v>3375</v>
      </c>
      <c r="D265" s="11" t="str">
        <f t="shared" si="1"/>
        <v>Abrir anúncio ↗</v>
      </c>
      <c r="E265" s="12" t="s">
        <v>3377</v>
      </c>
      <c r="F265" s="10" t="s">
        <v>86</v>
      </c>
      <c r="G265" s="12" t="s">
        <v>965</v>
      </c>
      <c r="H265" s="12" t="s">
        <v>967</v>
      </c>
      <c r="I265" s="10"/>
      <c r="J265" s="10"/>
      <c r="K265" s="12"/>
    </row>
    <row r="266" ht="15.75" customHeight="1">
      <c r="A266" s="3" t="s">
        <v>12</v>
      </c>
      <c r="B266" s="3" t="s">
        <v>82</v>
      </c>
      <c r="C266" s="3" t="s">
        <v>3389</v>
      </c>
      <c r="D266" s="8" t="str">
        <f t="shared" si="1"/>
        <v>Abrir anúncio ↗</v>
      </c>
      <c r="E266" s="9" t="s">
        <v>3392</v>
      </c>
      <c r="F266" s="3" t="s">
        <v>86</v>
      </c>
      <c r="G266" s="9" t="s">
        <v>965</v>
      </c>
      <c r="H266" s="9" t="s">
        <v>1676</v>
      </c>
      <c r="I266" s="3"/>
      <c r="J266" s="3"/>
      <c r="K266" s="9"/>
    </row>
    <row r="267" ht="15.75" customHeight="1">
      <c r="A267" s="10" t="s">
        <v>12</v>
      </c>
      <c r="B267" s="10" t="s">
        <v>82</v>
      </c>
      <c r="C267" s="10" t="s">
        <v>3400</v>
      </c>
      <c r="D267" s="11" t="str">
        <f t="shared" si="1"/>
        <v>Abrir anúncio ↗</v>
      </c>
      <c r="E267" s="12" t="s">
        <v>3404</v>
      </c>
      <c r="F267" s="10" t="s">
        <v>86</v>
      </c>
      <c r="G267" s="12" t="s">
        <v>965</v>
      </c>
      <c r="H267" s="12" t="s">
        <v>2008</v>
      </c>
      <c r="I267" s="10"/>
      <c r="J267" s="10"/>
      <c r="K267" s="12"/>
    </row>
    <row r="268" ht="15.75" customHeight="1">
      <c r="A268" s="3" t="s">
        <v>12</v>
      </c>
      <c r="B268" s="3" t="s">
        <v>82</v>
      </c>
      <c r="C268" s="3" t="s">
        <v>3413</v>
      </c>
      <c r="D268" s="8" t="str">
        <f t="shared" si="1"/>
        <v>Abrir anúncio ↗</v>
      </c>
      <c r="E268" s="9" t="s">
        <v>3416</v>
      </c>
      <c r="F268" s="3" t="s">
        <v>86</v>
      </c>
      <c r="G268" s="9" t="s">
        <v>965</v>
      </c>
      <c r="H268" s="9" t="s">
        <v>3369</v>
      </c>
      <c r="I268" s="3"/>
      <c r="J268" s="3"/>
      <c r="K268" s="9"/>
    </row>
    <row r="269" ht="15.75" customHeight="1">
      <c r="A269" s="10" t="s">
        <v>12</v>
      </c>
      <c r="B269" s="10" t="s">
        <v>82</v>
      </c>
      <c r="C269" s="10" t="s">
        <v>3426</v>
      </c>
      <c r="D269" s="11" t="str">
        <f t="shared" si="1"/>
        <v>Abrir anúncio ↗</v>
      </c>
      <c r="E269" s="12" t="s">
        <v>3428</v>
      </c>
      <c r="F269" s="10" t="s">
        <v>86</v>
      </c>
      <c r="G269" s="12" t="s">
        <v>1054</v>
      </c>
      <c r="H269" s="12" t="s">
        <v>1862</v>
      </c>
      <c r="I269" s="10"/>
      <c r="J269" s="10"/>
      <c r="K269" s="12"/>
    </row>
    <row r="270" ht="15.75" customHeight="1">
      <c r="A270" s="3" t="s">
        <v>12</v>
      </c>
      <c r="B270" s="3" t="s">
        <v>82</v>
      </c>
      <c r="C270" s="3" t="s">
        <v>3436</v>
      </c>
      <c r="D270" s="8" t="str">
        <f t="shared" si="1"/>
        <v>Abrir anúncio ↗</v>
      </c>
      <c r="E270" s="9" t="s">
        <v>3438</v>
      </c>
      <c r="F270" s="3" t="s">
        <v>86</v>
      </c>
      <c r="G270" s="9" t="s">
        <v>965</v>
      </c>
      <c r="H270" s="9" t="s">
        <v>3442</v>
      </c>
      <c r="I270" s="3"/>
      <c r="J270" s="3"/>
      <c r="K270" s="9"/>
    </row>
    <row r="271" ht="15.75" customHeight="1">
      <c r="A271" s="10" t="s">
        <v>12</v>
      </c>
      <c r="B271" s="10" t="s">
        <v>82</v>
      </c>
      <c r="C271" s="10" t="s">
        <v>3450</v>
      </c>
      <c r="D271" s="11" t="str">
        <f t="shared" si="1"/>
        <v>Abrir anúncio ↗</v>
      </c>
      <c r="E271" s="12" t="s">
        <v>3453</v>
      </c>
      <c r="F271" s="10" t="s">
        <v>29</v>
      </c>
      <c r="G271" s="12" t="s">
        <v>1054</v>
      </c>
      <c r="H271" s="12" t="s">
        <v>1750</v>
      </c>
      <c r="I271" s="10"/>
      <c r="J271" s="10"/>
      <c r="K271" s="12"/>
    </row>
    <row r="272" ht="15.75" customHeight="1">
      <c r="A272" s="3" t="s">
        <v>12</v>
      </c>
      <c r="B272" s="3" t="s">
        <v>82</v>
      </c>
      <c r="C272" s="3" t="s">
        <v>3462</v>
      </c>
      <c r="D272" s="8" t="str">
        <f t="shared" si="1"/>
        <v>Abrir anúncio ↗</v>
      </c>
      <c r="E272" s="9" t="s">
        <v>3464</v>
      </c>
      <c r="F272" s="3" t="s">
        <v>86</v>
      </c>
      <c r="G272" s="9" t="s">
        <v>1054</v>
      </c>
      <c r="H272" s="9" t="s">
        <v>1923</v>
      </c>
      <c r="I272" s="3"/>
      <c r="J272" s="3"/>
      <c r="K272" s="9"/>
    </row>
    <row r="273" ht="15.75" customHeight="1">
      <c r="A273" s="10" t="s">
        <v>12</v>
      </c>
      <c r="B273" s="10" t="s">
        <v>82</v>
      </c>
      <c r="C273" s="10" t="s">
        <v>3471</v>
      </c>
      <c r="D273" s="11" t="str">
        <f t="shared" si="1"/>
        <v>Abrir anúncio ↗</v>
      </c>
      <c r="E273" s="12" t="s">
        <v>3472</v>
      </c>
      <c r="F273" s="10" t="s">
        <v>29</v>
      </c>
      <c r="G273" s="12" t="s">
        <v>470</v>
      </c>
      <c r="H273" s="12" t="s">
        <v>472</v>
      </c>
      <c r="I273" s="10"/>
      <c r="J273" s="10"/>
      <c r="K273" s="12"/>
    </row>
    <row r="274" ht="15.75" customHeight="1">
      <c r="A274" s="3" t="s">
        <v>12</v>
      </c>
      <c r="B274" s="3" t="s">
        <v>82</v>
      </c>
      <c r="C274" s="3" t="s">
        <v>3481</v>
      </c>
      <c r="D274" s="8" t="str">
        <f t="shared" si="1"/>
        <v>Abrir anúncio ↗</v>
      </c>
      <c r="E274" s="9" t="s">
        <v>3482</v>
      </c>
      <c r="F274" s="3" t="s">
        <v>29</v>
      </c>
      <c r="G274" s="9" t="s">
        <v>470</v>
      </c>
      <c r="H274" s="9" t="s">
        <v>584</v>
      </c>
      <c r="I274" s="3"/>
      <c r="J274" s="3"/>
      <c r="K274" s="9"/>
    </row>
    <row r="275" ht="15.75" customHeight="1">
      <c r="A275" s="10" t="s">
        <v>12</v>
      </c>
      <c r="B275" s="10" t="s">
        <v>82</v>
      </c>
      <c r="C275" s="10" t="s">
        <v>3491</v>
      </c>
      <c r="D275" s="11" t="str">
        <f t="shared" si="1"/>
        <v>Abrir anúncio ↗</v>
      </c>
      <c r="E275" s="12" t="s">
        <v>3494</v>
      </c>
      <c r="F275" s="10" t="s">
        <v>29</v>
      </c>
      <c r="G275" s="12" t="s">
        <v>470</v>
      </c>
      <c r="H275" s="12" t="s">
        <v>584</v>
      </c>
      <c r="I275" s="10"/>
      <c r="J275" s="10"/>
      <c r="K275" s="12"/>
    </row>
    <row r="276" ht="15.75" customHeight="1">
      <c r="A276" s="3" t="s">
        <v>12</v>
      </c>
      <c r="B276" s="3" t="s">
        <v>82</v>
      </c>
      <c r="C276" s="3" t="s">
        <v>3502</v>
      </c>
      <c r="D276" s="8" t="str">
        <f t="shared" si="1"/>
        <v>Abrir anúncio ↗</v>
      </c>
      <c r="E276" s="9" t="s">
        <v>3506</v>
      </c>
      <c r="F276" s="3" t="s">
        <v>86</v>
      </c>
      <c r="G276" s="9" t="s">
        <v>470</v>
      </c>
      <c r="H276" s="9" t="s">
        <v>472</v>
      </c>
      <c r="I276" s="3"/>
      <c r="J276" s="3"/>
      <c r="K276" s="9"/>
    </row>
    <row r="277" ht="15.75" customHeight="1">
      <c r="A277" s="10" t="s">
        <v>12</v>
      </c>
      <c r="B277" s="10" t="s">
        <v>82</v>
      </c>
      <c r="C277" s="10" t="s">
        <v>3513</v>
      </c>
      <c r="D277" s="11" t="str">
        <f t="shared" si="1"/>
        <v>Abrir anúncio ↗</v>
      </c>
      <c r="E277" s="12" t="s">
        <v>3517</v>
      </c>
      <c r="F277" s="10" t="s">
        <v>29</v>
      </c>
      <c r="G277" s="12" t="s">
        <v>470</v>
      </c>
      <c r="H277" s="12" t="s">
        <v>584</v>
      </c>
      <c r="I277" s="10"/>
      <c r="J277" s="10"/>
      <c r="K277" s="12"/>
    </row>
    <row r="278" ht="15.75" customHeight="1">
      <c r="A278" s="3" t="s">
        <v>12</v>
      </c>
      <c r="B278" s="3" t="s">
        <v>82</v>
      </c>
      <c r="C278" s="3" t="s">
        <v>3527</v>
      </c>
      <c r="D278" s="8" t="str">
        <f t="shared" si="1"/>
        <v>Abrir anúncio ↗</v>
      </c>
      <c r="E278" s="9" t="s">
        <v>3530</v>
      </c>
      <c r="F278" s="3" t="s">
        <v>29</v>
      </c>
      <c r="G278" s="9" t="s">
        <v>470</v>
      </c>
      <c r="H278" s="9" t="s">
        <v>584</v>
      </c>
      <c r="I278" s="3"/>
      <c r="J278" s="3"/>
      <c r="K278" s="9"/>
    </row>
    <row r="279" ht="15.75" customHeight="1">
      <c r="A279" s="10" t="s">
        <v>12</v>
      </c>
      <c r="B279" s="10" t="s">
        <v>82</v>
      </c>
      <c r="C279" s="10" t="s">
        <v>3539</v>
      </c>
      <c r="D279" s="11" t="str">
        <f t="shared" si="1"/>
        <v>Abrir anúncio ↗</v>
      </c>
      <c r="E279" s="12" t="s">
        <v>3541</v>
      </c>
      <c r="F279" s="10" t="s">
        <v>86</v>
      </c>
      <c r="G279" s="12" t="s">
        <v>1054</v>
      </c>
      <c r="H279" s="12" t="s">
        <v>3543</v>
      </c>
      <c r="I279" s="10"/>
      <c r="J279" s="10"/>
      <c r="K279" s="12"/>
    </row>
    <row r="280" ht="15.75" customHeight="1">
      <c r="A280" s="3" t="s">
        <v>12</v>
      </c>
      <c r="B280" s="3" t="s">
        <v>82</v>
      </c>
      <c r="C280" s="3" t="s">
        <v>3551</v>
      </c>
      <c r="D280" s="8" t="str">
        <f t="shared" si="1"/>
        <v>Abrir anúncio ↗</v>
      </c>
      <c r="E280" s="9" t="s">
        <v>3553</v>
      </c>
      <c r="F280" s="3" t="s">
        <v>86</v>
      </c>
      <c r="G280" s="9" t="s">
        <v>470</v>
      </c>
      <c r="H280" s="9" t="s">
        <v>472</v>
      </c>
      <c r="I280" s="3"/>
      <c r="J280" s="3"/>
      <c r="K280" s="9"/>
    </row>
    <row r="281" ht="15.75" customHeight="1">
      <c r="A281" s="10" t="s">
        <v>12</v>
      </c>
      <c r="B281" s="10" t="s">
        <v>82</v>
      </c>
      <c r="C281" s="10" t="s">
        <v>3560</v>
      </c>
      <c r="D281" s="11" t="str">
        <f t="shared" si="1"/>
        <v>Abrir anúncio ↗</v>
      </c>
      <c r="E281" s="12" t="s">
        <v>3564</v>
      </c>
      <c r="F281" s="10" t="s">
        <v>86</v>
      </c>
      <c r="G281" s="12" t="s">
        <v>965</v>
      </c>
      <c r="H281" s="12" t="s">
        <v>967</v>
      </c>
      <c r="I281" s="10"/>
      <c r="J281" s="10"/>
      <c r="K281" s="12"/>
    </row>
    <row r="282" ht="15.75" customHeight="1">
      <c r="A282" s="3" t="s">
        <v>12</v>
      </c>
      <c r="B282" s="3" t="s">
        <v>82</v>
      </c>
      <c r="C282" s="3" t="s">
        <v>3573</v>
      </c>
      <c r="D282" s="8" t="str">
        <f t="shared" si="1"/>
        <v>Abrir anúncio ↗</v>
      </c>
      <c r="E282" s="9" t="s">
        <v>3575</v>
      </c>
      <c r="F282" s="3" t="s">
        <v>86</v>
      </c>
      <c r="G282" s="9" t="s">
        <v>965</v>
      </c>
      <c r="H282" s="9" t="s">
        <v>1934</v>
      </c>
      <c r="I282" s="3"/>
      <c r="J282" s="3"/>
      <c r="K282" s="9"/>
    </row>
    <row r="283" ht="15.75" customHeight="1">
      <c r="A283" s="10" t="s">
        <v>12</v>
      </c>
      <c r="B283" s="10" t="s">
        <v>82</v>
      </c>
      <c r="C283" s="10" t="s">
        <v>3582</v>
      </c>
      <c r="D283" s="11" t="str">
        <f t="shared" si="1"/>
        <v>Abrir anúncio ↗</v>
      </c>
      <c r="E283" s="12" t="s">
        <v>3586</v>
      </c>
      <c r="F283" s="10" t="s">
        <v>86</v>
      </c>
      <c r="G283" s="12" t="s">
        <v>1054</v>
      </c>
      <c r="H283" s="12" t="s">
        <v>3588</v>
      </c>
      <c r="I283" s="10"/>
      <c r="J283" s="10"/>
      <c r="K283" s="12"/>
    </row>
    <row r="284" ht="15.75" customHeight="1">
      <c r="A284" s="3" t="s">
        <v>12</v>
      </c>
      <c r="B284" s="3" t="s">
        <v>82</v>
      </c>
      <c r="C284" s="3" t="s">
        <v>3594</v>
      </c>
      <c r="D284" s="8" t="str">
        <f t="shared" si="1"/>
        <v>Abrir anúncio ↗</v>
      </c>
      <c r="E284" s="9" t="s">
        <v>3596</v>
      </c>
      <c r="F284" s="3" t="s">
        <v>86</v>
      </c>
      <c r="G284" s="9" t="s">
        <v>1054</v>
      </c>
      <c r="H284" s="9" t="s">
        <v>1651</v>
      </c>
      <c r="I284" s="3"/>
      <c r="J284" s="3"/>
      <c r="K284" s="9"/>
    </row>
    <row r="285" ht="15.75" customHeight="1">
      <c r="A285" s="10" t="s">
        <v>12</v>
      </c>
      <c r="B285" s="10" t="s">
        <v>82</v>
      </c>
      <c r="C285" s="10" t="s">
        <v>3605</v>
      </c>
      <c r="D285" s="11" t="str">
        <f t="shared" si="1"/>
        <v>Abrir anúncio ↗</v>
      </c>
      <c r="E285" s="12" t="s">
        <v>3607</v>
      </c>
      <c r="F285" s="10" t="s">
        <v>86</v>
      </c>
      <c r="G285" s="12" t="s">
        <v>1054</v>
      </c>
      <c r="H285" s="12" t="s">
        <v>3610</v>
      </c>
      <c r="I285" s="10"/>
      <c r="J285" s="10"/>
      <c r="K285" s="12"/>
    </row>
    <row r="286" ht="15.75" customHeight="1">
      <c r="A286" s="3" t="s">
        <v>12</v>
      </c>
      <c r="B286" s="3" t="s">
        <v>82</v>
      </c>
      <c r="C286" s="3" t="s">
        <v>3614</v>
      </c>
      <c r="D286" s="8" t="str">
        <f t="shared" si="1"/>
        <v>Abrir anúncio ↗</v>
      </c>
      <c r="E286" s="9" t="s">
        <v>3617</v>
      </c>
      <c r="F286" s="3" t="s">
        <v>29</v>
      </c>
      <c r="G286" s="9" t="s">
        <v>1054</v>
      </c>
      <c r="H286" s="9" t="s">
        <v>2118</v>
      </c>
      <c r="I286" s="3"/>
      <c r="J286" s="3"/>
      <c r="K286" s="9"/>
    </row>
    <row r="287" ht="15.75" customHeight="1">
      <c r="A287" s="10" t="s">
        <v>12</v>
      </c>
      <c r="B287" s="10" t="s">
        <v>82</v>
      </c>
      <c r="C287" s="10" t="s">
        <v>3624</v>
      </c>
      <c r="D287" s="11" t="str">
        <f t="shared" si="1"/>
        <v>Abrir anúncio ↗</v>
      </c>
      <c r="E287" s="12" t="s">
        <v>3627</v>
      </c>
      <c r="F287" s="10" t="s">
        <v>86</v>
      </c>
      <c r="G287" s="12" t="s">
        <v>965</v>
      </c>
      <c r="H287" s="12" t="s">
        <v>1015</v>
      </c>
      <c r="I287" s="10"/>
      <c r="J287" s="10"/>
      <c r="K287" s="12"/>
    </row>
    <row r="288" ht="15.75" customHeight="1">
      <c r="A288" s="3" t="s">
        <v>12</v>
      </c>
      <c r="B288" s="3" t="s">
        <v>82</v>
      </c>
      <c r="C288" s="3" t="s">
        <v>3635</v>
      </c>
      <c r="D288" s="8" t="str">
        <f t="shared" si="1"/>
        <v>Abrir anúncio ↗</v>
      </c>
      <c r="E288" s="9" t="s">
        <v>3637</v>
      </c>
      <c r="F288" s="3" t="s">
        <v>86</v>
      </c>
      <c r="G288" s="9" t="s">
        <v>1054</v>
      </c>
      <c r="H288" s="9" t="s">
        <v>3638</v>
      </c>
      <c r="I288" s="3"/>
      <c r="J288" s="3"/>
      <c r="K288" s="9"/>
    </row>
    <row r="289" ht="15.75" customHeight="1">
      <c r="A289" s="10" t="s">
        <v>12</v>
      </c>
      <c r="B289" s="10" t="s">
        <v>82</v>
      </c>
      <c r="C289" s="10" t="s">
        <v>3645</v>
      </c>
      <c r="D289" s="11" t="str">
        <f t="shared" si="1"/>
        <v>Abrir anúncio ↗</v>
      </c>
      <c r="E289" s="12" t="s">
        <v>3647</v>
      </c>
      <c r="F289" s="10" t="s">
        <v>29</v>
      </c>
      <c r="G289" s="12" t="s">
        <v>965</v>
      </c>
      <c r="H289" s="12" t="s">
        <v>1897</v>
      </c>
      <c r="I289" s="10"/>
      <c r="J289" s="10"/>
      <c r="K289" s="12"/>
    </row>
    <row r="290" ht="15.75" customHeight="1">
      <c r="A290" s="3" t="s">
        <v>12</v>
      </c>
      <c r="B290" s="3" t="s">
        <v>82</v>
      </c>
      <c r="C290" s="3" t="s">
        <v>3655</v>
      </c>
      <c r="D290" s="8" t="str">
        <f t="shared" si="1"/>
        <v>Abrir anúncio ↗</v>
      </c>
      <c r="E290" s="9" t="s">
        <v>3656</v>
      </c>
      <c r="F290" s="3" t="s">
        <v>86</v>
      </c>
      <c r="G290" s="9" t="s">
        <v>965</v>
      </c>
      <c r="H290" s="9" t="s">
        <v>3660</v>
      </c>
      <c r="I290" s="3"/>
      <c r="J290" s="3"/>
      <c r="K290" s="9"/>
    </row>
    <row r="291" ht="15.75" customHeight="1">
      <c r="A291" s="10" t="s">
        <v>12</v>
      </c>
      <c r="B291" s="10" t="s">
        <v>82</v>
      </c>
      <c r="C291" s="10" t="s">
        <v>3664</v>
      </c>
      <c r="D291" s="11" t="str">
        <f t="shared" si="1"/>
        <v>Abrir anúncio ↗</v>
      </c>
      <c r="E291" s="12" t="s">
        <v>3667</v>
      </c>
      <c r="F291" s="10" t="s">
        <v>86</v>
      </c>
      <c r="G291" s="12" t="s">
        <v>1054</v>
      </c>
      <c r="H291" s="12" t="s">
        <v>1895</v>
      </c>
      <c r="I291" s="10"/>
      <c r="J291" s="10"/>
      <c r="K291" s="12"/>
    </row>
    <row r="292" ht="15.75" customHeight="1">
      <c r="A292" s="3" t="s">
        <v>12</v>
      </c>
      <c r="B292" s="3" t="s">
        <v>82</v>
      </c>
      <c r="C292" s="3" t="s">
        <v>3674</v>
      </c>
      <c r="D292" s="8" t="str">
        <f t="shared" si="1"/>
        <v>Abrir anúncio ↗</v>
      </c>
      <c r="E292" s="9" t="s">
        <v>3675</v>
      </c>
      <c r="F292" s="3" t="s">
        <v>86</v>
      </c>
      <c r="G292" s="9" t="s">
        <v>1054</v>
      </c>
      <c r="H292" s="9" t="s">
        <v>1519</v>
      </c>
      <c r="I292" s="3"/>
      <c r="J292" s="3"/>
      <c r="K292" s="9"/>
    </row>
    <row r="293" ht="15.75" customHeight="1">
      <c r="A293" s="10" t="s">
        <v>12</v>
      </c>
      <c r="B293" s="10" t="s">
        <v>82</v>
      </c>
      <c r="C293" s="10" t="s">
        <v>3684</v>
      </c>
      <c r="D293" s="11" t="str">
        <f t="shared" si="1"/>
        <v>Abrir anúncio ↗</v>
      </c>
      <c r="E293" s="12" t="s">
        <v>3688</v>
      </c>
      <c r="F293" s="10" t="s">
        <v>86</v>
      </c>
      <c r="G293" s="12" t="s">
        <v>1054</v>
      </c>
      <c r="H293" s="12" t="s">
        <v>3692</v>
      </c>
      <c r="I293" s="10"/>
      <c r="J293" s="10"/>
      <c r="K293" s="12"/>
    </row>
    <row r="294" ht="15.75" customHeight="1">
      <c r="A294" s="3" t="s">
        <v>12</v>
      </c>
      <c r="B294" s="3" t="s">
        <v>82</v>
      </c>
      <c r="C294" s="3" t="s">
        <v>3698</v>
      </c>
      <c r="D294" s="8" t="str">
        <f t="shared" si="1"/>
        <v>Abrir anúncio ↗</v>
      </c>
      <c r="E294" s="9" t="s">
        <v>3701</v>
      </c>
      <c r="F294" s="3" t="s">
        <v>29</v>
      </c>
      <c r="G294" s="9" t="s">
        <v>1054</v>
      </c>
      <c r="H294" s="9" t="s">
        <v>1895</v>
      </c>
      <c r="I294" s="3"/>
      <c r="J294" s="3"/>
      <c r="K294" s="9"/>
    </row>
    <row r="295" ht="15.75" customHeight="1">
      <c r="A295" s="10" t="s">
        <v>12</v>
      </c>
      <c r="B295" s="10" t="s">
        <v>82</v>
      </c>
      <c r="C295" s="10" t="s">
        <v>3710</v>
      </c>
      <c r="D295" s="11" t="str">
        <f t="shared" si="1"/>
        <v>Abrir anúncio ↗</v>
      </c>
      <c r="E295" s="12" t="s">
        <v>3714</v>
      </c>
      <c r="F295" s="10" t="s">
        <v>86</v>
      </c>
      <c r="G295" s="12" t="s">
        <v>1054</v>
      </c>
      <c r="H295" s="12" t="s">
        <v>3717</v>
      </c>
      <c r="I295" s="10"/>
      <c r="J295" s="10"/>
      <c r="K295" s="12"/>
    </row>
    <row r="296" ht="15.75" customHeight="1">
      <c r="A296" s="3" t="s">
        <v>12</v>
      </c>
      <c r="B296" s="3" t="s">
        <v>82</v>
      </c>
      <c r="C296" s="3" t="s">
        <v>3724</v>
      </c>
      <c r="D296" s="8" t="str">
        <f t="shared" si="1"/>
        <v>Abrir anúncio ↗</v>
      </c>
      <c r="E296" s="9" t="s">
        <v>3726</v>
      </c>
      <c r="F296" s="3" t="s">
        <v>86</v>
      </c>
      <c r="G296" s="9" t="s">
        <v>1054</v>
      </c>
      <c r="H296" s="9" t="s">
        <v>1750</v>
      </c>
      <c r="I296" s="3"/>
      <c r="J296" s="3"/>
      <c r="K296" s="9"/>
    </row>
    <row r="297" ht="15.75" customHeight="1">
      <c r="A297" s="10" t="s">
        <v>12</v>
      </c>
      <c r="B297" s="10" t="s">
        <v>82</v>
      </c>
      <c r="C297" s="10" t="s">
        <v>3733</v>
      </c>
      <c r="D297" s="11" t="str">
        <f t="shared" si="1"/>
        <v>Abrir anúncio ↗</v>
      </c>
      <c r="E297" s="12" t="s">
        <v>3735</v>
      </c>
      <c r="F297" s="10" t="s">
        <v>86</v>
      </c>
      <c r="G297" s="12" t="s">
        <v>1054</v>
      </c>
      <c r="H297" s="12" t="s">
        <v>3610</v>
      </c>
      <c r="I297" s="10"/>
      <c r="J297" s="10"/>
      <c r="K297" s="12"/>
    </row>
    <row r="298" ht="15.75" customHeight="1">
      <c r="A298" s="3" t="s">
        <v>12</v>
      </c>
      <c r="B298" s="3" t="s">
        <v>82</v>
      </c>
      <c r="C298" s="3" t="s">
        <v>3742</v>
      </c>
      <c r="D298" s="8" t="str">
        <f t="shared" si="1"/>
        <v>Abrir anúncio ↗</v>
      </c>
      <c r="E298" s="9" t="s">
        <v>3746</v>
      </c>
      <c r="F298" s="3" t="s">
        <v>86</v>
      </c>
      <c r="G298" s="9" t="s">
        <v>1054</v>
      </c>
      <c r="H298" s="9" t="s">
        <v>1519</v>
      </c>
      <c r="I298" s="3"/>
      <c r="J298" s="3"/>
      <c r="K298" s="9"/>
    </row>
    <row r="299" ht="15.75" customHeight="1">
      <c r="A299" s="10" t="s">
        <v>12</v>
      </c>
      <c r="B299" s="10" t="s">
        <v>82</v>
      </c>
      <c r="C299" s="10" t="s">
        <v>3751</v>
      </c>
      <c r="D299" s="11" t="str">
        <f t="shared" si="1"/>
        <v>Abrir anúncio ↗</v>
      </c>
      <c r="E299" s="12" t="s">
        <v>3754</v>
      </c>
      <c r="F299" s="10" t="s">
        <v>86</v>
      </c>
      <c r="G299" s="12" t="s">
        <v>965</v>
      </c>
      <c r="H299" s="12" t="s">
        <v>3369</v>
      </c>
      <c r="I299" s="10"/>
      <c r="J299" s="10"/>
      <c r="K299" s="12"/>
    </row>
    <row r="300" ht="15.75" customHeight="1">
      <c r="A300" s="3" t="s">
        <v>12</v>
      </c>
      <c r="B300" s="3" t="s">
        <v>82</v>
      </c>
      <c r="C300" s="3" t="s">
        <v>3762</v>
      </c>
      <c r="D300" s="8" t="str">
        <f t="shared" si="1"/>
        <v>Abrir anúncio ↗</v>
      </c>
      <c r="E300" s="9" t="s">
        <v>3765</v>
      </c>
      <c r="F300" s="3" t="s">
        <v>86</v>
      </c>
      <c r="G300" s="9" t="s">
        <v>470</v>
      </c>
      <c r="H300" s="9" t="s">
        <v>472</v>
      </c>
      <c r="I300" s="3"/>
      <c r="J300" s="3"/>
      <c r="K300" s="9"/>
    </row>
    <row r="301" ht="15.75" customHeight="1">
      <c r="A301" s="10" t="s">
        <v>12</v>
      </c>
      <c r="B301" s="10" t="s">
        <v>82</v>
      </c>
      <c r="C301" s="10" t="s">
        <v>3773</v>
      </c>
      <c r="D301" s="11" t="str">
        <f t="shared" si="1"/>
        <v>Abrir anúncio ↗</v>
      </c>
      <c r="E301" s="12" t="s">
        <v>3778</v>
      </c>
      <c r="F301" s="10" t="s">
        <v>86</v>
      </c>
      <c r="G301" s="12" t="s">
        <v>470</v>
      </c>
      <c r="H301" s="12" t="s">
        <v>472</v>
      </c>
      <c r="I301" s="10"/>
      <c r="J301" s="10"/>
      <c r="K301" s="12"/>
    </row>
    <row r="302" ht="15.75" customHeight="1">
      <c r="A302" s="3" t="s">
        <v>12</v>
      </c>
      <c r="B302" s="3" t="s">
        <v>82</v>
      </c>
      <c r="C302" s="3" t="s">
        <v>3787</v>
      </c>
      <c r="D302" s="8" t="str">
        <f t="shared" si="1"/>
        <v>Abrir anúncio ↗</v>
      </c>
      <c r="E302" s="9" t="s">
        <v>3791</v>
      </c>
      <c r="F302" s="3" t="s">
        <v>86</v>
      </c>
      <c r="G302" s="9" t="s">
        <v>1054</v>
      </c>
      <c r="H302" s="9" t="s">
        <v>3692</v>
      </c>
      <c r="I302" s="3"/>
      <c r="J302" s="3"/>
      <c r="K302" s="9"/>
    </row>
    <row r="303" ht="15.75" customHeight="1">
      <c r="A303" s="10" t="s">
        <v>12</v>
      </c>
      <c r="B303" s="10" t="s">
        <v>82</v>
      </c>
      <c r="C303" s="10" t="s">
        <v>3800</v>
      </c>
      <c r="D303" s="11" t="str">
        <f t="shared" si="1"/>
        <v>Abrir anúncio ↗</v>
      </c>
      <c r="E303" s="12" t="s">
        <v>3802</v>
      </c>
      <c r="F303" s="10" t="s">
        <v>86</v>
      </c>
      <c r="G303" s="12" t="s">
        <v>1054</v>
      </c>
      <c r="H303" s="12" t="s">
        <v>1862</v>
      </c>
      <c r="I303" s="10"/>
      <c r="J303" s="10"/>
      <c r="K303" s="12"/>
    </row>
    <row r="304" ht="15.75" customHeight="1">
      <c r="A304" s="3" t="s">
        <v>12</v>
      </c>
      <c r="B304" s="3" t="s">
        <v>82</v>
      </c>
      <c r="C304" s="3" t="s">
        <v>3811</v>
      </c>
      <c r="D304" s="8" t="str">
        <f t="shared" si="1"/>
        <v>Abrir anúncio ↗</v>
      </c>
      <c r="E304" s="9" t="s">
        <v>3815</v>
      </c>
      <c r="F304" s="3" t="s">
        <v>86</v>
      </c>
      <c r="G304" s="9" t="s">
        <v>1054</v>
      </c>
      <c r="H304" s="9" t="s">
        <v>1923</v>
      </c>
      <c r="I304" s="3"/>
      <c r="J304" s="3"/>
      <c r="K304" s="9"/>
    </row>
    <row r="305" ht="15.75" customHeight="1">
      <c r="A305" s="10" t="s">
        <v>12</v>
      </c>
      <c r="B305" s="10" t="s">
        <v>82</v>
      </c>
      <c r="C305" s="10" t="s">
        <v>3823</v>
      </c>
      <c r="D305" s="11" t="str">
        <f t="shared" si="1"/>
        <v>Abrir anúncio ↗</v>
      </c>
      <c r="E305" s="12" t="s">
        <v>3828</v>
      </c>
      <c r="F305" s="10" t="s">
        <v>86</v>
      </c>
      <c r="G305" s="12" t="s">
        <v>1054</v>
      </c>
      <c r="H305" s="12" t="s">
        <v>1651</v>
      </c>
      <c r="I305" s="10"/>
      <c r="J305" s="10"/>
      <c r="K305" s="12"/>
    </row>
    <row r="306" ht="15.75" customHeight="1">
      <c r="A306" s="3" t="s">
        <v>12</v>
      </c>
      <c r="B306" s="3" t="s">
        <v>82</v>
      </c>
      <c r="C306" s="3" t="s">
        <v>3833</v>
      </c>
      <c r="D306" s="8" t="str">
        <f t="shared" si="1"/>
        <v>Abrir anúncio ↗</v>
      </c>
      <c r="E306" s="9" t="s">
        <v>3837</v>
      </c>
      <c r="F306" s="3" t="s">
        <v>86</v>
      </c>
      <c r="G306" s="9" t="s">
        <v>1054</v>
      </c>
      <c r="H306" s="9" t="s">
        <v>3840</v>
      </c>
      <c r="I306" s="3"/>
      <c r="J306" s="3"/>
      <c r="K306" s="9"/>
    </row>
    <row r="307" ht="15.75" customHeight="1">
      <c r="A307" s="10" t="s">
        <v>12</v>
      </c>
      <c r="B307" s="10" t="s">
        <v>82</v>
      </c>
      <c r="C307" s="10" t="s">
        <v>3843</v>
      </c>
      <c r="D307" s="11" t="str">
        <f t="shared" si="1"/>
        <v>Abrir anúncio ↗</v>
      </c>
      <c r="E307" s="12" t="s">
        <v>3847</v>
      </c>
      <c r="F307" s="10" t="s">
        <v>29</v>
      </c>
      <c r="G307" s="12" t="s">
        <v>1054</v>
      </c>
      <c r="H307" s="12" t="s">
        <v>1519</v>
      </c>
      <c r="I307" s="10"/>
      <c r="J307" s="10"/>
      <c r="K307" s="12"/>
    </row>
    <row r="308" ht="15.75" customHeight="1">
      <c r="A308" s="3" t="s">
        <v>12</v>
      </c>
      <c r="B308" s="3" t="s">
        <v>82</v>
      </c>
      <c r="C308" s="3" t="s">
        <v>3855</v>
      </c>
      <c r="D308" s="8" t="str">
        <f t="shared" si="1"/>
        <v>Abrir anúncio ↗</v>
      </c>
      <c r="E308" s="9" t="s">
        <v>3859</v>
      </c>
      <c r="F308" s="3" t="s">
        <v>86</v>
      </c>
      <c r="G308" s="9" t="s">
        <v>1054</v>
      </c>
      <c r="H308" s="9" t="s">
        <v>1651</v>
      </c>
      <c r="I308" s="3"/>
      <c r="J308" s="3"/>
      <c r="K308" s="9"/>
    </row>
    <row r="309" ht="15.75" customHeight="1">
      <c r="A309" s="10" t="s">
        <v>12</v>
      </c>
      <c r="B309" s="10" t="s">
        <v>82</v>
      </c>
      <c r="C309" s="10" t="s">
        <v>3866</v>
      </c>
      <c r="D309" s="11" t="str">
        <f t="shared" si="1"/>
        <v>Abrir anúncio ↗</v>
      </c>
      <c r="E309" s="12" t="s">
        <v>3869</v>
      </c>
      <c r="F309" s="10" t="s">
        <v>86</v>
      </c>
      <c r="G309" s="12" t="s">
        <v>1054</v>
      </c>
      <c r="H309" s="12" t="s">
        <v>1804</v>
      </c>
      <c r="I309" s="10"/>
      <c r="J309" s="10"/>
      <c r="K309" s="12"/>
    </row>
    <row r="310" ht="15.75" customHeight="1">
      <c r="A310" s="3" t="s">
        <v>12</v>
      </c>
      <c r="B310" s="3" t="s">
        <v>82</v>
      </c>
      <c r="C310" s="3" t="s">
        <v>3878</v>
      </c>
      <c r="D310" s="8" t="str">
        <f t="shared" si="1"/>
        <v>Abrir anúncio ↗</v>
      </c>
      <c r="E310" s="9" t="s">
        <v>3880</v>
      </c>
      <c r="F310" s="3" t="s">
        <v>86</v>
      </c>
      <c r="G310" s="9" t="s">
        <v>1054</v>
      </c>
      <c r="H310" s="9" t="s">
        <v>1750</v>
      </c>
      <c r="I310" s="3"/>
      <c r="J310" s="3"/>
      <c r="K310" s="9"/>
    </row>
    <row r="311" ht="15.75" customHeight="1">
      <c r="A311" s="10" t="s">
        <v>12</v>
      </c>
      <c r="B311" s="10" t="s">
        <v>82</v>
      </c>
      <c r="C311" s="10" t="s">
        <v>3894</v>
      </c>
      <c r="D311" s="11" t="str">
        <f t="shared" si="1"/>
        <v>Abrir anúncio ↗</v>
      </c>
      <c r="E311" s="12" t="s">
        <v>3896</v>
      </c>
      <c r="F311" s="10" t="s">
        <v>86</v>
      </c>
      <c r="G311" s="12" t="s">
        <v>1054</v>
      </c>
      <c r="H311" s="12" t="s">
        <v>1862</v>
      </c>
      <c r="I311" s="10"/>
      <c r="J311" s="10"/>
      <c r="K311" s="12"/>
    </row>
    <row r="312" ht="15.75" customHeight="1">
      <c r="A312" s="3" t="s">
        <v>12</v>
      </c>
      <c r="B312" s="3" t="s">
        <v>82</v>
      </c>
      <c r="C312" s="3" t="s">
        <v>3906</v>
      </c>
      <c r="D312" s="8" t="str">
        <f t="shared" si="1"/>
        <v>Abrir anúncio ↗</v>
      </c>
      <c r="E312" s="9" t="s">
        <v>3908</v>
      </c>
      <c r="F312" s="3" t="s">
        <v>86</v>
      </c>
      <c r="G312" s="9" t="s">
        <v>1054</v>
      </c>
      <c r="H312" s="9" t="s">
        <v>3840</v>
      </c>
      <c r="I312" s="3"/>
      <c r="J312" s="3"/>
      <c r="K312" s="9"/>
    </row>
    <row r="313" ht="15.75" customHeight="1">
      <c r="A313" s="10" t="s">
        <v>12</v>
      </c>
      <c r="B313" s="10" t="s">
        <v>82</v>
      </c>
      <c r="C313" s="10" t="s">
        <v>3918</v>
      </c>
      <c r="D313" s="11" t="str">
        <f t="shared" si="1"/>
        <v>Abrir anúncio ↗</v>
      </c>
      <c r="E313" s="12" t="s">
        <v>3921</v>
      </c>
      <c r="F313" s="10" t="s">
        <v>86</v>
      </c>
      <c r="G313" s="12" t="s">
        <v>1054</v>
      </c>
      <c r="H313" s="12" t="s">
        <v>3717</v>
      </c>
      <c r="I313" s="10"/>
      <c r="J313" s="10"/>
      <c r="K313" s="12"/>
    </row>
    <row r="314" ht="15.75" customHeight="1">
      <c r="A314" s="3" t="s">
        <v>12</v>
      </c>
      <c r="B314" s="3" t="s">
        <v>82</v>
      </c>
      <c r="C314" s="3" t="s">
        <v>3928</v>
      </c>
      <c r="D314" s="8" t="str">
        <f t="shared" si="1"/>
        <v>Abrir anúncio ↗</v>
      </c>
      <c r="E314" s="9" t="s">
        <v>3931</v>
      </c>
      <c r="F314" s="3" t="s">
        <v>29</v>
      </c>
      <c r="G314" s="9" t="s">
        <v>1054</v>
      </c>
      <c r="H314" s="9" t="s">
        <v>1895</v>
      </c>
      <c r="I314" s="3"/>
      <c r="J314" s="3"/>
      <c r="K314" s="9"/>
    </row>
    <row r="315" ht="15.75" customHeight="1">
      <c r="A315" s="10" t="s">
        <v>12</v>
      </c>
      <c r="B315" s="10" t="s">
        <v>82</v>
      </c>
      <c r="C315" s="10" t="s">
        <v>3940</v>
      </c>
      <c r="D315" s="11" t="str">
        <f t="shared" si="1"/>
        <v>Abrir anúncio ↗</v>
      </c>
      <c r="E315" s="12" t="s">
        <v>3944</v>
      </c>
      <c r="F315" s="10" t="s">
        <v>86</v>
      </c>
      <c r="G315" s="12" t="s">
        <v>1054</v>
      </c>
      <c r="H315" s="12" t="s">
        <v>1651</v>
      </c>
      <c r="I315" s="10"/>
      <c r="J315" s="10"/>
      <c r="K315" s="12"/>
    </row>
    <row r="316" ht="15.75" customHeight="1">
      <c r="A316" s="3" t="s">
        <v>12</v>
      </c>
      <c r="B316" s="3" t="s">
        <v>82</v>
      </c>
      <c r="C316" s="3" t="s">
        <v>3950</v>
      </c>
      <c r="D316" s="8" t="str">
        <f t="shared" si="1"/>
        <v>Abrir anúncio ↗</v>
      </c>
      <c r="E316" s="9" t="s">
        <v>3954</v>
      </c>
      <c r="F316" s="3" t="s">
        <v>86</v>
      </c>
      <c r="G316" s="9" t="s">
        <v>1054</v>
      </c>
      <c r="H316" s="9" t="s">
        <v>3692</v>
      </c>
      <c r="I316" s="3"/>
      <c r="J316" s="3"/>
      <c r="K316" s="9"/>
    </row>
    <row r="317" ht="15.75" customHeight="1">
      <c r="A317" s="10" t="s">
        <v>12</v>
      </c>
      <c r="B317" s="10" t="s">
        <v>82</v>
      </c>
      <c r="C317" s="10" t="s">
        <v>3967</v>
      </c>
      <c r="D317" s="11" t="str">
        <f t="shared" si="1"/>
        <v>Abrir anúncio ↗</v>
      </c>
      <c r="E317" s="12" t="s">
        <v>3971</v>
      </c>
      <c r="F317" s="10" t="s">
        <v>86</v>
      </c>
      <c r="G317" s="12" t="s">
        <v>1054</v>
      </c>
      <c r="H317" s="12" t="s">
        <v>1862</v>
      </c>
      <c r="I317" s="10"/>
      <c r="J317" s="10"/>
      <c r="K317" s="12"/>
    </row>
    <row r="318" ht="15.75" customHeight="1">
      <c r="A318" s="3" t="s">
        <v>12</v>
      </c>
      <c r="B318" s="3" t="s">
        <v>82</v>
      </c>
      <c r="C318" s="3" t="s">
        <v>3981</v>
      </c>
      <c r="D318" s="8" t="str">
        <f t="shared" si="1"/>
        <v>Abrir anúncio ↗</v>
      </c>
      <c r="E318" s="9" t="s">
        <v>3985</v>
      </c>
      <c r="F318" s="3" t="s">
        <v>86</v>
      </c>
      <c r="G318" s="9" t="s">
        <v>1054</v>
      </c>
      <c r="H318" s="9" t="s">
        <v>1056</v>
      </c>
      <c r="I318" s="3"/>
      <c r="J318" s="3"/>
      <c r="K318" s="9"/>
    </row>
    <row r="319" ht="15.75" customHeight="1">
      <c r="A319" s="10" t="s">
        <v>12</v>
      </c>
      <c r="B319" s="10" t="s">
        <v>82</v>
      </c>
      <c r="C319" s="10" t="s">
        <v>3993</v>
      </c>
      <c r="D319" s="11" t="str">
        <f t="shared" si="1"/>
        <v>Abrir anúncio ↗</v>
      </c>
      <c r="E319" s="12" t="s">
        <v>3996</v>
      </c>
      <c r="F319" s="10" t="s">
        <v>86</v>
      </c>
      <c r="G319" s="12" t="s">
        <v>965</v>
      </c>
      <c r="H319" s="12" t="s">
        <v>2293</v>
      </c>
      <c r="I319" s="10"/>
      <c r="J319" s="10"/>
      <c r="K319" s="12"/>
    </row>
    <row r="320" ht="15.75" customHeight="1">
      <c r="A320" s="3" t="s">
        <v>12</v>
      </c>
      <c r="B320" s="3" t="s">
        <v>82</v>
      </c>
      <c r="C320" s="3" t="s">
        <v>4005</v>
      </c>
      <c r="D320" s="8" t="str">
        <f t="shared" si="1"/>
        <v>Abrir anúncio ↗</v>
      </c>
      <c r="E320" s="9" t="s">
        <v>4008</v>
      </c>
      <c r="F320" s="3" t="s">
        <v>29</v>
      </c>
      <c r="G320" s="9" t="s">
        <v>965</v>
      </c>
      <c r="H320" s="9" t="s">
        <v>1003</v>
      </c>
      <c r="I320" s="3"/>
      <c r="J320" s="3"/>
      <c r="K320" s="9"/>
    </row>
    <row r="321" ht="15.75" customHeight="1">
      <c r="A321" s="10" t="s">
        <v>12</v>
      </c>
      <c r="B321" s="10" t="s">
        <v>82</v>
      </c>
      <c r="C321" s="10" t="s">
        <v>4017</v>
      </c>
      <c r="D321" s="11" t="str">
        <f t="shared" si="1"/>
        <v>Abrir anúncio ↗</v>
      </c>
      <c r="E321" s="12" t="s">
        <v>4020</v>
      </c>
      <c r="F321" s="10" t="s">
        <v>86</v>
      </c>
      <c r="G321" s="12" t="s">
        <v>1054</v>
      </c>
      <c r="H321" s="12" t="s">
        <v>1056</v>
      </c>
      <c r="I321" s="10"/>
      <c r="J321" s="10"/>
      <c r="K321" s="12"/>
    </row>
    <row r="322" ht="15.75" customHeight="1">
      <c r="A322" s="3" t="s">
        <v>12</v>
      </c>
      <c r="B322" s="3" t="s">
        <v>82</v>
      </c>
      <c r="C322" s="3" t="s">
        <v>4030</v>
      </c>
      <c r="D322" s="8" t="str">
        <f t="shared" si="1"/>
        <v>Abrir anúncio ↗</v>
      </c>
      <c r="E322" s="9" t="s">
        <v>4032</v>
      </c>
      <c r="F322" s="3" t="s">
        <v>86</v>
      </c>
      <c r="G322" s="9" t="s">
        <v>965</v>
      </c>
      <c r="H322" s="9" t="s">
        <v>4031</v>
      </c>
      <c r="I322" s="3"/>
      <c r="J322" s="3"/>
      <c r="K322" s="9"/>
    </row>
    <row r="323" ht="15.75" customHeight="1">
      <c r="A323" s="10" t="s">
        <v>12</v>
      </c>
      <c r="B323" s="10" t="s">
        <v>82</v>
      </c>
      <c r="C323" s="10" t="s">
        <v>4041</v>
      </c>
      <c r="D323" s="11" t="str">
        <f t="shared" si="1"/>
        <v>Abrir anúncio ↗</v>
      </c>
      <c r="E323" s="12" t="s">
        <v>3188</v>
      </c>
      <c r="F323" s="10" t="s">
        <v>29</v>
      </c>
      <c r="G323" s="12" t="s">
        <v>1054</v>
      </c>
      <c r="H323" s="12" t="s">
        <v>1862</v>
      </c>
      <c r="I323" s="10"/>
      <c r="J323" s="10"/>
      <c r="K323" s="12"/>
    </row>
    <row r="324" ht="15.75" customHeight="1">
      <c r="A324" s="3" t="s">
        <v>12</v>
      </c>
      <c r="B324" s="3" t="s">
        <v>82</v>
      </c>
      <c r="C324" s="3" t="s">
        <v>4050</v>
      </c>
      <c r="D324" s="8" t="str">
        <f t="shared" si="1"/>
        <v>Abrir anúncio ↗</v>
      </c>
      <c r="E324" s="9" t="s">
        <v>4054</v>
      </c>
      <c r="F324" s="3" t="s">
        <v>86</v>
      </c>
      <c r="G324" s="9" t="s">
        <v>965</v>
      </c>
      <c r="H324" s="9" t="s">
        <v>4059</v>
      </c>
      <c r="I324" s="3"/>
      <c r="J324" s="3"/>
      <c r="K324" s="9"/>
    </row>
    <row r="325" ht="15.75" customHeight="1">
      <c r="A325" s="10" t="s">
        <v>12</v>
      </c>
      <c r="B325" s="10" t="s">
        <v>82</v>
      </c>
      <c r="C325" s="10" t="s">
        <v>4063</v>
      </c>
      <c r="D325" s="11" t="str">
        <f t="shared" si="1"/>
        <v>Abrir anúncio ↗</v>
      </c>
      <c r="E325" s="12" t="s">
        <v>4067</v>
      </c>
      <c r="F325" s="10" t="s">
        <v>86</v>
      </c>
      <c r="G325" s="12" t="s">
        <v>965</v>
      </c>
      <c r="H325" s="12" t="s">
        <v>4070</v>
      </c>
      <c r="I325" s="10"/>
      <c r="J325" s="10"/>
      <c r="K325" s="12"/>
    </row>
    <row r="326" ht="15.75" customHeight="1">
      <c r="A326" s="3" t="s">
        <v>12</v>
      </c>
      <c r="B326" s="3" t="s">
        <v>82</v>
      </c>
      <c r="C326" s="3" t="s">
        <v>4077</v>
      </c>
      <c r="D326" s="8" t="str">
        <f t="shared" si="1"/>
        <v>Abrir anúncio ↗</v>
      </c>
      <c r="E326" s="9" t="s">
        <v>1208</v>
      </c>
      <c r="F326" s="3" t="s">
        <v>86</v>
      </c>
      <c r="G326" s="9" t="s">
        <v>991</v>
      </c>
      <c r="H326" s="9" t="s">
        <v>993</v>
      </c>
      <c r="I326" s="3"/>
      <c r="J326" s="3"/>
      <c r="K326" s="9"/>
    </row>
    <row r="327" ht="15.75" customHeight="1">
      <c r="A327" s="10" t="s">
        <v>12</v>
      </c>
      <c r="B327" s="10" t="s">
        <v>82</v>
      </c>
      <c r="C327" s="10" t="s">
        <v>4087</v>
      </c>
      <c r="D327" s="11" t="str">
        <f t="shared" si="1"/>
        <v>Abrir anúncio ↗</v>
      </c>
      <c r="E327" s="12" t="s">
        <v>4091</v>
      </c>
      <c r="F327" s="10" t="s">
        <v>29</v>
      </c>
      <c r="G327" s="12" t="s">
        <v>965</v>
      </c>
      <c r="H327" s="12" t="s">
        <v>3369</v>
      </c>
      <c r="I327" s="10"/>
      <c r="J327" s="10"/>
      <c r="K327" s="12"/>
    </row>
    <row r="328" ht="15.75" customHeight="1">
      <c r="A328" s="3" t="s">
        <v>12</v>
      </c>
      <c r="B328" s="3" t="s">
        <v>82</v>
      </c>
      <c r="C328" s="3" t="s">
        <v>4101</v>
      </c>
      <c r="D328" s="8" t="str">
        <f t="shared" si="1"/>
        <v>Abrir anúncio ↗</v>
      </c>
      <c r="E328" s="9" t="s">
        <v>4104</v>
      </c>
      <c r="F328" s="3" t="s">
        <v>86</v>
      </c>
      <c r="G328" s="9" t="s">
        <v>1054</v>
      </c>
      <c r="H328" s="9" t="s">
        <v>3840</v>
      </c>
      <c r="I328" s="3"/>
      <c r="J328" s="3"/>
      <c r="K328" s="9"/>
    </row>
    <row r="329" ht="15.75" customHeight="1">
      <c r="A329" s="10" t="s">
        <v>12</v>
      </c>
      <c r="B329" s="10" t="s">
        <v>82</v>
      </c>
      <c r="C329" s="10" t="s">
        <v>4112</v>
      </c>
      <c r="D329" s="11" t="str">
        <f t="shared" si="1"/>
        <v>Abrir anúncio ↗</v>
      </c>
      <c r="E329" s="12" t="s">
        <v>4116</v>
      </c>
      <c r="F329" s="10" t="s">
        <v>29</v>
      </c>
      <c r="G329" s="12" t="s">
        <v>965</v>
      </c>
      <c r="H329" s="12" t="s">
        <v>4118</v>
      </c>
      <c r="I329" s="10"/>
      <c r="J329" s="10"/>
      <c r="K329" s="12"/>
    </row>
    <row r="330" ht="15.75" customHeight="1">
      <c r="A330" s="3" t="s">
        <v>12</v>
      </c>
      <c r="B330" s="3" t="s">
        <v>82</v>
      </c>
      <c r="C330" s="3" t="s">
        <v>4125</v>
      </c>
      <c r="D330" s="8" t="str">
        <f t="shared" si="1"/>
        <v>Abrir anúncio ↗</v>
      </c>
      <c r="E330" s="9" t="s">
        <v>4128</v>
      </c>
      <c r="F330" s="3" t="s">
        <v>86</v>
      </c>
      <c r="G330" s="9" t="s">
        <v>470</v>
      </c>
      <c r="H330" s="9" t="s">
        <v>472</v>
      </c>
      <c r="I330" s="3"/>
      <c r="J330" s="3"/>
      <c r="K330" s="9"/>
    </row>
    <row r="331" ht="15.75" customHeight="1">
      <c r="A331" s="10" t="s">
        <v>12</v>
      </c>
      <c r="B331" s="10" t="s">
        <v>82</v>
      </c>
      <c r="C331" s="10" t="s">
        <v>4136</v>
      </c>
      <c r="D331" s="11" t="str">
        <f t="shared" si="1"/>
        <v>Abrir anúncio ↗</v>
      </c>
      <c r="E331" s="12" t="s">
        <v>4140</v>
      </c>
      <c r="F331" s="10" t="s">
        <v>86</v>
      </c>
      <c r="G331" s="12" t="s">
        <v>470</v>
      </c>
      <c r="H331" s="12" t="s">
        <v>584</v>
      </c>
      <c r="I331" s="10"/>
      <c r="J331" s="10"/>
      <c r="K331" s="12"/>
    </row>
    <row r="332" ht="15.75" customHeight="1">
      <c r="A332" s="3" t="s">
        <v>12</v>
      </c>
      <c r="B332" s="3" t="s">
        <v>82</v>
      </c>
      <c r="C332" s="3" t="s">
        <v>4147</v>
      </c>
      <c r="D332" s="8" t="str">
        <f t="shared" si="1"/>
        <v>Abrir anúncio ↗</v>
      </c>
      <c r="E332" s="9" t="s">
        <v>4151</v>
      </c>
      <c r="F332" s="3" t="s">
        <v>86</v>
      </c>
      <c r="G332" s="9" t="s">
        <v>470</v>
      </c>
      <c r="H332" s="9" t="s">
        <v>472</v>
      </c>
      <c r="I332" s="3"/>
      <c r="J332" s="3"/>
      <c r="K332" s="9"/>
    </row>
    <row r="333" ht="15.75" customHeight="1">
      <c r="A333" s="10" t="s">
        <v>12</v>
      </c>
      <c r="B333" s="10" t="s">
        <v>82</v>
      </c>
      <c r="C333" s="10" t="s">
        <v>4157</v>
      </c>
      <c r="D333" s="11" t="str">
        <f t="shared" si="1"/>
        <v>Abrir anúncio ↗</v>
      </c>
      <c r="E333" s="12" t="s">
        <v>4161</v>
      </c>
      <c r="F333" s="10" t="s">
        <v>86</v>
      </c>
      <c r="G333" s="12" t="s">
        <v>470</v>
      </c>
      <c r="H333" s="12" t="s">
        <v>771</v>
      </c>
      <c r="I333" s="10"/>
      <c r="J333" s="10"/>
      <c r="K333" s="12"/>
    </row>
    <row r="334" ht="15.75" customHeight="1">
      <c r="A334" s="3" t="s">
        <v>12</v>
      </c>
      <c r="B334" s="3" t="s">
        <v>82</v>
      </c>
      <c r="C334" s="3" t="s">
        <v>4169</v>
      </c>
      <c r="D334" s="8" t="str">
        <f t="shared" si="1"/>
        <v>Abrir anúncio ↗</v>
      </c>
      <c r="E334" s="9" t="s">
        <v>4172</v>
      </c>
      <c r="F334" s="3" t="s">
        <v>86</v>
      </c>
      <c r="G334" s="9" t="s">
        <v>470</v>
      </c>
      <c r="H334" s="9" t="s">
        <v>519</v>
      </c>
      <c r="I334" s="3"/>
      <c r="J334" s="3"/>
      <c r="K334" s="9"/>
    </row>
    <row r="335" ht="15.75" customHeight="1">
      <c r="A335" s="10" t="s">
        <v>12</v>
      </c>
      <c r="B335" s="10" t="s">
        <v>82</v>
      </c>
      <c r="C335" s="10" t="s">
        <v>4180</v>
      </c>
      <c r="D335" s="11" t="str">
        <f t="shared" si="1"/>
        <v>Abrir anúncio ↗</v>
      </c>
      <c r="E335" s="12" t="s">
        <v>4184</v>
      </c>
      <c r="F335" s="10" t="s">
        <v>86</v>
      </c>
      <c r="G335" s="12" t="s">
        <v>470</v>
      </c>
      <c r="H335" s="12" t="s">
        <v>472</v>
      </c>
      <c r="I335" s="10"/>
      <c r="J335" s="10"/>
      <c r="K335" s="12"/>
    </row>
    <row r="336" ht="15.75" customHeight="1">
      <c r="A336" s="3" t="s">
        <v>12</v>
      </c>
      <c r="B336" s="3" t="s">
        <v>82</v>
      </c>
      <c r="C336" s="3" t="s">
        <v>4192</v>
      </c>
      <c r="D336" s="8" t="str">
        <f t="shared" si="1"/>
        <v>Abrir anúncio ↗</v>
      </c>
      <c r="E336" s="9" t="s">
        <v>4196</v>
      </c>
      <c r="F336" s="3" t="s">
        <v>86</v>
      </c>
      <c r="G336" s="9" t="s">
        <v>470</v>
      </c>
      <c r="H336" s="9" t="s">
        <v>1312</v>
      </c>
      <c r="I336" s="3"/>
      <c r="J336" s="3"/>
      <c r="K336" s="9"/>
    </row>
    <row r="337" ht="15.75" customHeight="1">
      <c r="A337" s="10" t="s">
        <v>12</v>
      </c>
      <c r="B337" s="10" t="s">
        <v>82</v>
      </c>
      <c r="C337" s="10" t="s">
        <v>4206</v>
      </c>
      <c r="D337" s="11" t="str">
        <f t="shared" si="1"/>
        <v>Abrir anúncio ↗</v>
      </c>
      <c r="E337" s="12" t="s">
        <v>4210</v>
      </c>
      <c r="F337" s="10" t="s">
        <v>86</v>
      </c>
      <c r="G337" s="12" t="s">
        <v>470</v>
      </c>
      <c r="H337" s="12" t="s">
        <v>472</v>
      </c>
      <c r="I337" s="10"/>
      <c r="J337" s="10"/>
      <c r="K337" s="12"/>
    </row>
    <row r="338" ht="15.75" customHeight="1">
      <c r="A338" s="3" t="s">
        <v>12</v>
      </c>
      <c r="B338" s="3" t="s">
        <v>82</v>
      </c>
      <c r="C338" s="3" t="s">
        <v>4219</v>
      </c>
      <c r="D338" s="8" t="str">
        <f t="shared" si="1"/>
        <v>Abrir anúncio ↗</v>
      </c>
      <c r="E338" s="9" t="s">
        <v>4222</v>
      </c>
      <c r="F338" s="3" t="s">
        <v>86</v>
      </c>
      <c r="G338" s="9" t="s">
        <v>470</v>
      </c>
      <c r="H338" s="9" t="s">
        <v>584</v>
      </c>
      <c r="I338" s="3"/>
      <c r="J338" s="3"/>
      <c r="K338" s="9"/>
    </row>
    <row r="339" ht="15.75" customHeight="1">
      <c r="A339" s="10" t="s">
        <v>12</v>
      </c>
      <c r="B339" s="10" t="s">
        <v>82</v>
      </c>
      <c r="C339" s="10" t="s">
        <v>4232</v>
      </c>
      <c r="D339" s="11" t="str">
        <f t="shared" si="1"/>
        <v>Abrir anúncio ↗</v>
      </c>
      <c r="E339" s="12" t="s">
        <v>4234</v>
      </c>
      <c r="F339" s="10" t="s">
        <v>86</v>
      </c>
      <c r="G339" s="12" t="s">
        <v>470</v>
      </c>
      <c r="H339" s="12" t="s">
        <v>519</v>
      </c>
      <c r="I339" s="10"/>
      <c r="J339" s="10"/>
      <c r="K339" s="12"/>
    </row>
    <row r="340" ht="15.75" customHeight="1">
      <c r="A340" s="3" t="s">
        <v>12</v>
      </c>
      <c r="B340" s="3" t="s">
        <v>82</v>
      </c>
      <c r="C340" s="3" t="s">
        <v>4244</v>
      </c>
      <c r="D340" s="8" t="str">
        <f t="shared" si="1"/>
        <v>Abrir anúncio ↗</v>
      </c>
      <c r="E340" s="9" t="s">
        <v>4247</v>
      </c>
      <c r="F340" s="3" t="s">
        <v>86</v>
      </c>
      <c r="G340" s="9" t="s">
        <v>470</v>
      </c>
      <c r="H340" s="9" t="s">
        <v>771</v>
      </c>
      <c r="I340" s="3"/>
      <c r="J340" s="3"/>
      <c r="K340" s="9"/>
    </row>
    <row r="341" ht="15.75" customHeight="1">
      <c r="A341" s="10" t="s">
        <v>12</v>
      </c>
      <c r="B341" s="10" t="s">
        <v>82</v>
      </c>
      <c r="C341" s="10" t="s">
        <v>4257</v>
      </c>
      <c r="D341" s="11" t="str">
        <f t="shared" si="1"/>
        <v>Abrir anúncio ↗</v>
      </c>
      <c r="E341" s="12" t="s">
        <v>4261</v>
      </c>
      <c r="F341" s="10" t="s">
        <v>86</v>
      </c>
      <c r="G341" s="12" t="s">
        <v>470</v>
      </c>
      <c r="H341" s="12" t="s">
        <v>1312</v>
      </c>
      <c r="I341" s="10"/>
      <c r="J341" s="10"/>
      <c r="K341" s="12"/>
    </row>
    <row r="342" ht="15.75" customHeight="1">
      <c r="A342" s="3" t="s">
        <v>12</v>
      </c>
      <c r="B342" s="3" t="s">
        <v>82</v>
      </c>
      <c r="C342" s="3" t="s">
        <v>4270</v>
      </c>
      <c r="D342" s="8" t="str">
        <f t="shared" si="1"/>
        <v>Abrir anúncio ↗</v>
      </c>
      <c r="E342" s="9" t="s">
        <v>4273</v>
      </c>
      <c r="F342" s="3" t="s">
        <v>86</v>
      </c>
      <c r="G342" s="9" t="s">
        <v>470</v>
      </c>
      <c r="H342" s="9" t="s">
        <v>584</v>
      </c>
      <c r="I342" s="3"/>
      <c r="J342" s="3"/>
      <c r="K342" s="9"/>
    </row>
    <row r="343" ht="15.75" customHeight="1">
      <c r="A343" s="10" t="s">
        <v>12</v>
      </c>
      <c r="B343" s="10" t="s">
        <v>82</v>
      </c>
      <c r="C343" s="10" t="s">
        <v>4280</v>
      </c>
      <c r="D343" s="11" t="str">
        <f t="shared" si="1"/>
        <v>Abrir anúncio ↗</v>
      </c>
      <c r="E343" s="12" t="s">
        <v>4283</v>
      </c>
      <c r="F343" s="10" t="s">
        <v>86</v>
      </c>
      <c r="G343" s="12" t="s">
        <v>470</v>
      </c>
      <c r="H343" s="12" t="s">
        <v>584</v>
      </c>
      <c r="I343" s="10"/>
      <c r="J343" s="10"/>
      <c r="K343" s="12"/>
    </row>
    <row r="344" ht="15.75" customHeight="1">
      <c r="A344" s="3" t="s">
        <v>12</v>
      </c>
      <c r="B344" s="3" t="s">
        <v>82</v>
      </c>
      <c r="C344" s="3" t="s">
        <v>4294</v>
      </c>
      <c r="D344" s="8" t="str">
        <f t="shared" si="1"/>
        <v>Abrir anúncio ↗</v>
      </c>
      <c r="E344" s="9" t="s">
        <v>4296</v>
      </c>
      <c r="F344" s="3" t="s">
        <v>86</v>
      </c>
      <c r="G344" s="9" t="s">
        <v>470</v>
      </c>
      <c r="H344" s="9" t="s">
        <v>519</v>
      </c>
      <c r="I344" s="3"/>
      <c r="J344" s="3"/>
      <c r="K344" s="9"/>
    </row>
    <row r="345" ht="15.75" customHeight="1">
      <c r="A345" s="10" t="s">
        <v>12</v>
      </c>
      <c r="B345" s="10" t="s">
        <v>82</v>
      </c>
      <c r="C345" s="10" t="s">
        <v>4303</v>
      </c>
      <c r="D345" s="11" t="str">
        <f t="shared" si="1"/>
        <v>Abrir anúncio ↗</v>
      </c>
      <c r="E345" s="12" t="s">
        <v>4305</v>
      </c>
      <c r="F345" s="10" t="s">
        <v>86</v>
      </c>
      <c r="G345" s="12" t="s">
        <v>470</v>
      </c>
      <c r="H345" s="12" t="s">
        <v>584</v>
      </c>
      <c r="I345" s="10"/>
      <c r="J345" s="10"/>
      <c r="K345" s="12"/>
    </row>
    <row r="346" ht="15.75" customHeight="1">
      <c r="A346" s="3" t="s">
        <v>12</v>
      </c>
      <c r="B346" s="3" t="s">
        <v>82</v>
      </c>
      <c r="C346" s="3" t="s">
        <v>4313</v>
      </c>
      <c r="D346" s="8" t="str">
        <f t="shared" si="1"/>
        <v>Abrir anúncio ↗</v>
      </c>
      <c r="E346" s="9" t="s">
        <v>4314</v>
      </c>
      <c r="F346" s="3" t="s">
        <v>86</v>
      </c>
      <c r="G346" s="9" t="s">
        <v>470</v>
      </c>
      <c r="H346" s="9" t="s">
        <v>1106</v>
      </c>
      <c r="I346" s="3"/>
      <c r="J346" s="3"/>
      <c r="K346" s="9"/>
    </row>
    <row r="347" ht="15.75" customHeight="1">
      <c r="A347" s="10" t="s">
        <v>12</v>
      </c>
      <c r="B347" s="10" t="s">
        <v>82</v>
      </c>
      <c r="C347" s="10" t="s">
        <v>4322</v>
      </c>
      <c r="D347" s="11" t="str">
        <f t="shared" si="1"/>
        <v>Abrir anúncio ↗</v>
      </c>
      <c r="E347" s="12" t="s">
        <v>4323</v>
      </c>
      <c r="F347" s="10" t="s">
        <v>86</v>
      </c>
      <c r="G347" s="12" t="s">
        <v>470</v>
      </c>
      <c r="H347" s="12" t="s">
        <v>519</v>
      </c>
      <c r="I347" s="10"/>
      <c r="J347" s="10"/>
      <c r="K347" s="12"/>
    </row>
    <row r="348" ht="15.75" customHeight="1">
      <c r="A348" s="3" t="s">
        <v>12</v>
      </c>
      <c r="B348" s="3" t="s">
        <v>82</v>
      </c>
      <c r="C348" s="3" t="s">
        <v>4331</v>
      </c>
      <c r="D348" s="8" t="str">
        <f t="shared" si="1"/>
        <v>Abrir anúncio ↗</v>
      </c>
      <c r="E348" s="9" t="s">
        <v>4333</v>
      </c>
      <c r="F348" s="3" t="s">
        <v>86</v>
      </c>
      <c r="G348" s="9" t="s">
        <v>470</v>
      </c>
      <c r="H348" s="9" t="s">
        <v>584</v>
      </c>
      <c r="I348" s="3"/>
      <c r="J348" s="3"/>
      <c r="K348" s="9"/>
    </row>
    <row r="349" ht="15.75" customHeight="1">
      <c r="A349" s="10" t="s">
        <v>12</v>
      </c>
      <c r="B349" s="10" t="s">
        <v>82</v>
      </c>
      <c r="C349" s="10" t="s">
        <v>4339</v>
      </c>
      <c r="D349" s="11" t="str">
        <f t="shared" si="1"/>
        <v>Abrir anúncio ↗</v>
      </c>
      <c r="E349" s="12" t="s">
        <v>4341</v>
      </c>
      <c r="F349" s="10" t="s">
        <v>86</v>
      </c>
      <c r="G349" s="12" t="s">
        <v>470</v>
      </c>
      <c r="H349" s="12" t="s">
        <v>1106</v>
      </c>
      <c r="I349" s="10"/>
      <c r="J349" s="10"/>
      <c r="K349" s="12"/>
    </row>
    <row r="350" ht="15.75" customHeight="1">
      <c r="A350" s="3" t="s">
        <v>12</v>
      </c>
      <c r="B350" s="3" t="s">
        <v>82</v>
      </c>
      <c r="C350" s="3" t="s">
        <v>4347</v>
      </c>
      <c r="D350" s="8" t="str">
        <f t="shared" si="1"/>
        <v>Abrir anúncio ↗</v>
      </c>
      <c r="E350" s="9" t="s">
        <v>4349</v>
      </c>
      <c r="F350" s="3" t="s">
        <v>86</v>
      </c>
      <c r="G350" s="9" t="s">
        <v>470</v>
      </c>
      <c r="H350" s="9" t="s">
        <v>519</v>
      </c>
      <c r="I350" s="3"/>
      <c r="J350" s="3"/>
      <c r="K350" s="9"/>
    </row>
    <row r="351" ht="15.75" customHeight="1">
      <c r="A351" s="10" t="s">
        <v>12</v>
      </c>
      <c r="B351" s="10" t="s">
        <v>82</v>
      </c>
      <c r="C351" s="10" t="s">
        <v>4355</v>
      </c>
      <c r="D351" s="11" t="str">
        <f t="shared" si="1"/>
        <v>Abrir anúncio ↗</v>
      </c>
      <c r="E351" s="12" t="s">
        <v>4359</v>
      </c>
      <c r="F351" s="10" t="s">
        <v>86</v>
      </c>
      <c r="G351" s="12" t="s">
        <v>470</v>
      </c>
      <c r="H351" s="12" t="s">
        <v>771</v>
      </c>
      <c r="I351" s="10"/>
      <c r="J351" s="10"/>
      <c r="K351" s="12"/>
    </row>
    <row r="352" ht="15.75" customHeight="1">
      <c r="A352" s="3" t="s">
        <v>12</v>
      </c>
      <c r="B352" s="3" t="s">
        <v>82</v>
      </c>
      <c r="C352" s="3" t="s">
        <v>4367</v>
      </c>
      <c r="D352" s="8" t="str">
        <f t="shared" si="1"/>
        <v>Abrir anúncio ↗</v>
      </c>
      <c r="E352" s="9" t="s">
        <v>4368</v>
      </c>
      <c r="F352" s="3" t="s">
        <v>86</v>
      </c>
      <c r="G352" s="9" t="s">
        <v>470</v>
      </c>
      <c r="H352" s="9" t="s">
        <v>472</v>
      </c>
      <c r="I352" s="3"/>
      <c r="J352" s="3"/>
      <c r="K352" s="9"/>
    </row>
    <row r="353" ht="15.75" customHeight="1">
      <c r="A353" s="10" t="s">
        <v>12</v>
      </c>
      <c r="B353" s="10" t="s">
        <v>82</v>
      </c>
      <c r="C353" s="10" t="s">
        <v>4376</v>
      </c>
      <c r="D353" s="11" t="str">
        <f t="shared" si="1"/>
        <v>Abrir anúncio ↗</v>
      </c>
      <c r="E353" s="12" t="s">
        <v>4378</v>
      </c>
      <c r="F353" s="10" t="s">
        <v>86</v>
      </c>
      <c r="G353" s="12" t="s">
        <v>470</v>
      </c>
      <c r="H353" s="12" t="s">
        <v>771</v>
      </c>
      <c r="I353" s="10"/>
      <c r="J353" s="10"/>
      <c r="K353" s="12"/>
    </row>
    <row r="354" ht="15.75" customHeight="1">
      <c r="A354" s="3" t="s">
        <v>12</v>
      </c>
      <c r="B354" s="3" t="s">
        <v>82</v>
      </c>
      <c r="C354" s="3" t="s">
        <v>4386</v>
      </c>
      <c r="D354" s="8" t="str">
        <f t="shared" si="1"/>
        <v>Abrir anúncio ↗</v>
      </c>
      <c r="E354" s="9" t="s">
        <v>4389</v>
      </c>
      <c r="F354" s="3" t="s">
        <v>86</v>
      </c>
      <c r="G354" s="9" t="s">
        <v>470</v>
      </c>
      <c r="H354" s="9" t="s">
        <v>519</v>
      </c>
      <c r="I354" s="3"/>
      <c r="J354" s="3"/>
      <c r="K354" s="9"/>
    </row>
    <row r="355" ht="15.75" customHeight="1">
      <c r="A355" s="10" t="s">
        <v>12</v>
      </c>
      <c r="B355" s="10" t="s">
        <v>82</v>
      </c>
      <c r="C355" s="10" t="s">
        <v>4395</v>
      </c>
      <c r="D355" s="11" t="str">
        <f t="shared" si="1"/>
        <v>Abrir anúncio ↗</v>
      </c>
      <c r="E355" s="12" t="s">
        <v>4399</v>
      </c>
      <c r="F355" s="10" t="s">
        <v>86</v>
      </c>
      <c r="G355" s="12" t="s">
        <v>470</v>
      </c>
      <c r="H355" s="12" t="s">
        <v>472</v>
      </c>
      <c r="I355" s="10"/>
      <c r="J355" s="10"/>
      <c r="K355" s="12"/>
    </row>
    <row r="356" ht="15.75" customHeight="1">
      <c r="A356" s="3" t="s">
        <v>12</v>
      </c>
      <c r="B356" s="3" t="s">
        <v>82</v>
      </c>
      <c r="C356" s="3" t="s">
        <v>4409</v>
      </c>
      <c r="D356" s="8" t="str">
        <f t="shared" si="1"/>
        <v>Abrir anúncio ↗</v>
      </c>
      <c r="E356" s="9" t="s">
        <v>4412</v>
      </c>
      <c r="F356" s="3" t="s">
        <v>86</v>
      </c>
      <c r="G356" s="9" t="s">
        <v>470</v>
      </c>
      <c r="H356" s="9" t="s">
        <v>771</v>
      </c>
      <c r="I356" s="3"/>
      <c r="J356" s="3"/>
      <c r="K356" s="9"/>
    </row>
    <row r="357" ht="15.75" customHeight="1">
      <c r="A357" s="10" t="s">
        <v>12</v>
      </c>
      <c r="B357" s="10" t="s">
        <v>82</v>
      </c>
      <c r="C357" s="10" t="s">
        <v>4420</v>
      </c>
      <c r="D357" s="11" t="str">
        <f t="shared" si="1"/>
        <v>Abrir anúncio ↗</v>
      </c>
      <c r="E357" s="12" t="s">
        <v>4424</v>
      </c>
      <c r="F357" s="10" t="s">
        <v>86</v>
      </c>
      <c r="G357" s="12" t="s">
        <v>470</v>
      </c>
      <c r="H357" s="12" t="s">
        <v>1312</v>
      </c>
      <c r="I357" s="10"/>
      <c r="J357" s="10"/>
      <c r="K357" s="12"/>
    </row>
    <row r="358" ht="15.75" customHeight="1">
      <c r="A358" s="3" t="s">
        <v>12</v>
      </c>
      <c r="B358" s="3" t="s">
        <v>82</v>
      </c>
      <c r="C358" s="3" t="s">
        <v>4431</v>
      </c>
      <c r="D358" s="8" t="str">
        <f t="shared" si="1"/>
        <v>Abrir anúncio ↗</v>
      </c>
      <c r="E358" s="9" t="s">
        <v>4435</v>
      </c>
      <c r="F358" s="3" t="s">
        <v>86</v>
      </c>
      <c r="G358" s="9" t="s">
        <v>470</v>
      </c>
      <c r="H358" s="9" t="s">
        <v>771</v>
      </c>
      <c r="I358" s="3"/>
      <c r="J358" s="3"/>
      <c r="K358" s="9"/>
    </row>
    <row r="359" ht="15.75" customHeight="1">
      <c r="A359" s="10" t="s">
        <v>12</v>
      </c>
      <c r="B359" s="10" t="s">
        <v>82</v>
      </c>
      <c r="C359" s="10" t="s">
        <v>4445</v>
      </c>
      <c r="D359" s="11" t="str">
        <f t="shared" si="1"/>
        <v>Abrir anúncio ↗</v>
      </c>
      <c r="E359" s="12" t="s">
        <v>4448</v>
      </c>
      <c r="F359" s="10" t="s">
        <v>86</v>
      </c>
      <c r="G359" s="12" t="s">
        <v>470</v>
      </c>
      <c r="H359" s="12" t="s">
        <v>1312</v>
      </c>
      <c r="I359" s="10"/>
      <c r="J359" s="10"/>
      <c r="K359" s="12"/>
    </row>
    <row r="360" ht="15.75" customHeight="1">
      <c r="A360" s="3" t="s">
        <v>12</v>
      </c>
      <c r="B360" s="3" t="s">
        <v>82</v>
      </c>
      <c r="C360" s="3" t="s">
        <v>4457</v>
      </c>
      <c r="D360" s="8" t="str">
        <f t="shared" si="1"/>
        <v>Abrir anúncio ↗</v>
      </c>
      <c r="E360" s="9" t="s">
        <v>4460</v>
      </c>
      <c r="F360" s="3" t="s">
        <v>86</v>
      </c>
      <c r="G360" s="9" t="s">
        <v>470</v>
      </c>
      <c r="H360" s="9" t="s">
        <v>584</v>
      </c>
      <c r="I360" s="3"/>
      <c r="J360" s="3"/>
      <c r="K360" s="9"/>
    </row>
    <row r="361" ht="15.75" customHeight="1">
      <c r="A361" s="10" t="s">
        <v>12</v>
      </c>
      <c r="B361" s="10" t="s">
        <v>82</v>
      </c>
      <c r="C361" s="10" t="s">
        <v>4467</v>
      </c>
      <c r="D361" s="11" t="str">
        <f t="shared" si="1"/>
        <v>Abrir anúncio ↗</v>
      </c>
      <c r="E361" s="12" t="s">
        <v>4471</v>
      </c>
      <c r="F361" s="10" t="s">
        <v>86</v>
      </c>
      <c r="G361" s="12" t="s">
        <v>470</v>
      </c>
      <c r="H361" s="12" t="s">
        <v>584</v>
      </c>
      <c r="I361" s="10"/>
      <c r="J361" s="10"/>
      <c r="K361" s="12"/>
    </row>
    <row r="362" ht="15.75" customHeight="1">
      <c r="A362" s="3" t="s">
        <v>12</v>
      </c>
      <c r="B362" s="3" t="s">
        <v>82</v>
      </c>
      <c r="C362" s="3" t="s">
        <v>4478</v>
      </c>
      <c r="D362" s="8" t="str">
        <f t="shared" si="1"/>
        <v>Abrir anúncio ↗</v>
      </c>
      <c r="E362" s="9" t="s">
        <v>4480</v>
      </c>
      <c r="F362" s="3" t="s">
        <v>86</v>
      </c>
      <c r="G362" s="9" t="s">
        <v>470</v>
      </c>
      <c r="H362" s="9" t="s">
        <v>771</v>
      </c>
      <c r="I362" s="3"/>
      <c r="J362" s="3"/>
      <c r="K362" s="9"/>
    </row>
    <row r="363" ht="15.75" customHeight="1">
      <c r="A363" s="10" t="s">
        <v>12</v>
      </c>
      <c r="B363" s="10" t="s">
        <v>82</v>
      </c>
      <c r="C363" s="10" t="s">
        <v>4488</v>
      </c>
      <c r="D363" s="11" t="str">
        <f t="shared" si="1"/>
        <v>Abrir anúncio ↗</v>
      </c>
      <c r="E363" s="12" t="s">
        <v>4491</v>
      </c>
      <c r="F363" s="10" t="s">
        <v>86</v>
      </c>
      <c r="G363" s="12" t="s">
        <v>470</v>
      </c>
      <c r="H363" s="12" t="s">
        <v>1312</v>
      </c>
      <c r="I363" s="10"/>
      <c r="J363" s="10"/>
      <c r="K363" s="12"/>
    </row>
    <row r="364" ht="15.75" customHeight="1">
      <c r="A364" s="3" t="s">
        <v>12</v>
      </c>
      <c r="B364" s="3" t="s">
        <v>82</v>
      </c>
      <c r="C364" s="3" t="s">
        <v>4500</v>
      </c>
      <c r="D364" s="8" t="str">
        <f t="shared" si="1"/>
        <v>Abrir anúncio ↗</v>
      </c>
      <c r="E364" s="9" t="s">
        <v>4501</v>
      </c>
      <c r="F364" s="3" t="s">
        <v>86</v>
      </c>
      <c r="G364" s="9" t="s">
        <v>470</v>
      </c>
      <c r="H364" s="9" t="s">
        <v>519</v>
      </c>
      <c r="I364" s="3"/>
      <c r="J364" s="3"/>
      <c r="K364" s="9"/>
    </row>
    <row r="365" ht="15.75" customHeight="1">
      <c r="A365" s="10" t="s">
        <v>12</v>
      </c>
      <c r="B365" s="10" t="s">
        <v>82</v>
      </c>
      <c r="C365" s="10" t="s">
        <v>4511</v>
      </c>
      <c r="D365" s="11" t="str">
        <f t="shared" si="1"/>
        <v>Abrir anúncio ↗</v>
      </c>
      <c r="E365" s="12" t="s">
        <v>4512</v>
      </c>
      <c r="F365" s="10" t="s">
        <v>86</v>
      </c>
      <c r="G365" s="12" t="s">
        <v>470</v>
      </c>
      <c r="H365" s="12" t="s">
        <v>771</v>
      </c>
      <c r="I365" s="10"/>
      <c r="J365" s="10"/>
      <c r="K365" s="12"/>
    </row>
    <row r="366" ht="15.75" customHeight="1">
      <c r="A366" s="3" t="s">
        <v>12</v>
      </c>
      <c r="B366" s="3" t="s">
        <v>82</v>
      </c>
      <c r="C366" s="3" t="s">
        <v>4521</v>
      </c>
      <c r="D366" s="8" t="str">
        <f t="shared" si="1"/>
        <v>Abrir anúncio ↗</v>
      </c>
      <c r="E366" s="9" t="s">
        <v>4525</v>
      </c>
      <c r="F366" s="3" t="s">
        <v>86</v>
      </c>
      <c r="G366" s="9" t="s">
        <v>470</v>
      </c>
      <c r="H366" s="9" t="s">
        <v>519</v>
      </c>
      <c r="I366" s="3"/>
      <c r="J366" s="3"/>
      <c r="K366" s="9"/>
    </row>
    <row r="367" ht="15.75" customHeight="1">
      <c r="A367" s="10" t="s">
        <v>12</v>
      </c>
      <c r="B367" s="10" t="s">
        <v>82</v>
      </c>
      <c r="C367" s="10" t="s">
        <v>4532</v>
      </c>
      <c r="D367" s="11" t="str">
        <f t="shared" si="1"/>
        <v>Abrir anúncio ↗</v>
      </c>
      <c r="E367" s="12" t="s">
        <v>4537</v>
      </c>
      <c r="F367" s="10" t="s">
        <v>86</v>
      </c>
      <c r="G367" s="12" t="s">
        <v>470</v>
      </c>
      <c r="H367" s="12" t="s">
        <v>472</v>
      </c>
      <c r="I367" s="10"/>
      <c r="J367" s="10"/>
      <c r="K367" s="12"/>
    </row>
    <row r="368" ht="15.75" customHeight="1">
      <c r="A368" s="3" t="s">
        <v>12</v>
      </c>
      <c r="B368" s="3" t="s">
        <v>82</v>
      </c>
      <c r="C368" s="3" t="s">
        <v>4546</v>
      </c>
      <c r="D368" s="8" t="str">
        <f t="shared" si="1"/>
        <v>Abrir anúncio ↗</v>
      </c>
      <c r="E368" s="9" t="s">
        <v>4548</v>
      </c>
      <c r="F368" s="3" t="s">
        <v>86</v>
      </c>
      <c r="G368" s="9" t="s">
        <v>470</v>
      </c>
      <c r="H368" s="9" t="s">
        <v>771</v>
      </c>
      <c r="I368" s="3"/>
      <c r="J368" s="3"/>
      <c r="K368" s="9"/>
    </row>
    <row r="369" ht="15.75" customHeight="1">
      <c r="A369" s="10" t="s">
        <v>12</v>
      </c>
      <c r="B369" s="10" t="s">
        <v>82</v>
      </c>
      <c r="C369" s="10" t="s">
        <v>4558</v>
      </c>
      <c r="D369" s="11" t="str">
        <f t="shared" si="1"/>
        <v>Abrir anúncio ↗</v>
      </c>
      <c r="E369" s="12" t="s">
        <v>4561</v>
      </c>
      <c r="F369" s="10" t="s">
        <v>86</v>
      </c>
      <c r="G369" s="12" t="s">
        <v>470</v>
      </c>
      <c r="H369" s="12" t="s">
        <v>584</v>
      </c>
      <c r="I369" s="10"/>
      <c r="J369" s="10"/>
      <c r="K369" s="12"/>
    </row>
    <row r="370" ht="15.75" customHeight="1">
      <c r="A370" s="3" t="s">
        <v>12</v>
      </c>
      <c r="B370" s="3" t="s">
        <v>82</v>
      </c>
      <c r="C370" s="3" t="s">
        <v>4567</v>
      </c>
      <c r="D370" s="8" t="str">
        <f t="shared" si="1"/>
        <v>Abrir anúncio ↗</v>
      </c>
      <c r="E370" s="9" t="s">
        <v>4570</v>
      </c>
      <c r="F370" s="3" t="s">
        <v>86</v>
      </c>
      <c r="G370" s="9" t="s">
        <v>470</v>
      </c>
      <c r="H370" s="9" t="s">
        <v>584</v>
      </c>
      <c r="I370" s="3"/>
      <c r="J370" s="3"/>
      <c r="K370" s="9"/>
    </row>
    <row r="371" ht="15.75" customHeight="1">
      <c r="A371" s="10" t="s">
        <v>12</v>
      </c>
      <c r="B371" s="10" t="s">
        <v>82</v>
      </c>
      <c r="C371" s="10" t="s">
        <v>4578</v>
      </c>
      <c r="D371" s="11" t="str">
        <f t="shared" si="1"/>
        <v>Abrir anúncio ↗</v>
      </c>
      <c r="E371" s="12" t="s">
        <v>4579</v>
      </c>
      <c r="F371" s="10" t="s">
        <v>86</v>
      </c>
      <c r="G371" s="12" t="s">
        <v>470</v>
      </c>
      <c r="H371" s="12" t="s">
        <v>584</v>
      </c>
      <c r="I371" s="10"/>
      <c r="J371" s="10"/>
      <c r="K371" s="12"/>
    </row>
    <row r="372" ht="15.75" customHeight="1">
      <c r="A372" s="3" t="s">
        <v>12</v>
      </c>
      <c r="B372" s="3" t="s">
        <v>82</v>
      </c>
      <c r="C372" s="3" t="s">
        <v>4591</v>
      </c>
      <c r="D372" s="8" t="str">
        <f t="shared" si="1"/>
        <v>Abrir anúncio ↗</v>
      </c>
      <c r="E372" s="9" t="s">
        <v>4593</v>
      </c>
      <c r="F372" s="3" t="s">
        <v>86</v>
      </c>
      <c r="G372" s="9" t="s">
        <v>991</v>
      </c>
      <c r="H372" s="9" t="s">
        <v>993</v>
      </c>
      <c r="I372" s="3"/>
      <c r="J372" s="3"/>
      <c r="K372" s="9"/>
    </row>
    <row r="373" ht="15.75" customHeight="1">
      <c r="A373" s="10" t="s">
        <v>12</v>
      </c>
      <c r="B373" s="10" t="s">
        <v>82</v>
      </c>
      <c r="C373" s="10" t="s">
        <v>4603</v>
      </c>
      <c r="D373" s="11" t="str">
        <f t="shared" si="1"/>
        <v>Abrir anúncio ↗</v>
      </c>
      <c r="E373" s="12" t="s">
        <v>4605</v>
      </c>
      <c r="F373" s="10" t="s">
        <v>86</v>
      </c>
      <c r="G373" s="12" t="s">
        <v>965</v>
      </c>
      <c r="H373" s="12" t="s">
        <v>4607</v>
      </c>
      <c r="I373" s="10"/>
      <c r="J373" s="10"/>
      <c r="K373" s="12"/>
    </row>
    <row r="374" ht="15.75" customHeight="1">
      <c r="A374" s="3" t="s">
        <v>12</v>
      </c>
      <c r="B374" s="3" t="s">
        <v>82</v>
      </c>
      <c r="C374" s="3" t="s">
        <v>4615</v>
      </c>
      <c r="D374" s="8" t="str">
        <f t="shared" si="1"/>
        <v>Abrir anúncio ↗</v>
      </c>
      <c r="E374" s="9" t="s">
        <v>4617</v>
      </c>
      <c r="F374" s="3" t="s">
        <v>86</v>
      </c>
      <c r="G374" s="9" t="s">
        <v>1054</v>
      </c>
      <c r="H374" s="9" t="s">
        <v>1804</v>
      </c>
      <c r="I374" s="3"/>
      <c r="J374" s="3"/>
      <c r="K374" s="9"/>
    </row>
    <row r="375" ht="15.75" customHeight="1">
      <c r="A375" s="10" t="s">
        <v>12</v>
      </c>
      <c r="B375" s="10" t="s">
        <v>82</v>
      </c>
      <c r="C375" s="10" t="s">
        <v>4624</v>
      </c>
      <c r="D375" s="11" t="str">
        <f t="shared" si="1"/>
        <v>Abrir anúncio ↗</v>
      </c>
      <c r="E375" s="12" t="s">
        <v>4629</v>
      </c>
      <c r="F375" s="10" t="s">
        <v>29</v>
      </c>
      <c r="G375" s="12" t="s">
        <v>1054</v>
      </c>
      <c r="H375" s="12" t="s">
        <v>3692</v>
      </c>
      <c r="I375" s="10"/>
      <c r="J375" s="10"/>
      <c r="K375" s="12"/>
    </row>
    <row r="376" ht="15.75" customHeight="1">
      <c r="A376" s="3" t="s">
        <v>12</v>
      </c>
      <c r="B376" s="3" t="s">
        <v>82</v>
      </c>
      <c r="C376" s="3" t="s">
        <v>4636</v>
      </c>
      <c r="D376" s="8" t="str">
        <f t="shared" si="1"/>
        <v>Abrir anúncio ↗</v>
      </c>
      <c r="E376" s="9" t="s">
        <v>4641</v>
      </c>
      <c r="F376" s="3" t="s">
        <v>86</v>
      </c>
      <c r="G376" s="9" t="s">
        <v>965</v>
      </c>
      <c r="H376" s="9" t="s">
        <v>3369</v>
      </c>
      <c r="I376" s="3"/>
      <c r="J376" s="3"/>
      <c r="K376" s="9"/>
    </row>
    <row r="377" ht="15.75" customHeight="1">
      <c r="A377" s="10" t="s">
        <v>12</v>
      </c>
      <c r="B377" s="10" t="s">
        <v>82</v>
      </c>
      <c r="C377" s="10" t="s">
        <v>4649</v>
      </c>
      <c r="D377" s="11" t="str">
        <f t="shared" si="1"/>
        <v>Abrir anúncio ↗</v>
      </c>
      <c r="E377" s="12" t="s">
        <v>4653</v>
      </c>
      <c r="F377" s="10" t="s">
        <v>86</v>
      </c>
      <c r="G377" s="12" t="s">
        <v>470</v>
      </c>
      <c r="H377" s="12" t="s">
        <v>771</v>
      </c>
      <c r="I377" s="10"/>
      <c r="J377" s="10"/>
      <c r="K377" s="12"/>
    </row>
    <row r="378" ht="15.75" customHeight="1">
      <c r="A378" s="3" t="s">
        <v>12</v>
      </c>
      <c r="B378" s="3" t="s">
        <v>82</v>
      </c>
      <c r="C378" s="3" t="s">
        <v>4658</v>
      </c>
      <c r="D378" s="8" t="str">
        <f t="shared" si="1"/>
        <v>Abrir anúncio ↗</v>
      </c>
      <c r="E378" s="9" t="s">
        <v>4662</v>
      </c>
      <c r="F378" s="3" t="s">
        <v>29</v>
      </c>
      <c r="G378" s="9" t="s">
        <v>470</v>
      </c>
      <c r="H378" s="9" t="s">
        <v>584</v>
      </c>
      <c r="I378" s="3"/>
      <c r="J378" s="3"/>
      <c r="K378" s="9"/>
    </row>
    <row r="379" ht="15.75" customHeight="1">
      <c r="A379" s="10" t="s">
        <v>12</v>
      </c>
      <c r="B379" s="10" t="s">
        <v>82</v>
      </c>
      <c r="C379" s="10" t="s">
        <v>4671</v>
      </c>
      <c r="D379" s="11" t="str">
        <f t="shared" si="1"/>
        <v>Abrir anúncio ↗</v>
      </c>
      <c r="E379" s="12" t="s">
        <v>4674</v>
      </c>
      <c r="F379" s="10" t="s">
        <v>29</v>
      </c>
      <c r="G379" s="12" t="s">
        <v>470</v>
      </c>
      <c r="H379" s="12" t="s">
        <v>472</v>
      </c>
      <c r="I379" s="10"/>
      <c r="J379" s="10"/>
      <c r="K379" s="12"/>
    </row>
    <row r="380" ht="15.75" customHeight="1">
      <c r="A380" s="3" t="s">
        <v>12</v>
      </c>
      <c r="B380" s="3" t="s">
        <v>82</v>
      </c>
      <c r="C380" s="3" t="s">
        <v>4680</v>
      </c>
      <c r="D380" s="8" t="str">
        <f t="shared" si="1"/>
        <v>Abrir anúncio ↗</v>
      </c>
      <c r="E380" s="9" t="s">
        <v>4683</v>
      </c>
      <c r="F380" s="3" t="s">
        <v>86</v>
      </c>
      <c r="G380" s="9" t="s">
        <v>470</v>
      </c>
      <c r="H380" s="9" t="s">
        <v>472</v>
      </c>
      <c r="I380" s="3"/>
      <c r="J380" s="3"/>
      <c r="K380" s="9"/>
    </row>
    <row r="381" ht="15.75" customHeight="1">
      <c r="A381" s="10" t="s">
        <v>12</v>
      </c>
      <c r="B381" s="10" t="s">
        <v>82</v>
      </c>
      <c r="C381" s="10" t="s">
        <v>4692</v>
      </c>
      <c r="D381" s="11" t="str">
        <f t="shared" si="1"/>
        <v>Abrir anúncio ↗</v>
      </c>
      <c r="E381" s="12" t="s">
        <v>4696</v>
      </c>
      <c r="F381" s="10" t="s">
        <v>86</v>
      </c>
      <c r="G381" s="12" t="s">
        <v>470</v>
      </c>
      <c r="H381" s="12" t="s">
        <v>472</v>
      </c>
      <c r="I381" s="10"/>
      <c r="J381" s="10"/>
      <c r="K381" s="12"/>
    </row>
    <row r="382" ht="15.75" customHeight="1">
      <c r="A382" s="3" t="s">
        <v>12</v>
      </c>
      <c r="B382" s="3" t="s">
        <v>82</v>
      </c>
      <c r="C382" s="3" t="s">
        <v>4704</v>
      </c>
      <c r="D382" s="8" t="str">
        <f t="shared" si="1"/>
        <v>Abrir anúncio ↗</v>
      </c>
      <c r="E382" s="9" t="s">
        <v>4707</v>
      </c>
      <c r="F382" s="3" t="s">
        <v>86</v>
      </c>
      <c r="G382" s="9" t="s">
        <v>470</v>
      </c>
      <c r="H382" s="9" t="s">
        <v>472</v>
      </c>
      <c r="I382" s="3"/>
      <c r="J382" s="3"/>
      <c r="K382" s="9"/>
    </row>
    <row r="383" ht="15.75" customHeight="1">
      <c r="A383" s="10" t="s">
        <v>12</v>
      </c>
      <c r="B383" s="10" t="s">
        <v>82</v>
      </c>
      <c r="C383" s="10" t="s">
        <v>4715</v>
      </c>
      <c r="D383" s="11" t="str">
        <f t="shared" si="1"/>
        <v>Abrir anúncio ↗</v>
      </c>
      <c r="E383" s="12" t="s">
        <v>4717</v>
      </c>
      <c r="F383" s="10" t="s">
        <v>29</v>
      </c>
      <c r="G383" s="12" t="s">
        <v>1054</v>
      </c>
      <c r="H383" s="12" t="s">
        <v>1651</v>
      </c>
      <c r="I383" s="10"/>
      <c r="J383" s="10"/>
      <c r="K383" s="12"/>
    </row>
    <row r="384" ht="15.75" customHeight="1">
      <c r="A384" s="3" t="s">
        <v>12</v>
      </c>
      <c r="B384" s="3" t="s">
        <v>82</v>
      </c>
      <c r="C384" s="3" t="s">
        <v>4725</v>
      </c>
      <c r="D384" s="8" t="str">
        <f t="shared" si="1"/>
        <v>Abrir anúncio ↗</v>
      </c>
      <c r="E384" s="9" t="s">
        <v>4727</v>
      </c>
      <c r="F384" s="3" t="s">
        <v>86</v>
      </c>
      <c r="G384" s="9" t="s">
        <v>1054</v>
      </c>
      <c r="H384" s="9" t="s">
        <v>1750</v>
      </c>
      <c r="I384" s="3"/>
      <c r="J384" s="3"/>
      <c r="K384" s="9"/>
    </row>
    <row r="385" ht="15.75" customHeight="1">
      <c r="A385" s="10" t="s">
        <v>12</v>
      </c>
      <c r="B385" s="10" t="s">
        <v>82</v>
      </c>
      <c r="C385" s="10" t="s">
        <v>4733</v>
      </c>
      <c r="D385" s="11" t="str">
        <f t="shared" si="1"/>
        <v>Abrir anúncio ↗</v>
      </c>
      <c r="E385" s="12" t="s">
        <v>4734</v>
      </c>
      <c r="F385" s="10" t="s">
        <v>86</v>
      </c>
      <c r="G385" s="12" t="s">
        <v>1054</v>
      </c>
      <c r="H385" s="12" t="s">
        <v>3840</v>
      </c>
      <c r="I385" s="10"/>
      <c r="J385" s="10"/>
      <c r="K385" s="12"/>
    </row>
    <row r="386" ht="15.75" customHeight="1">
      <c r="A386" s="3" t="s">
        <v>12</v>
      </c>
      <c r="B386" s="3" t="s">
        <v>82</v>
      </c>
      <c r="C386" s="3" t="s">
        <v>4740</v>
      </c>
      <c r="D386" s="8" t="str">
        <f t="shared" si="1"/>
        <v>Abrir anúncio ↗</v>
      </c>
      <c r="E386" s="9" t="s">
        <v>4742</v>
      </c>
      <c r="F386" s="3" t="s">
        <v>86</v>
      </c>
      <c r="G386" s="9" t="s">
        <v>1054</v>
      </c>
      <c r="H386" s="9" t="s">
        <v>1056</v>
      </c>
      <c r="I386" s="3"/>
      <c r="J386" s="3"/>
      <c r="K386" s="9"/>
    </row>
    <row r="387" ht="15.75" customHeight="1">
      <c r="A387" s="10" t="s">
        <v>12</v>
      </c>
      <c r="B387" s="10" t="s">
        <v>82</v>
      </c>
      <c r="C387" s="10" t="s">
        <v>4748</v>
      </c>
      <c r="D387" s="11" t="str">
        <f t="shared" si="1"/>
        <v>Abrir anúncio ↗</v>
      </c>
      <c r="E387" s="12" t="s">
        <v>4750</v>
      </c>
      <c r="F387" s="10" t="s">
        <v>86</v>
      </c>
      <c r="G387" s="12" t="s">
        <v>1054</v>
      </c>
      <c r="H387" s="12" t="s">
        <v>3638</v>
      </c>
      <c r="I387" s="10"/>
      <c r="J387" s="10"/>
      <c r="K387" s="12"/>
    </row>
    <row r="388" ht="15.75" customHeight="1">
      <c r="A388" s="3" t="s">
        <v>12</v>
      </c>
      <c r="B388" s="3" t="s">
        <v>82</v>
      </c>
      <c r="C388" s="3" t="s">
        <v>4756</v>
      </c>
      <c r="D388" s="8" t="str">
        <f t="shared" si="1"/>
        <v>Abrir anúncio ↗</v>
      </c>
      <c r="E388" s="9" t="s">
        <v>4758</v>
      </c>
      <c r="F388" s="3" t="s">
        <v>86</v>
      </c>
      <c r="G388" s="9" t="s">
        <v>1054</v>
      </c>
      <c r="H388" s="9" t="s">
        <v>1750</v>
      </c>
      <c r="I388" s="3"/>
      <c r="J388" s="3"/>
      <c r="K388" s="9"/>
    </row>
    <row r="389" ht="15.75" customHeight="1">
      <c r="A389" s="10" t="s">
        <v>12</v>
      </c>
      <c r="B389" s="10" t="s">
        <v>82</v>
      </c>
      <c r="C389" s="10" t="s">
        <v>4763</v>
      </c>
      <c r="D389" s="11" t="str">
        <f t="shared" si="1"/>
        <v>Abrir anúncio ↗</v>
      </c>
      <c r="E389" s="12" t="s">
        <v>4765</v>
      </c>
      <c r="F389" s="10" t="s">
        <v>86</v>
      </c>
      <c r="G389" s="12" t="s">
        <v>470</v>
      </c>
      <c r="H389" s="12" t="s">
        <v>472</v>
      </c>
      <c r="I389" s="10"/>
      <c r="J389" s="10"/>
      <c r="K389" s="12"/>
    </row>
    <row r="390" ht="15.75" customHeight="1">
      <c r="A390" s="3" t="s">
        <v>12</v>
      </c>
      <c r="B390" s="3" t="s">
        <v>82</v>
      </c>
      <c r="C390" s="3" t="s">
        <v>4771</v>
      </c>
      <c r="D390" s="8" t="str">
        <f t="shared" si="1"/>
        <v>Abrir anúncio ↗</v>
      </c>
      <c r="E390" s="9" t="s">
        <v>4773</v>
      </c>
      <c r="F390" s="3" t="s">
        <v>86</v>
      </c>
      <c r="G390" s="9" t="s">
        <v>470</v>
      </c>
      <c r="H390" s="9" t="s">
        <v>584</v>
      </c>
      <c r="I390" s="3"/>
      <c r="J390" s="3"/>
      <c r="K390" s="9"/>
    </row>
    <row r="391" ht="15.75" customHeight="1">
      <c r="A391" s="10" t="s">
        <v>12</v>
      </c>
      <c r="B391" s="10" t="s">
        <v>82</v>
      </c>
      <c r="C391" s="10" t="s">
        <v>4779</v>
      </c>
      <c r="D391" s="11" t="str">
        <f t="shared" si="1"/>
        <v>Abrir anúncio ↗</v>
      </c>
      <c r="E391" s="12" t="s">
        <v>4782</v>
      </c>
      <c r="F391" s="10" t="s">
        <v>86</v>
      </c>
      <c r="G391" s="12" t="s">
        <v>1662</v>
      </c>
      <c r="H391" s="12" t="s">
        <v>4785</v>
      </c>
      <c r="I391" s="10"/>
      <c r="J391" s="10"/>
      <c r="K391" s="12"/>
    </row>
    <row r="392" ht="15.75" customHeight="1">
      <c r="A392" s="3" t="s">
        <v>12</v>
      </c>
      <c r="B392" s="3" t="s">
        <v>82</v>
      </c>
      <c r="C392" s="3" t="s">
        <v>4790</v>
      </c>
      <c r="D392" s="8" t="str">
        <f t="shared" si="1"/>
        <v>Abrir anúncio ↗</v>
      </c>
      <c r="E392" s="9" t="s">
        <v>4792</v>
      </c>
      <c r="F392" s="3" t="s">
        <v>86</v>
      </c>
      <c r="G392" s="9" t="s">
        <v>1054</v>
      </c>
      <c r="H392" s="9" t="s">
        <v>1750</v>
      </c>
      <c r="I392" s="3"/>
      <c r="J392" s="3"/>
      <c r="K392" s="9"/>
    </row>
    <row r="393" ht="15.75" customHeight="1">
      <c r="A393" s="10" t="s">
        <v>12</v>
      </c>
      <c r="B393" s="10" t="s">
        <v>82</v>
      </c>
      <c r="C393" s="10" t="s">
        <v>4798</v>
      </c>
      <c r="D393" s="11" t="str">
        <f t="shared" si="1"/>
        <v>Abrir anúncio ↗</v>
      </c>
      <c r="E393" s="12" t="s">
        <v>4799</v>
      </c>
      <c r="F393" s="10" t="s">
        <v>86</v>
      </c>
      <c r="G393" s="12" t="s">
        <v>1054</v>
      </c>
      <c r="H393" s="12" t="s">
        <v>1895</v>
      </c>
      <c r="I393" s="10"/>
      <c r="J393" s="10"/>
      <c r="K393" s="12"/>
    </row>
    <row r="394" ht="15.75" customHeight="1">
      <c r="A394" s="3" t="s">
        <v>12</v>
      </c>
      <c r="B394" s="3" t="s">
        <v>82</v>
      </c>
      <c r="C394" s="3" t="s">
        <v>4805</v>
      </c>
      <c r="D394" s="8" t="str">
        <f t="shared" si="1"/>
        <v>Abrir anúncio ↗</v>
      </c>
      <c r="E394" s="9" t="s">
        <v>4808</v>
      </c>
      <c r="F394" s="3" t="s">
        <v>86</v>
      </c>
      <c r="G394" s="9" t="s">
        <v>1054</v>
      </c>
      <c r="H394" s="9" t="s">
        <v>1056</v>
      </c>
      <c r="I394" s="3"/>
      <c r="J394" s="3"/>
      <c r="K394" s="9"/>
    </row>
    <row r="395" ht="15.75" customHeight="1">
      <c r="A395" s="10" t="s">
        <v>12</v>
      </c>
      <c r="B395" s="10" t="s">
        <v>82</v>
      </c>
      <c r="C395" s="10" t="s">
        <v>4814</v>
      </c>
      <c r="D395" s="11" t="str">
        <f t="shared" si="1"/>
        <v>Abrir anúncio ↗</v>
      </c>
      <c r="E395" s="12" t="s">
        <v>4816</v>
      </c>
      <c r="F395" s="10" t="s">
        <v>86</v>
      </c>
      <c r="G395" s="12" t="s">
        <v>1662</v>
      </c>
      <c r="H395" s="12" t="s">
        <v>3109</v>
      </c>
      <c r="I395" s="10"/>
      <c r="J395" s="10"/>
      <c r="K395" s="12"/>
    </row>
    <row r="396" ht="15.75" customHeight="1">
      <c r="A396" s="3" t="s">
        <v>12</v>
      </c>
      <c r="B396" s="3" t="s">
        <v>82</v>
      </c>
      <c r="C396" s="3" t="s">
        <v>4823</v>
      </c>
      <c r="D396" s="8" t="str">
        <f t="shared" si="1"/>
        <v>Abrir anúncio ↗</v>
      </c>
      <c r="E396" s="9" t="s">
        <v>4825</v>
      </c>
      <c r="F396" s="3" t="s">
        <v>86</v>
      </c>
      <c r="G396" s="9" t="s">
        <v>1054</v>
      </c>
      <c r="H396" s="9" t="s">
        <v>1895</v>
      </c>
      <c r="I396" s="3"/>
      <c r="J396" s="3"/>
      <c r="K396" s="9"/>
    </row>
    <row r="397" ht="15.75" customHeight="1">
      <c r="A397" s="10" t="s">
        <v>12</v>
      </c>
      <c r="B397" s="10" t="s">
        <v>82</v>
      </c>
      <c r="C397" s="10" t="s">
        <v>4832</v>
      </c>
      <c r="D397" s="11" t="str">
        <f t="shared" si="1"/>
        <v>Abrir anúncio ↗</v>
      </c>
      <c r="E397" s="12" t="s">
        <v>4836</v>
      </c>
      <c r="F397" s="10" t="s">
        <v>86</v>
      </c>
      <c r="G397" s="12" t="s">
        <v>1054</v>
      </c>
      <c r="H397" s="12" t="s">
        <v>1804</v>
      </c>
      <c r="I397" s="10"/>
      <c r="J397" s="10"/>
      <c r="K397" s="12"/>
    </row>
    <row r="398" ht="15.75" customHeight="1">
      <c r="A398" s="3" t="s">
        <v>12</v>
      </c>
      <c r="B398" s="3" t="s">
        <v>82</v>
      </c>
      <c r="C398" s="3" t="s">
        <v>4846</v>
      </c>
      <c r="D398" s="8" t="str">
        <f t="shared" si="1"/>
        <v>Abrir anúncio ↗</v>
      </c>
      <c r="E398" s="9" t="s">
        <v>4848</v>
      </c>
      <c r="F398" s="3" t="s">
        <v>86</v>
      </c>
      <c r="G398" s="9" t="s">
        <v>965</v>
      </c>
      <c r="H398" s="9" t="s">
        <v>2008</v>
      </c>
      <c r="I398" s="3"/>
      <c r="J398" s="3"/>
      <c r="K398" s="9"/>
    </row>
    <row r="399" ht="15.75" customHeight="1">
      <c r="A399" s="10" t="s">
        <v>12</v>
      </c>
      <c r="B399" s="10" t="s">
        <v>82</v>
      </c>
      <c r="C399" s="10" t="s">
        <v>4857</v>
      </c>
      <c r="D399" s="11" t="str">
        <f t="shared" si="1"/>
        <v>Abrir anúncio ↗</v>
      </c>
      <c r="E399" s="12" t="s">
        <v>3055</v>
      </c>
      <c r="F399" s="10" t="s">
        <v>86</v>
      </c>
      <c r="G399" s="12" t="s">
        <v>991</v>
      </c>
      <c r="H399" s="12" t="s">
        <v>993</v>
      </c>
      <c r="I399" s="10"/>
      <c r="J399" s="10"/>
      <c r="K399" s="12"/>
    </row>
    <row r="400" ht="15.75" customHeight="1">
      <c r="A400" s="3" t="s">
        <v>12</v>
      </c>
      <c r="B400" s="3" t="s">
        <v>82</v>
      </c>
      <c r="C400" s="3" t="s">
        <v>4865</v>
      </c>
      <c r="D400" s="8" t="str">
        <f t="shared" si="1"/>
        <v>Abrir anúncio ↗</v>
      </c>
      <c r="E400" s="9" t="s">
        <v>4867</v>
      </c>
      <c r="F400" s="3" t="s">
        <v>86</v>
      </c>
      <c r="G400" s="9" t="s">
        <v>965</v>
      </c>
      <c r="H400" s="9" t="s">
        <v>2293</v>
      </c>
      <c r="I400" s="3"/>
      <c r="J400" s="3"/>
      <c r="K400" s="9"/>
    </row>
    <row r="401" ht="15.75" customHeight="1">
      <c r="A401" s="10" t="s">
        <v>12</v>
      </c>
      <c r="B401" s="10" t="s">
        <v>82</v>
      </c>
      <c r="C401" s="10" t="s">
        <v>4875</v>
      </c>
      <c r="D401" s="11" t="str">
        <f t="shared" si="1"/>
        <v>Abrir anúncio ↗</v>
      </c>
      <c r="E401" s="12" t="s">
        <v>4877</v>
      </c>
      <c r="F401" s="10" t="s">
        <v>29</v>
      </c>
      <c r="G401" s="12" t="s">
        <v>470</v>
      </c>
      <c r="H401" s="12" t="s">
        <v>472</v>
      </c>
      <c r="I401" s="10"/>
      <c r="J401" s="10"/>
      <c r="K401" s="12"/>
    </row>
    <row r="402" ht="15.75" customHeight="1">
      <c r="A402" s="3" t="s">
        <v>12</v>
      </c>
      <c r="B402" s="3" t="s">
        <v>82</v>
      </c>
      <c r="C402" s="3" t="s">
        <v>4887</v>
      </c>
      <c r="D402" s="8" t="str">
        <f t="shared" si="1"/>
        <v>Abrir anúncio ↗</v>
      </c>
      <c r="E402" s="9" t="s">
        <v>4889</v>
      </c>
      <c r="F402" s="3" t="s">
        <v>29</v>
      </c>
      <c r="G402" s="9" t="s">
        <v>470</v>
      </c>
      <c r="H402" s="9" t="s">
        <v>584</v>
      </c>
      <c r="I402" s="3"/>
      <c r="J402" s="3"/>
      <c r="K402" s="9"/>
    </row>
    <row r="403" ht="15.75" customHeight="1">
      <c r="A403" s="10" t="s">
        <v>12</v>
      </c>
      <c r="B403" s="10" t="s">
        <v>82</v>
      </c>
      <c r="C403" s="10" t="s">
        <v>4898</v>
      </c>
      <c r="D403" s="11" t="str">
        <f t="shared" si="1"/>
        <v>Abrir anúncio ↗</v>
      </c>
      <c r="E403" s="12" t="s">
        <v>4900</v>
      </c>
      <c r="F403" s="10" t="s">
        <v>29</v>
      </c>
      <c r="G403" s="12" t="s">
        <v>470</v>
      </c>
      <c r="H403" s="12" t="s">
        <v>584</v>
      </c>
      <c r="I403" s="10"/>
      <c r="J403" s="10"/>
      <c r="K403" s="12"/>
    </row>
    <row r="404" ht="15.75" customHeight="1">
      <c r="A404" s="3" t="s">
        <v>12</v>
      </c>
      <c r="B404" s="3" t="s">
        <v>82</v>
      </c>
      <c r="C404" s="3" t="s">
        <v>4908</v>
      </c>
      <c r="D404" s="8" t="str">
        <f t="shared" si="1"/>
        <v>Abrir anúncio ↗</v>
      </c>
      <c r="E404" s="9" t="s">
        <v>4909</v>
      </c>
      <c r="F404" s="3" t="s">
        <v>29</v>
      </c>
      <c r="G404" s="9" t="s">
        <v>470</v>
      </c>
      <c r="H404" s="9" t="s">
        <v>472</v>
      </c>
      <c r="I404" s="3"/>
      <c r="J404" s="3"/>
      <c r="K404" s="9"/>
    </row>
    <row r="405" ht="15.75" customHeight="1">
      <c r="A405" s="10" t="s">
        <v>12</v>
      </c>
      <c r="B405" s="10" t="s">
        <v>82</v>
      </c>
      <c r="C405" s="10" t="s">
        <v>4920</v>
      </c>
      <c r="D405" s="11" t="str">
        <f t="shared" si="1"/>
        <v>Abrir anúncio ↗</v>
      </c>
      <c r="E405" s="12" t="s">
        <v>4922</v>
      </c>
      <c r="F405" s="10" t="s">
        <v>29</v>
      </c>
      <c r="G405" s="12" t="s">
        <v>470</v>
      </c>
      <c r="H405" s="12" t="s">
        <v>472</v>
      </c>
      <c r="I405" s="10"/>
      <c r="J405" s="10"/>
      <c r="K405" s="12"/>
    </row>
    <row r="406" ht="15.75" customHeight="1">
      <c r="A406" s="3" t="s">
        <v>12</v>
      </c>
      <c r="B406" s="3" t="s">
        <v>82</v>
      </c>
      <c r="C406" s="3" t="s">
        <v>4931</v>
      </c>
      <c r="D406" s="8" t="str">
        <f t="shared" si="1"/>
        <v>Abrir anúncio ↗</v>
      </c>
      <c r="E406" s="9" t="s">
        <v>4934</v>
      </c>
      <c r="F406" s="3" t="s">
        <v>86</v>
      </c>
      <c r="G406" s="9" t="s">
        <v>965</v>
      </c>
      <c r="H406" s="9" t="s">
        <v>1676</v>
      </c>
      <c r="I406" s="3"/>
      <c r="J406" s="3"/>
      <c r="K406" s="9"/>
    </row>
    <row r="407" ht="15.75" customHeight="1">
      <c r="A407" s="10" t="s">
        <v>12</v>
      </c>
      <c r="B407" s="10" t="s">
        <v>82</v>
      </c>
      <c r="C407" s="10" t="s">
        <v>4940</v>
      </c>
      <c r="D407" s="11" t="str">
        <f t="shared" si="1"/>
        <v>Abrir anúncio ↗</v>
      </c>
      <c r="E407" s="12" t="s">
        <v>4943</v>
      </c>
      <c r="F407" s="10" t="s">
        <v>86</v>
      </c>
      <c r="G407" s="12" t="s">
        <v>965</v>
      </c>
      <c r="H407" s="12" t="s">
        <v>3442</v>
      </c>
      <c r="I407" s="10"/>
      <c r="J407" s="10"/>
      <c r="K407" s="12"/>
    </row>
    <row r="408" ht="15.75" customHeight="1">
      <c r="A408" s="3" t="s">
        <v>12</v>
      </c>
      <c r="B408" s="3" t="s">
        <v>82</v>
      </c>
      <c r="C408" s="3" t="s">
        <v>4949</v>
      </c>
      <c r="D408" s="8" t="str">
        <f t="shared" si="1"/>
        <v>Abrir anúncio ↗</v>
      </c>
      <c r="E408" s="9" t="s">
        <v>4950</v>
      </c>
      <c r="F408" s="3" t="s">
        <v>29</v>
      </c>
      <c r="G408" s="9" t="s">
        <v>965</v>
      </c>
      <c r="H408" s="9" t="s">
        <v>1676</v>
      </c>
      <c r="I408" s="3"/>
      <c r="J408" s="3"/>
      <c r="K408" s="9"/>
    </row>
    <row r="409" ht="15.75" customHeight="1">
      <c r="A409" s="10" t="s">
        <v>12</v>
      </c>
      <c r="B409" s="10" t="s">
        <v>82</v>
      </c>
      <c r="C409" s="10" t="s">
        <v>4961</v>
      </c>
      <c r="D409" s="11" t="str">
        <f t="shared" si="1"/>
        <v>Abrir anúncio ↗</v>
      </c>
      <c r="E409" s="12" t="s">
        <v>4963</v>
      </c>
      <c r="F409" s="10" t="s">
        <v>86</v>
      </c>
      <c r="G409" s="12" t="s">
        <v>965</v>
      </c>
      <c r="H409" s="12" t="s">
        <v>3442</v>
      </c>
      <c r="I409" s="10"/>
      <c r="J409" s="10"/>
      <c r="K409" s="12"/>
    </row>
    <row r="410" ht="15.75" customHeight="1">
      <c r="A410" s="3" t="s">
        <v>12</v>
      </c>
      <c r="B410" s="3" t="s">
        <v>82</v>
      </c>
      <c r="C410" s="3" t="s">
        <v>4972</v>
      </c>
      <c r="D410" s="8" t="str">
        <f t="shared" si="1"/>
        <v>Abrir anúncio ↗</v>
      </c>
      <c r="E410" s="9" t="s">
        <v>4974</v>
      </c>
      <c r="F410" s="3" t="s">
        <v>86</v>
      </c>
      <c r="G410" s="9" t="s">
        <v>965</v>
      </c>
      <c r="H410" s="9" t="s">
        <v>1015</v>
      </c>
      <c r="I410" s="3"/>
      <c r="J410" s="3"/>
      <c r="K410" s="9"/>
    </row>
    <row r="411" ht="15.75" customHeight="1">
      <c r="A411" s="10" t="s">
        <v>12</v>
      </c>
      <c r="B411" s="10" t="s">
        <v>82</v>
      </c>
      <c r="C411" s="10" t="s">
        <v>4982</v>
      </c>
      <c r="D411" s="11" t="str">
        <f t="shared" si="1"/>
        <v>Abrir anúncio ↗</v>
      </c>
      <c r="E411" s="12" t="s">
        <v>4984</v>
      </c>
      <c r="F411" s="10" t="s">
        <v>86</v>
      </c>
      <c r="G411" s="12" t="s">
        <v>965</v>
      </c>
      <c r="H411" s="12" t="s">
        <v>1015</v>
      </c>
      <c r="I411" s="10"/>
      <c r="J411" s="10"/>
      <c r="K411" s="12"/>
    </row>
    <row r="412" ht="15.75" customHeight="1">
      <c r="A412" s="3" t="s">
        <v>12</v>
      </c>
      <c r="B412" s="3" t="s">
        <v>82</v>
      </c>
      <c r="C412" s="3" t="s">
        <v>4994</v>
      </c>
      <c r="D412" s="8" t="str">
        <f t="shared" si="1"/>
        <v>Abrir anúncio ↗</v>
      </c>
      <c r="E412" s="9" t="s">
        <v>4995</v>
      </c>
      <c r="F412" s="3" t="s">
        <v>86</v>
      </c>
      <c r="G412" s="9" t="s">
        <v>965</v>
      </c>
      <c r="H412" s="9" t="s">
        <v>4613</v>
      </c>
      <c r="I412" s="3"/>
      <c r="J412" s="3"/>
      <c r="K412" s="9"/>
    </row>
    <row r="413" ht="15.75" customHeight="1">
      <c r="A413" s="10" t="s">
        <v>12</v>
      </c>
      <c r="B413" s="10" t="s">
        <v>82</v>
      </c>
      <c r="C413" s="10" t="s">
        <v>5002</v>
      </c>
      <c r="D413" s="11" t="str">
        <f t="shared" si="1"/>
        <v>Abrir anúncio ↗</v>
      </c>
      <c r="E413" s="12" t="s">
        <v>5004</v>
      </c>
      <c r="F413" s="10" t="s">
        <v>86</v>
      </c>
      <c r="G413" s="12" t="s">
        <v>965</v>
      </c>
      <c r="H413" s="12" t="s">
        <v>2008</v>
      </c>
      <c r="I413" s="10"/>
      <c r="J413" s="10"/>
      <c r="K413" s="12"/>
    </row>
    <row r="414" ht="15.75" customHeight="1">
      <c r="A414" s="3" t="s">
        <v>12</v>
      </c>
      <c r="B414" s="3" t="s">
        <v>82</v>
      </c>
      <c r="C414" s="3" t="s">
        <v>5011</v>
      </c>
      <c r="D414" s="8" t="str">
        <f t="shared" si="1"/>
        <v>Abrir anúncio ↗</v>
      </c>
      <c r="E414" s="9" t="s">
        <v>5014</v>
      </c>
      <c r="F414" s="3" t="s">
        <v>86</v>
      </c>
      <c r="G414" s="9" t="s">
        <v>965</v>
      </c>
      <c r="H414" s="9" t="s">
        <v>1015</v>
      </c>
      <c r="I414" s="3"/>
      <c r="J414" s="3"/>
      <c r="K414" s="9"/>
    </row>
    <row r="415" ht="15.75" customHeight="1">
      <c r="A415" s="10" t="s">
        <v>12</v>
      </c>
      <c r="B415" s="10" t="s">
        <v>82</v>
      </c>
      <c r="C415" s="10" t="s">
        <v>5021</v>
      </c>
      <c r="D415" s="11" t="str">
        <f t="shared" si="1"/>
        <v>Abrir anúncio ↗</v>
      </c>
      <c r="E415" s="12" t="s">
        <v>5025</v>
      </c>
      <c r="F415" s="10" t="s">
        <v>86</v>
      </c>
      <c r="G415" s="12" t="s">
        <v>1054</v>
      </c>
      <c r="H415" s="12" t="s">
        <v>1519</v>
      </c>
      <c r="I415" s="10"/>
      <c r="J415" s="10"/>
      <c r="K415" s="12"/>
    </row>
    <row r="416" ht="15.75" customHeight="1">
      <c r="A416" s="3" t="s">
        <v>12</v>
      </c>
      <c r="B416" s="3" t="s">
        <v>82</v>
      </c>
      <c r="C416" s="3" t="s">
        <v>5031</v>
      </c>
      <c r="D416" s="8" t="str">
        <f t="shared" si="1"/>
        <v>Abrir anúncio ↗</v>
      </c>
      <c r="E416" s="9" t="s">
        <v>5035</v>
      </c>
      <c r="F416" s="3" t="s">
        <v>86</v>
      </c>
      <c r="G416" s="9" t="s">
        <v>470</v>
      </c>
      <c r="H416" s="9" t="s">
        <v>584</v>
      </c>
      <c r="I416" s="3"/>
      <c r="J416" s="3"/>
      <c r="K416" s="9"/>
    </row>
    <row r="417" ht="15.75" customHeight="1">
      <c r="A417" s="10" t="s">
        <v>12</v>
      </c>
      <c r="B417" s="10" t="s">
        <v>82</v>
      </c>
      <c r="C417" s="10" t="s">
        <v>5040</v>
      </c>
      <c r="D417" s="11" t="str">
        <f t="shared" si="1"/>
        <v>Abrir anúncio ↗</v>
      </c>
      <c r="E417" s="12" t="s">
        <v>5044</v>
      </c>
      <c r="F417" s="10" t="s">
        <v>86</v>
      </c>
      <c r="G417" s="12" t="s">
        <v>470</v>
      </c>
      <c r="H417" s="12" t="s">
        <v>472</v>
      </c>
      <c r="I417" s="10"/>
      <c r="J417" s="10"/>
      <c r="K417" s="12"/>
    </row>
    <row r="418" ht="15.75" customHeight="1">
      <c r="A418" s="3" t="s">
        <v>12</v>
      </c>
      <c r="B418" s="3" t="s">
        <v>82</v>
      </c>
      <c r="C418" s="3" t="s">
        <v>5052</v>
      </c>
      <c r="D418" s="8" t="str">
        <f t="shared" si="1"/>
        <v>Abrir anúncio ↗</v>
      </c>
      <c r="E418" s="9" t="s">
        <v>5055</v>
      </c>
      <c r="F418" s="3" t="s">
        <v>29</v>
      </c>
      <c r="G418" s="9" t="s">
        <v>470</v>
      </c>
      <c r="H418" s="9" t="s">
        <v>584</v>
      </c>
      <c r="I418" s="3"/>
      <c r="J418" s="3"/>
      <c r="K418" s="9"/>
    </row>
    <row r="419" ht="15.75" customHeight="1">
      <c r="A419" s="10" t="s">
        <v>12</v>
      </c>
      <c r="B419" s="10" t="s">
        <v>82</v>
      </c>
      <c r="C419" s="10" t="s">
        <v>5062</v>
      </c>
      <c r="D419" s="11" t="str">
        <f t="shared" si="1"/>
        <v>Abrir anúncio ↗</v>
      </c>
      <c r="E419" s="12" t="s">
        <v>5066</v>
      </c>
      <c r="F419" s="10" t="s">
        <v>86</v>
      </c>
      <c r="G419" s="12" t="s">
        <v>470</v>
      </c>
      <c r="H419" s="12" t="s">
        <v>472</v>
      </c>
      <c r="I419" s="10"/>
      <c r="J419" s="10"/>
      <c r="K419" s="12"/>
    </row>
    <row r="420" ht="15.75" customHeight="1">
      <c r="A420" s="3" t="s">
        <v>12</v>
      </c>
      <c r="B420" s="3" t="s">
        <v>82</v>
      </c>
      <c r="C420" s="3" t="s">
        <v>5072</v>
      </c>
      <c r="D420" s="8" t="str">
        <f t="shared" si="1"/>
        <v>Abrir anúncio ↗</v>
      </c>
      <c r="E420" s="9" t="s">
        <v>5074</v>
      </c>
      <c r="F420" s="3" t="s">
        <v>29</v>
      </c>
      <c r="G420" s="9" t="s">
        <v>470</v>
      </c>
      <c r="H420" s="9" t="s">
        <v>584</v>
      </c>
      <c r="I420" s="3"/>
      <c r="J420" s="3"/>
      <c r="K420" s="9"/>
    </row>
    <row r="421" ht="15.75" customHeight="1">
      <c r="A421" s="10" t="s">
        <v>12</v>
      </c>
      <c r="B421" s="10" t="s">
        <v>82</v>
      </c>
      <c r="C421" s="10" t="s">
        <v>5082</v>
      </c>
      <c r="D421" s="11" t="str">
        <f t="shared" si="1"/>
        <v>Abrir anúncio ↗</v>
      </c>
      <c r="E421" s="12" t="s">
        <v>5084</v>
      </c>
      <c r="F421" s="10" t="s">
        <v>29</v>
      </c>
      <c r="G421" s="12" t="s">
        <v>470</v>
      </c>
      <c r="H421" s="12" t="s">
        <v>472</v>
      </c>
      <c r="I421" s="10"/>
      <c r="J421" s="10"/>
      <c r="K421" s="12"/>
    </row>
    <row r="422" ht="15.75" customHeight="1">
      <c r="A422" s="3" t="s">
        <v>12</v>
      </c>
      <c r="B422" s="3" t="s">
        <v>82</v>
      </c>
      <c r="C422" s="3" t="s">
        <v>5090</v>
      </c>
      <c r="D422" s="8" t="str">
        <f t="shared" si="1"/>
        <v>Abrir anúncio ↗</v>
      </c>
      <c r="E422" s="9" t="s">
        <v>5093</v>
      </c>
      <c r="F422" s="3" t="s">
        <v>86</v>
      </c>
      <c r="G422" s="9" t="s">
        <v>470</v>
      </c>
      <c r="H422" s="9" t="s">
        <v>472</v>
      </c>
      <c r="I422" s="3"/>
      <c r="J422" s="3"/>
      <c r="K422" s="9"/>
    </row>
    <row r="423" ht="15.75" customHeight="1">
      <c r="A423" s="10" t="s">
        <v>12</v>
      </c>
      <c r="B423" s="10" t="s">
        <v>82</v>
      </c>
      <c r="C423" s="10" t="s">
        <v>5099</v>
      </c>
      <c r="D423" s="11" t="str">
        <f t="shared" si="1"/>
        <v>Abrir anúncio ↗</v>
      </c>
      <c r="E423" s="12" t="s">
        <v>5102</v>
      </c>
      <c r="F423" s="10" t="s">
        <v>86</v>
      </c>
      <c r="G423" s="12" t="s">
        <v>470</v>
      </c>
      <c r="H423" s="12" t="s">
        <v>472</v>
      </c>
      <c r="I423" s="10"/>
      <c r="J423" s="10"/>
      <c r="K423" s="12"/>
    </row>
    <row r="424" ht="15.75" customHeight="1">
      <c r="A424" s="3" t="s">
        <v>12</v>
      </c>
      <c r="B424" s="3" t="s">
        <v>82</v>
      </c>
      <c r="C424" s="3" t="s">
        <v>5111</v>
      </c>
      <c r="D424" s="8" t="str">
        <f t="shared" si="1"/>
        <v>Abrir anúncio ↗</v>
      </c>
      <c r="E424" s="9" t="s">
        <v>5114</v>
      </c>
      <c r="F424" s="3" t="s">
        <v>29</v>
      </c>
      <c r="G424" s="9" t="s">
        <v>470</v>
      </c>
      <c r="H424" s="9" t="s">
        <v>472</v>
      </c>
      <c r="I424" s="3"/>
      <c r="J424" s="3"/>
      <c r="K424" s="9"/>
    </row>
    <row r="425" ht="15.75" customHeight="1">
      <c r="A425" s="10" t="s">
        <v>12</v>
      </c>
      <c r="B425" s="10" t="s">
        <v>82</v>
      </c>
      <c r="C425" s="10" t="s">
        <v>5122</v>
      </c>
      <c r="D425" s="11" t="str">
        <f t="shared" si="1"/>
        <v>Abrir anúncio ↗</v>
      </c>
      <c r="E425" s="12" t="s">
        <v>5125</v>
      </c>
      <c r="F425" s="10" t="s">
        <v>29</v>
      </c>
      <c r="G425" s="12" t="s">
        <v>470</v>
      </c>
      <c r="H425" s="12" t="s">
        <v>472</v>
      </c>
      <c r="I425" s="10"/>
      <c r="J425" s="10"/>
      <c r="K425" s="12"/>
    </row>
    <row r="426" ht="15.75" customHeight="1">
      <c r="A426" s="3" t="s">
        <v>12</v>
      </c>
      <c r="B426" s="3" t="s">
        <v>82</v>
      </c>
      <c r="C426" s="3" t="s">
        <v>5132</v>
      </c>
      <c r="D426" s="8" t="str">
        <f t="shared" si="1"/>
        <v>Abrir anúncio ↗</v>
      </c>
      <c r="E426" s="9" t="s">
        <v>5135</v>
      </c>
      <c r="F426" s="3" t="s">
        <v>29</v>
      </c>
      <c r="G426" s="9" t="s">
        <v>470</v>
      </c>
      <c r="H426" s="9" t="s">
        <v>472</v>
      </c>
      <c r="I426" s="3"/>
      <c r="J426" s="3"/>
      <c r="K426" s="9"/>
    </row>
    <row r="427" ht="15.75" customHeight="1">
      <c r="A427" s="10" t="s">
        <v>12</v>
      </c>
      <c r="B427" s="10" t="s">
        <v>82</v>
      </c>
      <c r="C427" s="10" t="s">
        <v>5143</v>
      </c>
      <c r="D427" s="11" t="str">
        <f t="shared" si="1"/>
        <v>Abrir anúncio ↗</v>
      </c>
      <c r="E427" s="12" t="s">
        <v>5147</v>
      </c>
      <c r="F427" s="10" t="s">
        <v>29</v>
      </c>
      <c r="G427" s="12" t="s">
        <v>470</v>
      </c>
      <c r="H427" s="12" t="s">
        <v>584</v>
      </c>
      <c r="I427" s="10"/>
      <c r="J427" s="10"/>
      <c r="K427" s="12"/>
    </row>
    <row r="428" ht="15.75" customHeight="1">
      <c r="A428" s="3" t="s">
        <v>12</v>
      </c>
      <c r="B428" s="3" t="s">
        <v>82</v>
      </c>
      <c r="C428" s="3" t="s">
        <v>5152</v>
      </c>
      <c r="D428" s="8" t="str">
        <f t="shared" si="1"/>
        <v>Abrir anúncio ↗</v>
      </c>
      <c r="E428" s="9" t="s">
        <v>5155</v>
      </c>
      <c r="F428" s="3" t="s">
        <v>29</v>
      </c>
      <c r="G428" s="9" t="s">
        <v>470</v>
      </c>
      <c r="H428" s="9" t="s">
        <v>472</v>
      </c>
      <c r="I428" s="3"/>
      <c r="J428" s="3"/>
      <c r="K428" s="9"/>
    </row>
    <row r="429" ht="15.75" customHeight="1">
      <c r="A429" s="10" t="s">
        <v>12</v>
      </c>
      <c r="B429" s="10" t="s">
        <v>82</v>
      </c>
      <c r="C429" s="10" t="s">
        <v>5164</v>
      </c>
      <c r="D429" s="11" t="str">
        <f t="shared" si="1"/>
        <v>Abrir anúncio ↗</v>
      </c>
      <c r="E429" s="12" t="s">
        <v>5166</v>
      </c>
      <c r="F429" s="10" t="s">
        <v>29</v>
      </c>
      <c r="G429" s="12" t="s">
        <v>470</v>
      </c>
      <c r="H429" s="12" t="s">
        <v>472</v>
      </c>
      <c r="I429" s="10"/>
      <c r="J429" s="10"/>
      <c r="K429" s="12"/>
    </row>
    <row r="430" ht="15.75" customHeight="1">
      <c r="A430" s="3" t="s">
        <v>12</v>
      </c>
      <c r="B430" s="3" t="s">
        <v>82</v>
      </c>
      <c r="C430" s="3" t="s">
        <v>5174</v>
      </c>
      <c r="D430" s="8" t="str">
        <f t="shared" si="1"/>
        <v>Abrir anúncio ↗</v>
      </c>
      <c r="E430" s="9" t="s">
        <v>5177</v>
      </c>
      <c r="F430" s="3" t="s">
        <v>29</v>
      </c>
      <c r="G430" s="9" t="s">
        <v>470</v>
      </c>
      <c r="H430" s="9" t="s">
        <v>472</v>
      </c>
      <c r="I430" s="3"/>
      <c r="J430" s="3"/>
      <c r="K430" s="9"/>
    </row>
    <row r="431" ht="15.75" customHeight="1">
      <c r="A431" s="10" t="s">
        <v>12</v>
      </c>
      <c r="B431" s="10" t="s">
        <v>82</v>
      </c>
      <c r="C431" s="10" t="s">
        <v>5184</v>
      </c>
      <c r="D431" s="11" t="str">
        <f t="shared" si="1"/>
        <v>Abrir anúncio ↗</v>
      </c>
      <c r="E431" s="12" t="s">
        <v>5188</v>
      </c>
      <c r="F431" s="10" t="s">
        <v>29</v>
      </c>
      <c r="G431" s="12" t="s">
        <v>470</v>
      </c>
      <c r="H431" s="12" t="s">
        <v>472</v>
      </c>
      <c r="I431" s="10"/>
      <c r="J431" s="10"/>
      <c r="K431" s="12"/>
    </row>
    <row r="432" ht="15.75" customHeight="1">
      <c r="A432" s="3" t="s">
        <v>12</v>
      </c>
      <c r="B432" s="3" t="s">
        <v>82</v>
      </c>
      <c r="C432" s="3" t="s">
        <v>5194</v>
      </c>
      <c r="D432" s="8" t="str">
        <f t="shared" si="1"/>
        <v>Abrir anúncio ↗</v>
      </c>
      <c r="E432" s="9" t="s">
        <v>5199</v>
      </c>
      <c r="F432" s="3" t="s">
        <v>29</v>
      </c>
      <c r="G432" s="9" t="s">
        <v>470</v>
      </c>
      <c r="H432" s="9" t="s">
        <v>472</v>
      </c>
      <c r="I432" s="3"/>
      <c r="J432" s="3"/>
      <c r="K432" s="9"/>
    </row>
    <row r="433" ht="15.75" customHeight="1">
      <c r="A433" s="10" t="s">
        <v>12</v>
      </c>
      <c r="B433" s="10" t="s">
        <v>82</v>
      </c>
      <c r="C433" s="10" t="s">
        <v>5206</v>
      </c>
      <c r="D433" s="11" t="str">
        <f t="shared" si="1"/>
        <v>Abrir anúncio ↗</v>
      </c>
      <c r="E433" s="12" t="s">
        <v>5209</v>
      </c>
      <c r="F433" s="10" t="s">
        <v>86</v>
      </c>
      <c r="G433" s="12" t="s">
        <v>965</v>
      </c>
      <c r="H433" s="12" t="s">
        <v>1676</v>
      </c>
      <c r="I433" s="10"/>
      <c r="J433" s="10"/>
      <c r="K433" s="12"/>
    </row>
    <row r="434" ht="15.75" customHeight="1">
      <c r="A434" s="3" t="s">
        <v>12</v>
      </c>
      <c r="B434" s="3" t="s">
        <v>82</v>
      </c>
      <c r="C434" s="3" t="s">
        <v>5214</v>
      </c>
      <c r="D434" s="8" t="str">
        <f t="shared" si="1"/>
        <v>Abrir anúncio ↗</v>
      </c>
      <c r="E434" s="9" t="s">
        <v>5217</v>
      </c>
      <c r="F434" s="3" t="s">
        <v>86</v>
      </c>
      <c r="G434" s="9" t="s">
        <v>1054</v>
      </c>
      <c r="H434" s="9" t="s">
        <v>5219</v>
      </c>
      <c r="I434" s="3"/>
      <c r="J434" s="3"/>
      <c r="K434" s="9"/>
    </row>
    <row r="435" ht="15.75" customHeight="1">
      <c r="A435" s="10" t="s">
        <v>12</v>
      </c>
      <c r="B435" s="10" t="s">
        <v>82</v>
      </c>
      <c r="C435" s="10" t="s">
        <v>5225</v>
      </c>
      <c r="D435" s="11" t="str">
        <f t="shared" si="1"/>
        <v>Abrir anúncio ↗</v>
      </c>
      <c r="E435" s="12" t="s">
        <v>2691</v>
      </c>
      <c r="F435" s="10" t="s">
        <v>86</v>
      </c>
      <c r="G435" s="12" t="s">
        <v>991</v>
      </c>
      <c r="H435" s="12" t="s">
        <v>993</v>
      </c>
      <c r="I435" s="10"/>
      <c r="J435" s="10"/>
      <c r="K435" s="12"/>
    </row>
    <row r="436" ht="15.75" customHeight="1">
      <c r="A436" s="3" t="s">
        <v>12</v>
      </c>
      <c r="B436" s="3" t="s">
        <v>82</v>
      </c>
      <c r="C436" s="3" t="s">
        <v>5234</v>
      </c>
      <c r="D436" s="8" t="str">
        <f t="shared" si="1"/>
        <v>Abrir anúncio ↗</v>
      </c>
      <c r="E436" s="9" t="s">
        <v>5237</v>
      </c>
      <c r="F436" s="3" t="s">
        <v>86</v>
      </c>
      <c r="G436" s="9" t="s">
        <v>965</v>
      </c>
      <c r="H436" s="9" t="s">
        <v>2008</v>
      </c>
      <c r="I436" s="3"/>
      <c r="J436" s="3"/>
      <c r="K436" s="9"/>
    </row>
    <row r="437" ht="15.75" customHeight="1">
      <c r="A437" s="10" t="s">
        <v>12</v>
      </c>
      <c r="B437" s="10" t="s">
        <v>82</v>
      </c>
      <c r="C437" s="10" t="s">
        <v>5246</v>
      </c>
      <c r="D437" s="11" t="str">
        <f t="shared" si="1"/>
        <v>Abrir anúncio ↗</v>
      </c>
      <c r="E437" s="12" t="s">
        <v>5249</v>
      </c>
      <c r="F437" s="10" t="s">
        <v>86</v>
      </c>
      <c r="G437" s="12" t="s">
        <v>1054</v>
      </c>
      <c r="H437" s="12" t="s">
        <v>5251</v>
      </c>
      <c r="I437" s="10"/>
      <c r="J437" s="10"/>
      <c r="K437" s="12"/>
    </row>
    <row r="438" ht="15.75" customHeight="1">
      <c r="A438" s="3" t="s">
        <v>12</v>
      </c>
      <c r="B438" s="3" t="s">
        <v>82</v>
      </c>
      <c r="C438" s="3" t="s">
        <v>5257</v>
      </c>
      <c r="D438" s="8" t="str">
        <f t="shared" si="1"/>
        <v>Abrir anúncio ↗</v>
      </c>
      <c r="E438" s="9" t="s">
        <v>5261</v>
      </c>
      <c r="F438" s="3" t="s">
        <v>86</v>
      </c>
      <c r="G438" s="9" t="s">
        <v>991</v>
      </c>
      <c r="H438" s="9" t="s">
        <v>993</v>
      </c>
      <c r="I438" s="3"/>
      <c r="J438" s="3"/>
      <c r="K438" s="9"/>
    </row>
    <row r="439" ht="15.75" customHeight="1">
      <c r="A439" s="10" t="s">
        <v>12</v>
      </c>
      <c r="B439" s="10" t="s">
        <v>82</v>
      </c>
      <c r="C439" s="10" t="s">
        <v>5268</v>
      </c>
      <c r="D439" s="11" t="str">
        <f t="shared" si="1"/>
        <v>Abrir anúncio ↗</v>
      </c>
      <c r="E439" s="12" t="s">
        <v>5273</v>
      </c>
      <c r="F439" s="10" t="s">
        <v>29</v>
      </c>
      <c r="G439" s="12" t="s">
        <v>177</v>
      </c>
      <c r="H439" s="12" t="s">
        <v>178</v>
      </c>
      <c r="I439" s="10"/>
      <c r="J439" s="10"/>
      <c r="K439" s="12"/>
    </row>
    <row r="440" ht="15.75" customHeight="1">
      <c r="A440" s="3" t="s">
        <v>12</v>
      </c>
      <c r="B440" s="3" t="s">
        <v>82</v>
      </c>
      <c r="C440" s="3" t="s">
        <v>5281</v>
      </c>
      <c r="D440" s="8" t="str">
        <f t="shared" si="1"/>
        <v>Abrir anúncio ↗</v>
      </c>
      <c r="E440" s="9" t="s">
        <v>5284</v>
      </c>
      <c r="F440" s="3" t="s">
        <v>86</v>
      </c>
      <c r="G440" s="9" t="s">
        <v>5286</v>
      </c>
      <c r="H440" s="9" t="s">
        <v>5288</v>
      </c>
      <c r="I440" s="3"/>
      <c r="J440" s="3"/>
      <c r="K440" s="9"/>
    </row>
    <row r="441" ht="15.75" customHeight="1">
      <c r="A441" s="10" t="s">
        <v>12</v>
      </c>
      <c r="B441" s="10" t="s">
        <v>82</v>
      </c>
      <c r="C441" s="10" t="s">
        <v>5292</v>
      </c>
      <c r="D441" s="11" t="str">
        <f t="shared" si="1"/>
        <v>Abrir anúncio ↗</v>
      </c>
      <c r="E441" s="12" t="s">
        <v>5294</v>
      </c>
      <c r="F441" s="10" t="s">
        <v>86</v>
      </c>
      <c r="G441" s="12" t="s">
        <v>1054</v>
      </c>
      <c r="H441" s="12" t="s">
        <v>1519</v>
      </c>
      <c r="I441" s="10"/>
      <c r="J441" s="10"/>
      <c r="K441" s="12"/>
    </row>
    <row r="442" ht="15.75" customHeight="1">
      <c r="A442" s="3" t="s">
        <v>12</v>
      </c>
      <c r="B442" s="3" t="s">
        <v>82</v>
      </c>
      <c r="C442" s="3" t="s">
        <v>5299</v>
      </c>
      <c r="D442" s="8" t="str">
        <f t="shared" si="1"/>
        <v>Abrir anúncio ↗</v>
      </c>
      <c r="E442" s="9" t="s">
        <v>5301</v>
      </c>
      <c r="F442" s="3" t="s">
        <v>29</v>
      </c>
      <c r="G442" s="9" t="s">
        <v>1054</v>
      </c>
      <c r="H442" s="9" t="s">
        <v>5303</v>
      </c>
      <c r="I442" s="3"/>
      <c r="J442" s="3"/>
      <c r="K442" s="9"/>
    </row>
    <row r="443" ht="15.75" customHeight="1">
      <c r="A443" s="10" t="s">
        <v>12</v>
      </c>
      <c r="B443" s="10" t="s">
        <v>82</v>
      </c>
      <c r="C443" s="10" t="s">
        <v>5309</v>
      </c>
      <c r="D443" s="11" t="str">
        <f t="shared" si="1"/>
        <v>Abrir anúncio ↗</v>
      </c>
      <c r="E443" s="12" t="s">
        <v>5311</v>
      </c>
      <c r="F443" s="10" t="s">
        <v>86</v>
      </c>
      <c r="G443" s="12" t="s">
        <v>1054</v>
      </c>
      <c r="H443" s="12" t="s">
        <v>1923</v>
      </c>
      <c r="I443" s="10"/>
      <c r="J443" s="10"/>
      <c r="K443" s="12"/>
    </row>
    <row r="444" ht="15.75" customHeight="1">
      <c r="A444" s="3" t="s">
        <v>12</v>
      </c>
      <c r="B444" s="3" t="s">
        <v>82</v>
      </c>
      <c r="C444" s="3" t="s">
        <v>5318</v>
      </c>
      <c r="D444" s="8" t="str">
        <f t="shared" si="1"/>
        <v>Abrir anúncio ↗</v>
      </c>
      <c r="E444" s="9" t="s">
        <v>5319</v>
      </c>
      <c r="F444" s="3" t="s">
        <v>86</v>
      </c>
      <c r="G444" s="9" t="s">
        <v>965</v>
      </c>
      <c r="H444" s="9" t="s">
        <v>2136</v>
      </c>
      <c r="I444" s="3"/>
      <c r="J444" s="3"/>
      <c r="K444" s="9"/>
    </row>
    <row r="445" ht="15.75" customHeight="1">
      <c r="A445" s="10" t="s">
        <v>12</v>
      </c>
      <c r="B445" s="10" t="s">
        <v>82</v>
      </c>
      <c r="C445" s="10" t="s">
        <v>5326</v>
      </c>
      <c r="D445" s="11" t="str">
        <f t="shared" si="1"/>
        <v>Abrir anúncio ↗</v>
      </c>
      <c r="E445" s="12" t="s">
        <v>5327</v>
      </c>
      <c r="F445" s="10" t="s">
        <v>86</v>
      </c>
      <c r="G445" s="12" t="s">
        <v>965</v>
      </c>
      <c r="H445" s="12" t="s">
        <v>1676</v>
      </c>
      <c r="I445" s="10"/>
      <c r="J445" s="10"/>
      <c r="K445" s="12"/>
    </row>
    <row r="446" ht="15.75" customHeight="1">
      <c r="A446" s="3" t="s">
        <v>12</v>
      </c>
      <c r="B446" s="3" t="s">
        <v>82</v>
      </c>
      <c r="C446" s="3" t="s">
        <v>5334</v>
      </c>
      <c r="D446" s="8" t="str">
        <f t="shared" si="1"/>
        <v>Abrir anúncio ↗</v>
      </c>
      <c r="E446" s="9" t="s">
        <v>5336</v>
      </c>
      <c r="F446" s="3" t="s">
        <v>86</v>
      </c>
      <c r="G446" s="9" t="s">
        <v>965</v>
      </c>
      <c r="H446" s="9" t="s">
        <v>1015</v>
      </c>
      <c r="I446" s="3"/>
      <c r="J446" s="3"/>
      <c r="K446" s="9"/>
    </row>
    <row r="447" ht="15.75" customHeight="1">
      <c r="A447" s="10" t="s">
        <v>12</v>
      </c>
      <c r="B447" s="10" t="s">
        <v>82</v>
      </c>
      <c r="C447" s="10" t="s">
        <v>5344</v>
      </c>
      <c r="D447" s="11" t="str">
        <f t="shared" si="1"/>
        <v>Abrir anúncio ↗</v>
      </c>
      <c r="E447" s="12" t="s">
        <v>5346</v>
      </c>
      <c r="F447" s="10" t="s">
        <v>86</v>
      </c>
      <c r="G447" s="12" t="s">
        <v>1054</v>
      </c>
      <c r="H447" s="12" t="s">
        <v>1815</v>
      </c>
      <c r="I447" s="10"/>
      <c r="J447" s="10"/>
      <c r="K447" s="12"/>
    </row>
    <row r="448" ht="15.75" customHeight="1">
      <c r="A448" s="3" t="s">
        <v>12</v>
      </c>
      <c r="B448" s="3" t="s">
        <v>82</v>
      </c>
      <c r="C448" s="3" t="s">
        <v>5352</v>
      </c>
      <c r="D448" s="8" t="str">
        <f t="shared" si="1"/>
        <v>Abrir anúncio ↗</v>
      </c>
      <c r="E448" s="9" t="s">
        <v>5354</v>
      </c>
      <c r="F448" s="3" t="s">
        <v>86</v>
      </c>
      <c r="G448" s="9" t="s">
        <v>965</v>
      </c>
      <c r="H448" s="9" t="s">
        <v>1676</v>
      </c>
      <c r="I448" s="3"/>
      <c r="J448" s="3"/>
      <c r="K448" s="9"/>
    </row>
    <row r="449" ht="15.75" customHeight="1">
      <c r="A449" s="10" t="s">
        <v>12</v>
      </c>
      <c r="B449" s="10" t="s">
        <v>82</v>
      </c>
      <c r="C449" s="10" t="s">
        <v>5360</v>
      </c>
      <c r="D449" s="11" t="str">
        <f t="shared" si="1"/>
        <v>Abrir anúncio ↗</v>
      </c>
      <c r="E449" s="12" t="s">
        <v>5361</v>
      </c>
      <c r="F449" s="10" t="s">
        <v>86</v>
      </c>
      <c r="G449" s="12" t="s">
        <v>965</v>
      </c>
      <c r="H449" s="12" t="s">
        <v>1015</v>
      </c>
      <c r="I449" s="10"/>
      <c r="J449" s="10"/>
      <c r="K449" s="12"/>
    </row>
    <row r="450" ht="15.75" customHeight="1">
      <c r="A450" s="3" t="s">
        <v>12</v>
      </c>
      <c r="B450" s="3" t="s">
        <v>82</v>
      </c>
      <c r="C450" s="3" t="s">
        <v>5368</v>
      </c>
      <c r="D450" s="8" t="str">
        <f t="shared" si="1"/>
        <v>Abrir anúncio ↗</v>
      </c>
      <c r="E450" s="9" t="s">
        <v>5370</v>
      </c>
      <c r="F450" s="3" t="s">
        <v>29</v>
      </c>
      <c r="G450" s="9" t="s">
        <v>965</v>
      </c>
      <c r="H450" s="9" t="s">
        <v>1015</v>
      </c>
      <c r="I450" s="3"/>
      <c r="J450" s="3"/>
      <c r="K450" s="9"/>
    </row>
    <row r="451" ht="15.75" customHeight="1">
      <c r="A451" s="10" t="s">
        <v>12</v>
      </c>
      <c r="B451" s="10" t="s">
        <v>82</v>
      </c>
      <c r="C451" s="10" t="s">
        <v>5376</v>
      </c>
      <c r="D451" s="11" t="str">
        <f t="shared" si="1"/>
        <v>Abrir anúncio ↗</v>
      </c>
      <c r="E451" s="12" t="s">
        <v>5377</v>
      </c>
      <c r="F451" s="10" t="s">
        <v>29</v>
      </c>
      <c r="G451" s="12" t="s">
        <v>965</v>
      </c>
      <c r="H451" s="12" t="s">
        <v>1015</v>
      </c>
      <c r="I451" s="10"/>
      <c r="J451" s="10"/>
      <c r="K451" s="12"/>
    </row>
    <row r="452" ht="15.75" customHeight="1">
      <c r="A452" s="3" t="s">
        <v>12</v>
      </c>
      <c r="B452" s="3" t="s">
        <v>82</v>
      </c>
      <c r="C452" s="3" t="s">
        <v>5382</v>
      </c>
      <c r="D452" s="8" t="str">
        <f t="shared" si="1"/>
        <v>Abrir anúncio ↗</v>
      </c>
      <c r="E452" s="9" t="s">
        <v>5383</v>
      </c>
      <c r="F452" s="3" t="s">
        <v>86</v>
      </c>
      <c r="G452" s="9" t="s">
        <v>1054</v>
      </c>
      <c r="H452" s="9" t="s">
        <v>3717</v>
      </c>
      <c r="I452" s="3"/>
      <c r="J452" s="3"/>
      <c r="K452" s="9"/>
    </row>
    <row r="453" ht="15.75" customHeight="1">
      <c r="A453" s="10" t="s">
        <v>12</v>
      </c>
      <c r="B453" s="10" t="s">
        <v>82</v>
      </c>
      <c r="C453" s="10" t="s">
        <v>5388</v>
      </c>
      <c r="D453" s="11" t="str">
        <f t="shared" si="1"/>
        <v>Abrir anúncio ↗</v>
      </c>
      <c r="E453" s="12" t="s">
        <v>3281</v>
      </c>
      <c r="F453" s="10" t="s">
        <v>86</v>
      </c>
      <c r="G453" s="12" t="s">
        <v>991</v>
      </c>
      <c r="H453" s="12" t="s">
        <v>993</v>
      </c>
      <c r="I453" s="10"/>
      <c r="J453" s="10"/>
      <c r="K453" s="12"/>
    </row>
    <row r="454" ht="15.75" customHeight="1">
      <c r="A454" s="3" t="s">
        <v>12</v>
      </c>
      <c r="B454" s="3" t="s">
        <v>82</v>
      </c>
      <c r="C454" s="3" t="s">
        <v>5397</v>
      </c>
      <c r="D454" s="8" t="str">
        <f t="shared" si="1"/>
        <v>Abrir anúncio ↗</v>
      </c>
      <c r="E454" s="9" t="s">
        <v>4605</v>
      </c>
      <c r="F454" s="3" t="s">
        <v>86</v>
      </c>
      <c r="G454" s="9" t="s">
        <v>1054</v>
      </c>
      <c r="H454" s="9" t="s">
        <v>5402</v>
      </c>
      <c r="I454" s="3"/>
      <c r="J454" s="3"/>
      <c r="K454" s="9"/>
    </row>
    <row r="455" ht="15.75" customHeight="1">
      <c r="A455" s="10" t="s">
        <v>12</v>
      </c>
      <c r="B455" s="10" t="s">
        <v>82</v>
      </c>
      <c r="C455" s="10" t="s">
        <v>5408</v>
      </c>
      <c r="D455" s="11" t="str">
        <f t="shared" si="1"/>
        <v>Abrir anúncio ↗</v>
      </c>
      <c r="E455" s="12" t="s">
        <v>5410</v>
      </c>
      <c r="F455" s="10" t="s">
        <v>86</v>
      </c>
      <c r="G455" s="12" t="s">
        <v>1054</v>
      </c>
      <c r="H455" s="12" t="s">
        <v>3692</v>
      </c>
      <c r="I455" s="10"/>
      <c r="J455" s="10"/>
      <c r="K455" s="12"/>
    </row>
    <row r="456" ht="15.75" customHeight="1">
      <c r="A456" s="3" t="s">
        <v>12</v>
      </c>
      <c r="B456" s="3" t="s">
        <v>82</v>
      </c>
      <c r="C456" s="3" t="s">
        <v>5416</v>
      </c>
      <c r="D456" s="8" t="str">
        <f t="shared" si="1"/>
        <v>Abrir anúncio ↗</v>
      </c>
      <c r="E456" s="9" t="s">
        <v>5419</v>
      </c>
      <c r="F456" s="3" t="s">
        <v>86</v>
      </c>
      <c r="G456" s="9" t="s">
        <v>965</v>
      </c>
      <c r="H456" s="9" t="s">
        <v>2008</v>
      </c>
      <c r="I456" s="3"/>
      <c r="J456" s="3"/>
      <c r="K456" s="9"/>
    </row>
    <row r="457" ht="15.75" customHeight="1">
      <c r="A457" s="10" t="s">
        <v>12</v>
      </c>
      <c r="B457" s="10" t="s">
        <v>82</v>
      </c>
      <c r="C457" s="10" t="s">
        <v>5424</v>
      </c>
      <c r="D457" s="11" t="str">
        <f t="shared" si="1"/>
        <v>Abrir anúncio ↗</v>
      </c>
      <c r="E457" s="12" t="s">
        <v>5427</v>
      </c>
      <c r="F457" s="10" t="s">
        <v>29</v>
      </c>
      <c r="G457" s="12" t="s">
        <v>965</v>
      </c>
      <c r="H457" s="12" t="s">
        <v>2229</v>
      </c>
      <c r="I457" s="10"/>
      <c r="J457" s="10"/>
      <c r="K457" s="12"/>
    </row>
    <row r="458" ht="15.75" customHeight="1">
      <c r="A458" s="3" t="s">
        <v>12</v>
      </c>
      <c r="B458" s="3" t="s">
        <v>82</v>
      </c>
      <c r="C458" s="3" t="s">
        <v>5434</v>
      </c>
      <c r="D458" s="8" t="str">
        <f t="shared" si="1"/>
        <v>Abrir anúncio ↗</v>
      </c>
      <c r="E458" s="9" t="s">
        <v>5437</v>
      </c>
      <c r="F458" s="3" t="s">
        <v>86</v>
      </c>
      <c r="G458" s="9" t="s">
        <v>1054</v>
      </c>
      <c r="H458" s="9" t="s">
        <v>1519</v>
      </c>
      <c r="I458" s="3"/>
      <c r="J458" s="3"/>
      <c r="K458" s="9"/>
    </row>
    <row r="459" ht="15.75" customHeight="1">
      <c r="A459" s="10" t="s">
        <v>12</v>
      </c>
      <c r="B459" s="10" t="s">
        <v>82</v>
      </c>
      <c r="C459" s="10" t="s">
        <v>5443</v>
      </c>
      <c r="D459" s="11" t="str">
        <f t="shared" si="1"/>
        <v>Abrir anúncio ↗</v>
      </c>
      <c r="E459" s="12" t="s">
        <v>5446</v>
      </c>
      <c r="F459" s="10" t="s">
        <v>86</v>
      </c>
      <c r="G459" s="12" t="s">
        <v>1054</v>
      </c>
      <c r="H459" s="12" t="s">
        <v>1815</v>
      </c>
      <c r="I459" s="10"/>
      <c r="J459" s="10"/>
      <c r="K459" s="12"/>
    </row>
    <row r="460" ht="15.75" customHeight="1">
      <c r="A460" s="3" t="s">
        <v>12</v>
      </c>
      <c r="B460" s="3" t="s">
        <v>82</v>
      </c>
      <c r="C460" s="3" t="s">
        <v>5455</v>
      </c>
      <c r="D460" s="8" t="str">
        <f t="shared" si="1"/>
        <v>Abrir anúncio ↗</v>
      </c>
      <c r="E460" s="9" t="s">
        <v>5456</v>
      </c>
      <c r="F460" s="3" t="s">
        <v>86</v>
      </c>
      <c r="G460" s="9" t="s">
        <v>1054</v>
      </c>
      <c r="H460" s="9" t="s">
        <v>1895</v>
      </c>
      <c r="I460" s="3"/>
      <c r="J460" s="3"/>
      <c r="K460" s="9"/>
    </row>
    <row r="461" ht="15.75" customHeight="1">
      <c r="A461" s="10" t="s">
        <v>12</v>
      </c>
      <c r="B461" s="10" t="s">
        <v>82</v>
      </c>
      <c r="C461" s="10" t="s">
        <v>5464</v>
      </c>
      <c r="D461" s="11" t="str">
        <f t="shared" si="1"/>
        <v>Abrir anúncio ↗</v>
      </c>
      <c r="E461" s="12" t="s">
        <v>5466</v>
      </c>
      <c r="F461" s="10" t="s">
        <v>86</v>
      </c>
      <c r="G461" s="12" t="s">
        <v>1054</v>
      </c>
      <c r="H461" s="12" t="s">
        <v>1804</v>
      </c>
      <c r="I461" s="10"/>
      <c r="J461" s="10"/>
      <c r="K461" s="12"/>
    </row>
    <row r="462" ht="15.75" customHeight="1">
      <c r="A462" s="3" t="s">
        <v>12</v>
      </c>
      <c r="B462" s="3" t="s">
        <v>82</v>
      </c>
      <c r="C462" s="3" t="s">
        <v>5475</v>
      </c>
      <c r="D462" s="8" t="str">
        <f t="shared" si="1"/>
        <v>Abrir anúncio ↗</v>
      </c>
      <c r="E462" s="9" t="s">
        <v>5476</v>
      </c>
      <c r="F462" s="3" t="s">
        <v>29</v>
      </c>
      <c r="G462" s="9" t="s">
        <v>1054</v>
      </c>
      <c r="H462" s="9" t="s">
        <v>3840</v>
      </c>
      <c r="I462" s="3"/>
      <c r="J462" s="3"/>
      <c r="K462" s="9"/>
    </row>
    <row r="463" ht="15.75" customHeight="1">
      <c r="A463" s="10" t="s">
        <v>12</v>
      </c>
      <c r="B463" s="10" t="s">
        <v>82</v>
      </c>
      <c r="C463" s="10" t="s">
        <v>5485</v>
      </c>
      <c r="D463" s="11" t="str">
        <f t="shared" si="1"/>
        <v>Abrir anúncio ↗</v>
      </c>
      <c r="E463" s="12" t="s">
        <v>5486</v>
      </c>
      <c r="F463" s="10" t="s">
        <v>86</v>
      </c>
      <c r="G463" s="12" t="s">
        <v>470</v>
      </c>
      <c r="H463" s="12" t="s">
        <v>472</v>
      </c>
      <c r="I463" s="10"/>
      <c r="J463" s="10"/>
      <c r="K463" s="12"/>
    </row>
    <row r="464" ht="15.75" customHeight="1">
      <c r="A464" s="3" t="s">
        <v>12</v>
      </c>
      <c r="B464" s="3" t="s">
        <v>82</v>
      </c>
      <c r="C464" s="3" t="s">
        <v>5495</v>
      </c>
      <c r="D464" s="8" t="str">
        <f t="shared" si="1"/>
        <v>Abrir anúncio ↗</v>
      </c>
      <c r="E464" s="9" t="s">
        <v>5497</v>
      </c>
      <c r="F464" s="3" t="s">
        <v>29</v>
      </c>
      <c r="G464" s="9" t="s">
        <v>1054</v>
      </c>
      <c r="H464" s="9" t="s">
        <v>1804</v>
      </c>
      <c r="I464" s="3"/>
      <c r="J464" s="3"/>
      <c r="K464" s="9"/>
    </row>
    <row r="465" ht="15.75" customHeight="1">
      <c r="A465" s="10" t="s">
        <v>12</v>
      </c>
      <c r="B465" s="10" t="s">
        <v>82</v>
      </c>
      <c r="C465" s="10" t="s">
        <v>5506</v>
      </c>
      <c r="D465" s="11" t="str">
        <f t="shared" si="1"/>
        <v>Abrir anúncio ↗</v>
      </c>
      <c r="E465" s="12" t="s">
        <v>5508</v>
      </c>
      <c r="F465" s="10" t="s">
        <v>86</v>
      </c>
      <c r="G465" s="12" t="s">
        <v>1054</v>
      </c>
      <c r="H465" s="12" t="s">
        <v>1923</v>
      </c>
      <c r="I465" s="10"/>
      <c r="J465" s="10"/>
      <c r="K465" s="12"/>
    </row>
    <row r="466" ht="15.75" customHeight="1">
      <c r="A466" s="3" t="s">
        <v>12</v>
      </c>
      <c r="B466" s="3" t="s">
        <v>82</v>
      </c>
      <c r="C466" s="3" t="s">
        <v>5516</v>
      </c>
      <c r="D466" s="8" t="str">
        <f t="shared" si="1"/>
        <v>Abrir anúncio ↗</v>
      </c>
      <c r="E466" s="9" t="s">
        <v>5519</v>
      </c>
      <c r="F466" s="3" t="s">
        <v>86</v>
      </c>
      <c r="G466" s="9" t="s">
        <v>1054</v>
      </c>
      <c r="H466" s="9" t="s">
        <v>5251</v>
      </c>
      <c r="I466" s="3"/>
      <c r="J466" s="3"/>
      <c r="K466" s="9"/>
    </row>
    <row r="467" ht="15.75" customHeight="1">
      <c r="A467" s="10" t="s">
        <v>12</v>
      </c>
      <c r="B467" s="10" t="s">
        <v>82</v>
      </c>
      <c r="C467" s="10" t="s">
        <v>5527</v>
      </c>
      <c r="D467" s="11" t="str">
        <f t="shared" si="1"/>
        <v>Abrir anúncio ↗</v>
      </c>
      <c r="E467" s="12" t="s">
        <v>5531</v>
      </c>
      <c r="F467" s="10" t="s">
        <v>86</v>
      </c>
      <c r="G467" s="12" t="s">
        <v>470</v>
      </c>
      <c r="H467" s="12" t="s">
        <v>771</v>
      </c>
      <c r="I467" s="10"/>
      <c r="J467" s="10"/>
      <c r="K467" s="12"/>
    </row>
    <row r="468" ht="15.75" customHeight="1">
      <c r="A468" s="3" t="s">
        <v>12</v>
      </c>
      <c r="B468" s="3" t="s">
        <v>82</v>
      </c>
      <c r="C468" s="3" t="s">
        <v>5539</v>
      </c>
      <c r="D468" s="8" t="str">
        <f t="shared" si="1"/>
        <v>Abrir anúncio ↗</v>
      </c>
      <c r="E468" s="9" t="s">
        <v>5541</v>
      </c>
      <c r="F468" s="3" t="s">
        <v>86</v>
      </c>
      <c r="G468" s="9" t="s">
        <v>470</v>
      </c>
      <c r="H468" s="9" t="s">
        <v>584</v>
      </c>
      <c r="I468" s="3"/>
      <c r="J468" s="3"/>
      <c r="K468" s="9"/>
    </row>
    <row r="469" ht="15.75" customHeight="1">
      <c r="A469" s="10" t="s">
        <v>12</v>
      </c>
      <c r="B469" s="10" t="s">
        <v>82</v>
      </c>
      <c r="C469" s="10" t="s">
        <v>5551</v>
      </c>
      <c r="D469" s="11" t="str">
        <f t="shared" si="1"/>
        <v>Abrir anúncio ↗</v>
      </c>
      <c r="E469" s="12" t="s">
        <v>5554</v>
      </c>
      <c r="F469" s="10" t="s">
        <v>29</v>
      </c>
      <c r="G469" s="12" t="s">
        <v>470</v>
      </c>
      <c r="H469" s="12" t="s">
        <v>1106</v>
      </c>
      <c r="I469" s="10"/>
      <c r="J469" s="10"/>
      <c r="K469" s="12"/>
    </row>
    <row r="470" ht="15.75" customHeight="1">
      <c r="A470" s="3" t="s">
        <v>12</v>
      </c>
      <c r="B470" s="3" t="s">
        <v>82</v>
      </c>
      <c r="C470" s="3" t="s">
        <v>5561</v>
      </c>
      <c r="D470" s="8" t="str">
        <f t="shared" si="1"/>
        <v>Abrir anúncio ↗</v>
      </c>
      <c r="E470" s="9" t="s">
        <v>5566</v>
      </c>
      <c r="F470" s="3" t="s">
        <v>86</v>
      </c>
      <c r="G470" s="9" t="s">
        <v>470</v>
      </c>
      <c r="H470" s="9" t="s">
        <v>472</v>
      </c>
      <c r="I470" s="3"/>
      <c r="J470" s="3"/>
      <c r="K470" s="9"/>
    </row>
    <row r="471" ht="15.75" customHeight="1">
      <c r="A471" s="10" t="s">
        <v>12</v>
      </c>
      <c r="B471" s="10" t="s">
        <v>82</v>
      </c>
      <c r="C471" s="10" t="s">
        <v>5572</v>
      </c>
      <c r="D471" s="11" t="str">
        <f t="shared" si="1"/>
        <v>Abrir anúncio ↗</v>
      </c>
      <c r="E471" s="12" t="s">
        <v>5576</v>
      </c>
      <c r="F471" s="10" t="s">
        <v>86</v>
      </c>
      <c r="G471" s="12" t="s">
        <v>470</v>
      </c>
      <c r="H471" s="12" t="s">
        <v>472</v>
      </c>
      <c r="I471" s="10"/>
      <c r="J471" s="10"/>
      <c r="K471" s="12"/>
    </row>
    <row r="472" ht="15.75" customHeight="1">
      <c r="A472" s="3" t="s">
        <v>12</v>
      </c>
      <c r="B472" s="3" t="s">
        <v>82</v>
      </c>
      <c r="C472" s="3" t="s">
        <v>5584</v>
      </c>
      <c r="D472" s="8" t="str">
        <f t="shared" si="1"/>
        <v>Abrir anúncio ↗</v>
      </c>
      <c r="E472" s="9" t="s">
        <v>5588</v>
      </c>
      <c r="F472" s="3" t="s">
        <v>86</v>
      </c>
      <c r="G472" s="9" t="s">
        <v>470</v>
      </c>
      <c r="H472" s="9" t="s">
        <v>472</v>
      </c>
      <c r="I472" s="3"/>
      <c r="J472" s="3"/>
      <c r="K472" s="9"/>
    </row>
    <row r="473" ht="15.75" customHeight="1">
      <c r="A473" s="10" t="s">
        <v>12</v>
      </c>
      <c r="B473" s="10" t="s">
        <v>82</v>
      </c>
      <c r="C473" s="10" t="s">
        <v>5598</v>
      </c>
      <c r="D473" s="11" t="str">
        <f t="shared" si="1"/>
        <v>Abrir anúncio ↗</v>
      </c>
      <c r="E473" s="12" t="s">
        <v>5601</v>
      </c>
      <c r="F473" s="10" t="s">
        <v>86</v>
      </c>
      <c r="G473" s="12" t="s">
        <v>470</v>
      </c>
      <c r="H473" s="12" t="s">
        <v>472</v>
      </c>
      <c r="I473" s="10"/>
      <c r="J473" s="10"/>
      <c r="K473" s="12"/>
    </row>
    <row r="474" ht="15.75" customHeight="1">
      <c r="A474" s="3" t="s">
        <v>12</v>
      </c>
      <c r="B474" s="3" t="s">
        <v>82</v>
      </c>
      <c r="C474" s="3" t="s">
        <v>5611</v>
      </c>
      <c r="D474" s="8" t="str">
        <f t="shared" si="1"/>
        <v>Abrir anúncio ↗</v>
      </c>
      <c r="E474" s="9" t="s">
        <v>5613</v>
      </c>
      <c r="F474" s="3" t="s">
        <v>86</v>
      </c>
      <c r="G474" s="9" t="s">
        <v>470</v>
      </c>
      <c r="H474" s="9" t="s">
        <v>472</v>
      </c>
      <c r="I474" s="3"/>
      <c r="J474" s="3"/>
      <c r="K474" s="9"/>
    </row>
    <row r="475" ht="15.75" customHeight="1">
      <c r="A475" s="10" t="s">
        <v>12</v>
      </c>
      <c r="B475" s="10" t="s">
        <v>82</v>
      </c>
      <c r="C475" s="10" t="s">
        <v>5621</v>
      </c>
      <c r="D475" s="11" t="str">
        <f t="shared" si="1"/>
        <v>Abrir anúncio ↗</v>
      </c>
      <c r="E475" s="12" t="s">
        <v>5624</v>
      </c>
      <c r="F475" s="10" t="s">
        <v>86</v>
      </c>
      <c r="G475" s="12" t="s">
        <v>470</v>
      </c>
      <c r="H475" s="12" t="s">
        <v>472</v>
      </c>
      <c r="I475" s="10"/>
      <c r="J475" s="10"/>
      <c r="K475" s="12"/>
    </row>
    <row r="476" ht="15.75" customHeight="1">
      <c r="A476" s="3" t="s">
        <v>12</v>
      </c>
      <c r="B476" s="3" t="s">
        <v>82</v>
      </c>
      <c r="C476" s="3" t="s">
        <v>5632</v>
      </c>
      <c r="D476" s="8" t="str">
        <f t="shared" si="1"/>
        <v>Abrir anúncio ↗</v>
      </c>
      <c r="E476" s="9" t="s">
        <v>5634</v>
      </c>
      <c r="F476" s="3" t="s">
        <v>86</v>
      </c>
      <c r="G476" s="9" t="s">
        <v>470</v>
      </c>
      <c r="H476" s="9" t="s">
        <v>472</v>
      </c>
      <c r="I476" s="3"/>
      <c r="J476" s="3"/>
      <c r="K476" s="9"/>
    </row>
    <row r="477" ht="15.75" customHeight="1">
      <c r="A477" s="10" t="s">
        <v>12</v>
      </c>
      <c r="B477" s="10" t="s">
        <v>82</v>
      </c>
      <c r="C477" s="10" t="s">
        <v>5642</v>
      </c>
      <c r="D477" s="11" t="str">
        <f t="shared" si="1"/>
        <v>Abrir anúncio ↗</v>
      </c>
      <c r="E477" s="12" t="s">
        <v>5646</v>
      </c>
      <c r="F477" s="10" t="s">
        <v>29</v>
      </c>
      <c r="G477" s="12" t="s">
        <v>470</v>
      </c>
      <c r="H477" s="12" t="s">
        <v>472</v>
      </c>
      <c r="I477" s="10"/>
      <c r="J477" s="10"/>
      <c r="K477" s="12"/>
    </row>
    <row r="478" ht="15.75" customHeight="1">
      <c r="A478" s="3" t="s">
        <v>12</v>
      </c>
      <c r="B478" s="3" t="s">
        <v>82</v>
      </c>
      <c r="C478" s="3" t="s">
        <v>5654</v>
      </c>
      <c r="D478" s="8" t="str">
        <f t="shared" si="1"/>
        <v>Abrir anúncio ↗</v>
      </c>
      <c r="E478" s="9" t="s">
        <v>5658</v>
      </c>
      <c r="F478" s="3" t="s">
        <v>86</v>
      </c>
      <c r="G478" s="9" t="s">
        <v>470</v>
      </c>
      <c r="H478" s="9" t="s">
        <v>584</v>
      </c>
      <c r="I478" s="3"/>
      <c r="J478" s="3"/>
      <c r="K478" s="9"/>
    </row>
    <row r="479" ht="15.75" customHeight="1">
      <c r="A479" s="10" t="s">
        <v>12</v>
      </c>
      <c r="B479" s="10" t="s">
        <v>82</v>
      </c>
      <c r="C479" s="10" t="s">
        <v>5664</v>
      </c>
      <c r="D479" s="11" t="str">
        <f t="shared" si="1"/>
        <v>Abrir anúncio ↗</v>
      </c>
      <c r="E479" s="12" t="s">
        <v>5669</v>
      </c>
      <c r="F479" s="10" t="s">
        <v>86</v>
      </c>
      <c r="G479" s="12" t="s">
        <v>470</v>
      </c>
      <c r="H479" s="12" t="s">
        <v>771</v>
      </c>
      <c r="I479" s="10"/>
      <c r="J479" s="10"/>
      <c r="K479" s="12"/>
    </row>
    <row r="480" ht="15.75" customHeight="1">
      <c r="A480" s="3" t="s">
        <v>12</v>
      </c>
      <c r="B480" s="3" t="s">
        <v>82</v>
      </c>
      <c r="C480" s="3" t="s">
        <v>5677</v>
      </c>
      <c r="D480" s="8" t="str">
        <f t="shared" si="1"/>
        <v>Abrir anúncio ↗</v>
      </c>
      <c r="E480" s="9" t="s">
        <v>5683</v>
      </c>
      <c r="F480" s="3" t="s">
        <v>86</v>
      </c>
      <c r="G480" s="9" t="s">
        <v>470</v>
      </c>
      <c r="H480" s="9" t="s">
        <v>472</v>
      </c>
      <c r="I480" s="3"/>
      <c r="J480" s="3"/>
      <c r="K480" s="9"/>
    </row>
    <row r="481" ht="15.75" customHeight="1">
      <c r="A481" s="10" t="s">
        <v>12</v>
      </c>
      <c r="B481" s="10" t="s">
        <v>82</v>
      </c>
      <c r="C481" s="10" t="s">
        <v>5689</v>
      </c>
      <c r="D481" s="11" t="str">
        <f t="shared" si="1"/>
        <v>Abrir anúncio ↗</v>
      </c>
      <c r="E481" s="12" t="s">
        <v>5692</v>
      </c>
      <c r="F481" s="10" t="s">
        <v>86</v>
      </c>
      <c r="G481" s="12" t="s">
        <v>470</v>
      </c>
      <c r="H481" s="12" t="s">
        <v>472</v>
      </c>
      <c r="I481" s="10"/>
      <c r="J481" s="10"/>
      <c r="K481" s="12"/>
    </row>
    <row r="482" ht="15.75" customHeight="1">
      <c r="A482" s="3" t="s">
        <v>12</v>
      </c>
      <c r="B482" s="3" t="s">
        <v>82</v>
      </c>
      <c r="C482" s="3" t="s">
        <v>5700</v>
      </c>
      <c r="D482" s="8" t="str">
        <f t="shared" si="1"/>
        <v>Abrir anúncio ↗</v>
      </c>
      <c r="E482" s="9" t="s">
        <v>5702</v>
      </c>
      <c r="F482" s="3" t="s">
        <v>86</v>
      </c>
      <c r="G482" s="9" t="s">
        <v>470</v>
      </c>
      <c r="H482" s="9" t="s">
        <v>472</v>
      </c>
      <c r="I482" s="3"/>
      <c r="J482" s="3"/>
      <c r="K482" s="9"/>
    </row>
    <row r="483" ht="15.75" customHeight="1">
      <c r="A483" s="10" t="s">
        <v>12</v>
      </c>
      <c r="B483" s="10" t="s">
        <v>82</v>
      </c>
      <c r="C483" s="10" t="s">
        <v>5710</v>
      </c>
      <c r="D483" s="11" t="str">
        <f t="shared" si="1"/>
        <v>Abrir anúncio ↗</v>
      </c>
      <c r="E483" s="12" t="s">
        <v>5712</v>
      </c>
      <c r="F483" s="10" t="s">
        <v>86</v>
      </c>
      <c r="G483" s="12" t="s">
        <v>470</v>
      </c>
      <c r="H483" s="12" t="s">
        <v>472</v>
      </c>
      <c r="I483" s="10"/>
      <c r="J483" s="10"/>
      <c r="K483" s="12"/>
    </row>
    <row r="484" ht="15.75" customHeight="1">
      <c r="A484" s="3" t="s">
        <v>12</v>
      </c>
      <c r="B484" s="3" t="s">
        <v>82</v>
      </c>
      <c r="C484" s="3" t="s">
        <v>5721</v>
      </c>
      <c r="D484" s="8" t="str">
        <f t="shared" si="1"/>
        <v>Abrir anúncio ↗</v>
      </c>
      <c r="E484" s="9" t="s">
        <v>5722</v>
      </c>
      <c r="F484" s="3" t="s">
        <v>86</v>
      </c>
      <c r="G484" s="9" t="s">
        <v>470</v>
      </c>
      <c r="H484" s="9" t="s">
        <v>472</v>
      </c>
      <c r="I484" s="3"/>
      <c r="J484" s="3"/>
      <c r="K484" s="9"/>
    </row>
    <row r="485" ht="15.75" customHeight="1">
      <c r="A485" s="10" t="s">
        <v>12</v>
      </c>
      <c r="B485" s="10" t="s">
        <v>82</v>
      </c>
      <c r="C485" s="10" t="s">
        <v>5730</v>
      </c>
      <c r="D485" s="11" t="str">
        <f t="shared" si="1"/>
        <v>Abrir anúncio ↗</v>
      </c>
      <c r="E485" s="12" t="s">
        <v>5733</v>
      </c>
      <c r="F485" s="10" t="s">
        <v>86</v>
      </c>
      <c r="G485" s="12" t="s">
        <v>470</v>
      </c>
      <c r="H485" s="12" t="s">
        <v>472</v>
      </c>
      <c r="I485" s="10"/>
      <c r="J485" s="10"/>
      <c r="K485" s="12"/>
    </row>
    <row r="486" ht="15.75" customHeight="1">
      <c r="A486" s="3" t="s">
        <v>12</v>
      </c>
      <c r="B486" s="3" t="s">
        <v>82</v>
      </c>
      <c r="C486" s="3" t="s">
        <v>5742</v>
      </c>
      <c r="D486" s="8" t="str">
        <f t="shared" si="1"/>
        <v>Abrir anúncio ↗</v>
      </c>
      <c r="E486" s="9" t="s">
        <v>5747</v>
      </c>
      <c r="F486" s="3" t="s">
        <v>86</v>
      </c>
      <c r="G486" s="9" t="s">
        <v>470</v>
      </c>
      <c r="H486" s="9" t="s">
        <v>472</v>
      </c>
      <c r="I486" s="3"/>
      <c r="J486" s="3"/>
      <c r="K486" s="9"/>
    </row>
    <row r="487" ht="15.75" customHeight="1">
      <c r="A487" s="10" t="s">
        <v>12</v>
      </c>
      <c r="B487" s="10" t="s">
        <v>82</v>
      </c>
      <c r="C487" s="10" t="s">
        <v>5755</v>
      </c>
      <c r="D487" s="11" t="str">
        <f t="shared" si="1"/>
        <v>Abrir anúncio ↗</v>
      </c>
      <c r="E487" s="12" t="s">
        <v>5758</v>
      </c>
      <c r="F487" s="10" t="s">
        <v>86</v>
      </c>
      <c r="G487" s="12" t="s">
        <v>470</v>
      </c>
      <c r="H487" s="12" t="s">
        <v>472</v>
      </c>
      <c r="I487" s="10"/>
      <c r="J487" s="10"/>
      <c r="K487" s="12"/>
    </row>
    <row r="488" ht="15.75" customHeight="1">
      <c r="A488" s="3" t="s">
        <v>12</v>
      </c>
      <c r="B488" s="3" t="s">
        <v>82</v>
      </c>
      <c r="C488" s="3" t="s">
        <v>5765</v>
      </c>
      <c r="D488" s="8" t="str">
        <f t="shared" si="1"/>
        <v>Abrir anúncio ↗</v>
      </c>
      <c r="E488" s="9" t="s">
        <v>5770</v>
      </c>
      <c r="F488" s="3" t="s">
        <v>29</v>
      </c>
      <c r="G488" s="9" t="s">
        <v>470</v>
      </c>
      <c r="H488" s="9" t="s">
        <v>472</v>
      </c>
      <c r="I488" s="3"/>
      <c r="J488" s="3"/>
      <c r="K488" s="9"/>
    </row>
    <row r="489" ht="15.75" customHeight="1">
      <c r="A489" s="10" t="s">
        <v>12</v>
      </c>
      <c r="B489" s="10" t="s">
        <v>82</v>
      </c>
      <c r="C489" s="10" t="s">
        <v>5781</v>
      </c>
      <c r="D489" s="11" t="str">
        <f t="shared" si="1"/>
        <v>Abrir anúncio ↗</v>
      </c>
      <c r="E489" s="12" t="s">
        <v>5784</v>
      </c>
      <c r="F489" s="10" t="s">
        <v>86</v>
      </c>
      <c r="G489" s="12" t="s">
        <v>965</v>
      </c>
      <c r="H489" s="12" t="s">
        <v>1934</v>
      </c>
      <c r="I489" s="10"/>
      <c r="J489" s="10"/>
      <c r="K489" s="12"/>
    </row>
    <row r="490" ht="15.75" customHeight="1">
      <c r="A490" s="3" t="s">
        <v>12</v>
      </c>
      <c r="B490" s="3" t="s">
        <v>82</v>
      </c>
      <c r="C490" s="3" t="s">
        <v>5792</v>
      </c>
      <c r="D490" s="8" t="str">
        <f t="shared" si="1"/>
        <v>Abrir anúncio ↗</v>
      </c>
      <c r="E490" s="9" t="s">
        <v>5794</v>
      </c>
      <c r="F490" s="3" t="s">
        <v>86</v>
      </c>
      <c r="G490" s="9" t="s">
        <v>965</v>
      </c>
      <c r="H490" s="9" t="s">
        <v>3442</v>
      </c>
      <c r="I490" s="3"/>
      <c r="J490" s="3"/>
      <c r="K490" s="9"/>
    </row>
    <row r="491" ht="15.75" customHeight="1">
      <c r="A491" s="10" t="s">
        <v>12</v>
      </c>
      <c r="B491" s="10" t="s">
        <v>82</v>
      </c>
      <c r="C491" s="10" t="s">
        <v>5804</v>
      </c>
      <c r="D491" s="11" t="str">
        <f t="shared" si="1"/>
        <v>Abrir anúncio ↗</v>
      </c>
      <c r="E491" s="12" t="s">
        <v>5806</v>
      </c>
      <c r="F491" s="10" t="s">
        <v>86</v>
      </c>
      <c r="G491" s="12" t="s">
        <v>1054</v>
      </c>
      <c r="H491" s="12" t="s">
        <v>5810</v>
      </c>
      <c r="I491" s="10"/>
      <c r="J491" s="10"/>
      <c r="K491" s="12"/>
    </row>
    <row r="492" ht="15.75" customHeight="1">
      <c r="A492" s="3" t="s">
        <v>12</v>
      </c>
      <c r="B492" s="3" t="s">
        <v>82</v>
      </c>
      <c r="C492" s="3" t="s">
        <v>5815</v>
      </c>
      <c r="D492" s="8" t="str">
        <f t="shared" si="1"/>
        <v>Abrir anúncio ↗</v>
      </c>
      <c r="E492" s="9" t="s">
        <v>5817</v>
      </c>
      <c r="F492" s="3" t="s">
        <v>29</v>
      </c>
      <c r="G492" s="9" t="s">
        <v>965</v>
      </c>
      <c r="H492" s="9" t="s">
        <v>2136</v>
      </c>
      <c r="I492" s="3"/>
      <c r="J492" s="3"/>
      <c r="K492" s="9"/>
    </row>
    <row r="493" ht="15.75" customHeight="1">
      <c r="A493" s="10" t="s">
        <v>12</v>
      </c>
      <c r="B493" s="10" t="s">
        <v>82</v>
      </c>
      <c r="C493" s="10" t="s">
        <v>5828</v>
      </c>
      <c r="D493" s="11" t="str">
        <f t="shared" si="1"/>
        <v>Abrir anúncio ↗</v>
      </c>
      <c r="E493" s="12" t="s">
        <v>5830</v>
      </c>
      <c r="F493" s="10" t="s">
        <v>29</v>
      </c>
      <c r="G493" s="12" t="s">
        <v>965</v>
      </c>
      <c r="H493" s="12" t="s">
        <v>967</v>
      </c>
      <c r="I493" s="10"/>
      <c r="J493" s="10"/>
      <c r="K493" s="12"/>
    </row>
    <row r="494" ht="15.75" customHeight="1">
      <c r="A494" s="3" t="s">
        <v>12</v>
      </c>
      <c r="B494" s="3" t="s">
        <v>82</v>
      </c>
      <c r="C494" s="3" t="s">
        <v>5837</v>
      </c>
      <c r="D494" s="8" t="str">
        <f t="shared" si="1"/>
        <v>Abrir anúncio ↗</v>
      </c>
      <c r="E494" s="9" t="s">
        <v>5839</v>
      </c>
      <c r="F494" s="3" t="s">
        <v>29</v>
      </c>
      <c r="G494" s="9" t="s">
        <v>965</v>
      </c>
      <c r="H494" s="9" t="s">
        <v>2173</v>
      </c>
      <c r="I494" s="3"/>
      <c r="J494" s="3"/>
      <c r="K494" s="9"/>
    </row>
    <row r="495" ht="15.75" customHeight="1">
      <c r="A495" s="10" t="s">
        <v>12</v>
      </c>
      <c r="B495" s="10" t="s">
        <v>82</v>
      </c>
      <c r="C495" s="10" t="s">
        <v>5846</v>
      </c>
      <c r="D495" s="11" t="str">
        <f t="shared" si="1"/>
        <v>Abrir anúncio ↗</v>
      </c>
      <c r="E495" s="12" t="s">
        <v>5848</v>
      </c>
      <c r="F495" s="10" t="s">
        <v>29</v>
      </c>
      <c r="G495" s="12" t="s">
        <v>965</v>
      </c>
      <c r="H495" s="12" t="s">
        <v>3201</v>
      </c>
      <c r="I495" s="10"/>
      <c r="J495" s="10"/>
      <c r="K495" s="12"/>
    </row>
    <row r="496" ht="15.75" customHeight="1">
      <c r="A496" s="3" t="s">
        <v>12</v>
      </c>
      <c r="B496" s="3" t="s">
        <v>82</v>
      </c>
      <c r="C496" s="3" t="s">
        <v>5856</v>
      </c>
      <c r="D496" s="8" t="str">
        <f t="shared" si="1"/>
        <v>Abrir anúncio ↗</v>
      </c>
      <c r="E496" s="9" t="s">
        <v>5857</v>
      </c>
      <c r="F496" s="3" t="s">
        <v>29</v>
      </c>
      <c r="G496" s="9" t="s">
        <v>965</v>
      </c>
      <c r="H496" s="9" t="s">
        <v>2293</v>
      </c>
      <c r="I496" s="3"/>
      <c r="J496" s="3"/>
      <c r="K496" s="9"/>
    </row>
    <row r="497" ht="15.75" customHeight="1">
      <c r="A497" s="10" t="s">
        <v>12</v>
      </c>
      <c r="B497" s="10" t="s">
        <v>82</v>
      </c>
      <c r="C497" s="10" t="s">
        <v>5866</v>
      </c>
      <c r="D497" s="11" t="str">
        <f t="shared" si="1"/>
        <v>Abrir anúncio ↗</v>
      </c>
      <c r="E497" s="12" t="s">
        <v>5867</v>
      </c>
      <c r="F497" s="10" t="s">
        <v>86</v>
      </c>
      <c r="G497" s="12" t="s">
        <v>1054</v>
      </c>
      <c r="H497" s="12" t="s">
        <v>1804</v>
      </c>
      <c r="I497" s="10"/>
      <c r="J497" s="10"/>
      <c r="K497" s="12"/>
    </row>
    <row r="498" ht="15.75" customHeight="1">
      <c r="A498" s="3" t="s">
        <v>12</v>
      </c>
      <c r="B498" s="3" t="s">
        <v>82</v>
      </c>
      <c r="C498" s="3" t="s">
        <v>5876</v>
      </c>
      <c r="D498" s="8" t="str">
        <f t="shared" si="1"/>
        <v>Abrir anúncio ↗</v>
      </c>
      <c r="E498" s="9" t="s">
        <v>5878</v>
      </c>
      <c r="F498" s="3" t="s">
        <v>86</v>
      </c>
      <c r="G498" s="9" t="s">
        <v>1054</v>
      </c>
      <c r="H498" s="9" t="s">
        <v>1519</v>
      </c>
      <c r="I498" s="3"/>
      <c r="J498" s="3"/>
      <c r="K498" s="9"/>
    </row>
    <row r="499" ht="15.75" customHeight="1">
      <c r="A499" s="10" t="s">
        <v>12</v>
      </c>
      <c r="B499" s="10" t="s">
        <v>82</v>
      </c>
      <c r="C499" s="10" t="s">
        <v>5890</v>
      </c>
      <c r="D499" s="11" t="str">
        <f t="shared" si="1"/>
        <v>Abrir anúncio ↗</v>
      </c>
      <c r="E499" s="12" t="s">
        <v>5892</v>
      </c>
      <c r="F499" s="10" t="s">
        <v>86</v>
      </c>
      <c r="G499" s="12" t="s">
        <v>1054</v>
      </c>
      <c r="H499" s="12" t="s">
        <v>1862</v>
      </c>
      <c r="I499" s="10"/>
      <c r="J499" s="10"/>
      <c r="K499" s="12"/>
    </row>
    <row r="500" ht="15.75" customHeight="1">
      <c r="A500" s="3" t="s">
        <v>12</v>
      </c>
      <c r="B500" s="3" t="s">
        <v>82</v>
      </c>
      <c r="C500" s="3" t="s">
        <v>5899</v>
      </c>
      <c r="D500" s="8" t="str">
        <f t="shared" si="1"/>
        <v>Abrir anúncio ↗</v>
      </c>
      <c r="E500" s="9" t="s">
        <v>5902</v>
      </c>
      <c r="F500" s="3" t="s">
        <v>29</v>
      </c>
      <c r="G500" s="9" t="s">
        <v>965</v>
      </c>
      <c r="H500" s="9" t="s">
        <v>3442</v>
      </c>
      <c r="I500" s="3"/>
      <c r="J500" s="3"/>
      <c r="K500" s="9"/>
    </row>
    <row r="501" ht="15.75" customHeight="1">
      <c r="A501" s="10" t="s">
        <v>12</v>
      </c>
      <c r="B501" s="10" t="s">
        <v>82</v>
      </c>
      <c r="C501" s="10" t="s">
        <v>5907</v>
      </c>
      <c r="D501" s="11" t="str">
        <f t="shared" si="1"/>
        <v>Abrir anúncio ↗</v>
      </c>
      <c r="E501" s="12" t="s">
        <v>5909</v>
      </c>
      <c r="F501" s="10" t="s">
        <v>29</v>
      </c>
      <c r="G501" s="12" t="s">
        <v>965</v>
      </c>
      <c r="H501" s="12" t="s">
        <v>3442</v>
      </c>
      <c r="I501" s="10"/>
      <c r="J501" s="10"/>
      <c r="K501" s="12"/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501"/>
  <conditionalFormatting sqref="A2:A501">
    <cfRule type="expression" dxfId="0" priority="1">
      <formula>$A2="Não verificado"</formula>
    </cfRule>
  </conditionalFormatting>
  <conditionalFormatting sqref="A2:A501">
    <cfRule type="expression" dxfId="1" priority="2">
      <formula>$A2="Em andamento"</formula>
    </cfRule>
  </conditionalFormatting>
  <conditionalFormatting sqref="A2:A501">
    <cfRule type="expression" dxfId="2" priority="3">
      <formula>$A2="Corrigido"</formula>
    </cfRule>
  </conditionalFormatting>
  <conditionalFormatting sqref="A2:A501">
    <cfRule type="expression" dxfId="3" priority="4">
      <formula>$A2="Não se aplica"</formula>
    </cfRule>
  </conditionalFormatting>
  <conditionalFormatting sqref="B2:B501">
    <cfRule type="expression" dxfId="4" priority="5">
      <formula>$B2="Crítico"</formula>
    </cfRule>
  </conditionalFormatting>
  <conditionalFormatting sqref="B2:B501">
    <cfRule type="expression" dxfId="5" priority="6">
      <formula>$B2="Alto"</formula>
    </cfRule>
  </conditionalFormatting>
  <conditionalFormatting sqref="B2:B501">
    <cfRule type="expression" dxfId="6" priority="7">
      <formula>$B2="Médio"</formula>
    </cfRule>
  </conditionalFormatting>
  <conditionalFormatting sqref="B2:B501">
    <cfRule type="expression" dxfId="7" priority="8">
      <formula>$B2="Baixo"</formula>
    </cfRule>
  </conditionalFormatting>
  <conditionalFormatting sqref="E2:K501">
    <cfRule type="expression" dxfId="8" priority="9">
      <formula>$A2="Corrigido"</formula>
    </cfRule>
  </conditionalFormatting>
  <dataValidations>
    <dataValidation type="list" allowBlank="1" sqref="A2:A501">
      <formula1>"Não verificado,Em andamento,Corrigido,Não se aplica"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4" width="14.0"/>
    <col customWidth="1" min="5" max="5" width="45.0"/>
    <col customWidth="1" min="6" max="6" width="13.0"/>
    <col customWidth="1" min="7" max="7" width="45.0"/>
    <col customWidth="1" min="8" max="8" width="55.0"/>
    <col customWidth="1" min="9" max="9" width="16.0"/>
    <col customWidth="1" min="10" max="10" width="12.0"/>
    <col customWidth="1" min="11" max="11" width="30.0"/>
    <col customWidth="1" min="12" max="26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3" t="s">
        <v>12</v>
      </c>
      <c r="B2" s="3" t="s">
        <v>14</v>
      </c>
      <c r="C2" s="3" t="s">
        <v>4394</v>
      </c>
      <c r="D2" s="8" t="str">
        <f t="shared" ref="D2:D36" si="1">HYPERLINK("https://www.mercadolivre.com.br/anuncios?page=1&amp;sort=DEFAULT&amp;search="&amp;C2,"Abrir anúncio ↗")</f>
        <v>Abrir anúncio ↗</v>
      </c>
      <c r="E2" s="9" t="s">
        <v>4403</v>
      </c>
      <c r="F2" s="3" t="s">
        <v>29</v>
      </c>
      <c r="G2" s="9" t="s">
        <v>4404</v>
      </c>
      <c r="H2" s="9" t="s">
        <v>4407</v>
      </c>
      <c r="I2" s="3"/>
      <c r="J2" s="3"/>
      <c r="K2" s="9"/>
    </row>
    <row r="3">
      <c r="A3" s="10" t="s">
        <v>12</v>
      </c>
      <c r="B3" s="10" t="s">
        <v>82</v>
      </c>
      <c r="C3" s="10" t="s">
        <v>4414</v>
      </c>
      <c r="D3" s="11" t="str">
        <f t="shared" si="1"/>
        <v>Abrir anúncio ↗</v>
      </c>
      <c r="E3" s="12" t="s">
        <v>4417</v>
      </c>
      <c r="F3" s="10" t="s">
        <v>29</v>
      </c>
      <c r="G3" s="12" t="s">
        <v>470</v>
      </c>
      <c r="H3" s="12" t="s">
        <v>472</v>
      </c>
      <c r="I3" s="10"/>
      <c r="J3" s="10"/>
      <c r="K3" s="12"/>
    </row>
    <row r="4">
      <c r="A4" s="3" t="s">
        <v>12</v>
      </c>
      <c r="B4" s="3" t="s">
        <v>82</v>
      </c>
      <c r="C4" s="3" t="s">
        <v>4423</v>
      </c>
      <c r="D4" s="8" t="str">
        <f t="shared" si="1"/>
        <v>Abrir anúncio ↗</v>
      </c>
      <c r="E4" s="9" t="s">
        <v>4425</v>
      </c>
      <c r="F4" s="3" t="s">
        <v>29</v>
      </c>
      <c r="G4" s="9" t="s">
        <v>470</v>
      </c>
      <c r="H4" s="9" t="s">
        <v>472</v>
      </c>
      <c r="I4" s="3"/>
      <c r="J4" s="3"/>
      <c r="K4" s="9"/>
    </row>
    <row r="5">
      <c r="A5" s="10" t="s">
        <v>12</v>
      </c>
      <c r="B5" s="10" t="s">
        <v>82</v>
      </c>
      <c r="C5" s="10" t="s">
        <v>4432</v>
      </c>
      <c r="D5" s="11" t="str">
        <f t="shared" si="1"/>
        <v>Abrir anúncio ↗</v>
      </c>
      <c r="E5" s="12" t="s">
        <v>4434</v>
      </c>
      <c r="F5" s="10" t="s">
        <v>86</v>
      </c>
      <c r="G5" s="12" t="s">
        <v>965</v>
      </c>
      <c r="H5" s="12" t="s">
        <v>1897</v>
      </c>
      <c r="I5" s="10"/>
      <c r="J5" s="10"/>
      <c r="K5" s="12"/>
    </row>
    <row r="6">
      <c r="A6" s="3" t="s">
        <v>12</v>
      </c>
      <c r="B6" s="3" t="s">
        <v>82</v>
      </c>
      <c r="C6" s="3" t="s">
        <v>4442</v>
      </c>
      <c r="D6" s="8" t="str">
        <f t="shared" si="1"/>
        <v>Abrir anúncio ↗</v>
      </c>
      <c r="E6" s="9" t="s">
        <v>4444</v>
      </c>
      <c r="F6" s="3" t="s">
        <v>86</v>
      </c>
      <c r="G6" s="9" t="s">
        <v>965</v>
      </c>
      <c r="H6" s="9" t="s">
        <v>4031</v>
      </c>
      <c r="I6" s="3"/>
      <c r="J6" s="3"/>
      <c r="K6" s="9"/>
    </row>
    <row r="7">
      <c r="A7" s="10" t="s">
        <v>12</v>
      </c>
      <c r="B7" s="10" t="s">
        <v>82</v>
      </c>
      <c r="C7" s="10" t="s">
        <v>4452</v>
      </c>
      <c r="D7" s="11" t="str">
        <f t="shared" si="1"/>
        <v>Abrir anúncio ↗</v>
      </c>
      <c r="E7" s="12" t="s">
        <v>4454</v>
      </c>
      <c r="F7" s="10" t="s">
        <v>86</v>
      </c>
      <c r="G7" s="12" t="s">
        <v>470</v>
      </c>
      <c r="H7" s="12" t="s">
        <v>1106</v>
      </c>
      <c r="I7" s="10"/>
      <c r="J7" s="10"/>
      <c r="K7" s="12"/>
    </row>
    <row r="8">
      <c r="A8" s="3" t="s">
        <v>12</v>
      </c>
      <c r="B8" s="3" t="s">
        <v>82</v>
      </c>
      <c r="C8" s="3" t="s">
        <v>4463</v>
      </c>
      <c r="D8" s="8" t="str">
        <f t="shared" si="1"/>
        <v>Abrir anúncio ↗</v>
      </c>
      <c r="E8" s="9" t="s">
        <v>4464</v>
      </c>
      <c r="F8" s="3" t="s">
        <v>86</v>
      </c>
      <c r="G8" s="9" t="s">
        <v>470</v>
      </c>
      <c r="H8" s="9" t="s">
        <v>1106</v>
      </c>
      <c r="I8" s="3"/>
      <c r="J8" s="3"/>
      <c r="K8" s="9"/>
    </row>
    <row r="9">
      <c r="A9" s="10" t="s">
        <v>12</v>
      </c>
      <c r="B9" s="10" t="s">
        <v>82</v>
      </c>
      <c r="C9" s="10" t="s">
        <v>4468</v>
      </c>
      <c r="D9" s="11" t="str">
        <f t="shared" si="1"/>
        <v>Abrir anúncio ↗</v>
      </c>
      <c r="E9" s="12" t="s">
        <v>4472</v>
      </c>
      <c r="F9" s="10" t="s">
        <v>86</v>
      </c>
      <c r="G9" s="12" t="s">
        <v>470</v>
      </c>
      <c r="H9" s="12" t="s">
        <v>1106</v>
      </c>
      <c r="I9" s="10"/>
      <c r="J9" s="10"/>
      <c r="K9" s="12"/>
    </row>
    <row r="10">
      <c r="A10" s="3" t="s">
        <v>12</v>
      </c>
      <c r="B10" s="3" t="s">
        <v>82</v>
      </c>
      <c r="C10" s="3" t="s">
        <v>4477</v>
      </c>
      <c r="D10" s="8" t="str">
        <f t="shared" si="1"/>
        <v>Abrir anúncio ↗</v>
      </c>
      <c r="E10" s="9" t="s">
        <v>4479</v>
      </c>
      <c r="F10" s="3" t="s">
        <v>86</v>
      </c>
      <c r="G10" s="9" t="s">
        <v>470</v>
      </c>
      <c r="H10" s="9" t="s">
        <v>1106</v>
      </c>
      <c r="I10" s="3"/>
      <c r="J10" s="3"/>
      <c r="K10" s="9"/>
    </row>
    <row r="11">
      <c r="A11" s="10" t="s">
        <v>12</v>
      </c>
      <c r="B11" s="10" t="s">
        <v>82</v>
      </c>
      <c r="C11" s="10" t="s">
        <v>4486</v>
      </c>
      <c r="D11" s="11" t="str">
        <f t="shared" si="1"/>
        <v>Abrir anúncio ↗</v>
      </c>
      <c r="E11" s="12" t="s">
        <v>4489</v>
      </c>
      <c r="F11" s="10" t="s">
        <v>86</v>
      </c>
      <c r="G11" s="12" t="s">
        <v>470</v>
      </c>
      <c r="H11" s="12" t="s">
        <v>1106</v>
      </c>
      <c r="I11" s="10"/>
      <c r="J11" s="10"/>
      <c r="K11" s="12"/>
    </row>
    <row r="12">
      <c r="A12" s="3" t="s">
        <v>12</v>
      </c>
      <c r="B12" s="3" t="s">
        <v>82</v>
      </c>
      <c r="C12" s="3" t="s">
        <v>4494</v>
      </c>
      <c r="D12" s="8" t="str">
        <f t="shared" si="1"/>
        <v>Abrir anúncio ↗</v>
      </c>
      <c r="E12" s="9" t="s">
        <v>4496</v>
      </c>
      <c r="F12" s="3" t="s">
        <v>86</v>
      </c>
      <c r="G12" s="9" t="s">
        <v>470</v>
      </c>
      <c r="H12" s="9" t="s">
        <v>1106</v>
      </c>
      <c r="I12" s="3"/>
      <c r="J12" s="3"/>
      <c r="K12" s="9"/>
    </row>
    <row r="13">
      <c r="A13" s="10" t="s">
        <v>12</v>
      </c>
      <c r="B13" s="10" t="s">
        <v>82</v>
      </c>
      <c r="C13" s="10" t="s">
        <v>4505</v>
      </c>
      <c r="D13" s="11" t="str">
        <f t="shared" si="1"/>
        <v>Abrir anúncio ↗</v>
      </c>
      <c r="E13" s="12" t="s">
        <v>4506</v>
      </c>
      <c r="F13" s="10" t="s">
        <v>86</v>
      </c>
      <c r="G13" s="12" t="s">
        <v>470</v>
      </c>
      <c r="H13" s="12" t="s">
        <v>1106</v>
      </c>
      <c r="I13" s="10"/>
      <c r="J13" s="10"/>
      <c r="K13" s="12"/>
    </row>
    <row r="14">
      <c r="A14" s="3" t="s">
        <v>12</v>
      </c>
      <c r="B14" s="3" t="s">
        <v>82</v>
      </c>
      <c r="C14" s="3" t="s">
        <v>4515</v>
      </c>
      <c r="D14" s="8" t="str">
        <f t="shared" si="1"/>
        <v>Abrir anúncio ↗</v>
      </c>
      <c r="E14" s="9" t="s">
        <v>4517</v>
      </c>
      <c r="F14" s="3" t="s">
        <v>86</v>
      </c>
      <c r="G14" s="9" t="s">
        <v>470</v>
      </c>
      <c r="H14" s="9" t="s">
        <v>472</v>
      </c>
      <c r="I14" s="3"/>
      <c r="J14" s="3"/>
      <c r="K14" s="9"/>
    </row>
    <row r="15">
      <c r="A15" s="10" t="s">
        <v>12</v>
      </c>
      <c r="B15" s="10" t="s">
        <v>82</v>
      </c>
      <c r="C15" s="10" t="s">
        <v>4523</v>
      </c>
      <c r="D15" s="11" t="str">
        <f t="shared" si="1"/>
        <v>Abrir anúncio ↗</v>
      </c>
      <c r="E15" s="12" t="s">
        <v>4526</v>
      </c>
      <c r="F15" s="10" t="s">
        <v>86</v>
      </c>
      <c r="G15" s="12" t="s">
        <v>470</v>
      </c>
      <c r="H15" s="12" t="s">
        <v>472</v>
      </c>
      <c r="I15" s="10"/>
      <c r="J15" s="10"/>
      <c r="K15" s="12"/>
    </row>
    <row r="16">
      <c r="A16" s="3" t="s">
        <v>12</v>
      </c>
      <c r="B16" s="3" t="s">
        <v>82</v>
      </c>
      <c r="C16" s="3" t="s">
        <v>4531</v>
      </c>
      <c r="D16" s="8" t="str">
        <f t="shared" si="1"/>
        <v>Abrir anúncio ↗</v>
      </c>
      <c r="E16" s="9" t="s">
        <v>4533</v>
      </c>
      <c r="F16" s="3" t="s">
        <v>86</v>
      </c>
      <c r="G16" s="9" t="s">
        <v>470</v>
      </c>
      <c r="H16" s="9" t="s">
        <v>472</v>
      </c>
      <c r="I16" s="3"/>
      <c r="J16" s="3"/>
      <c r="K16" s="9"/>
    </row>
    <row r="17">
      <c r="A17" s="10" t="s">
        <v>12</v>
      </c>
      <c r="B17" s="10" t="s">
        <v>82</v>
      </c>
      <c r="C17" s="10" t="s">
        <v>4543</v>
      </c>
      <c r="D17" s="11" t="str">
        <f t="shared" si="1"/>
        <v>Abrir anúncio ↗</v>
      </c>
      <c r="E17" s="12" t="s">
        <v>4545</v>
      </c>
      <c r="F17" s="10" t="s">
        <v>86</v>
      </c>
      <c r="G17" s="12" t="s">
        <v>1957</v>
      </c>
      <c r="H17" s="12" t="s">
        <v>4549</v>
      </c>
      <c r="I17" s="10"/>
      <c r="J17" s="10"/>
      <c r="K17" s="12"/>
    </row>
    <row r="18">
      <c r="A18" s="3" t="s">
        <v>12</v>
      </c>
      <c r="B18" s="3" t="s">
        <v>82</v>
      </c>
      <c r="C18" s="3" t="s">
        <v>4553</v>
      </c>
      <c r="D18" s="8" t="str">
        <f t="shared" si="1"/>
        <v>Abrir anúncio ↗</v>
      </c>
      <c r="E18" s="9" t="s">
        <v>4556</v>
      </c>
      <c r="F18" s="3" t="s">
        <v>86</v>
      </c>
      <c r="G18" s="9" t="s">
        <v>1957</v>
      </c>
      <c r="H18" s="9" t="s">
        <v>4549</v>
      </c>
      <c r="I18" s="3"/>
      <c r="J18" s="3"/>
      <c r="K18" s="9"/>
    </row>
    <row r="19">
      <c r="A19" s="10" t="s">
        <v>12</v>
      </c>
      <c r="B19" s="10" t="s">
        <v>82</v>
      </c>
      <c r="C19" s="10" t="s">
        <v>4564</v>
      </c>
      <c r="D19" s="11" t="str">
        <f t="shared" si="1"/>
        <v>Abrir anúncio ↗</v>
      </c>
      <c r="E19" s="12" t="s">
        <v>4526</v>
      </c>
      <c r="F19" s="10" t="s">
        <v>86</v>
      </c>
      <c r="G19" s="12" t="s">
        <v>991</v>
      </c>
      <c r="H19" s="12" t="s">
        <v>993</v>
      </c>
      <c r="I19" s="10"/>
      <c r="J19" s="10"/>
      <c r="K19" s="12"/>
    </row>
    <row r="20">
      <c r="A20" s="3" t="s">
        <v>12</v>
      </c>
      <c r="B20" s="3" t="s">
        <v>82</v>
      </c>
      <c r="C20" s="3" t="s">
        <v>4573</v>
      </c>
      <c r="D20" s="8" t="str">
        <f t="shared" si="1"/>
        <v>Abrir anúncio ↗</v>
      </c>
      <c r="E20" s="9" t="s">
        <v>4574</v>
      </c>
      <c r="F20" s="3" t="s">
        <v>86</v>
      </c>
      <c r="G20" s="9" t="s">
        <v>991</v>
      </c>
      <c r="H20" s="9" t="s">
        <v>993</v>
      </c>
      <c r="I20" s="3"/>
      <c r="J20" s="3"/>
      <c r="K20" s="9"/>
    </row>
    <row r="21" ht="15.75" customHeight="1">
      <c r="A21" s="10" t="s">
        <v>12</v>
      </c>
      <c r="B21" s="10" t="s">
        <v>82</v>
      </c>
      <c r="C21" s="10" t="s">
        <v>4580</v>
      </c>
      <c r="D21" s="11" t="str">
        <f t="shared" si="1"/>
        <v>Abrir anúncio ↗</v>
      </c>
      <c r="E21" s="12" t="s">
        <v>4496</v>
      </c>
      <c r="F21" s="10" t="s">
        <v>86</v>
      </c>
      <c r="G21" s="12" t="s">
        <v>470</v>
      </c>
      <c r="H21" s="12" t="s">
        <v>472</v>
      </c>
      <c r="I21" s="10"/>
      <c r="J21" s="10"/>
      <c r="K21" s="12"/>
    </row>
    <row r="22" ht="15.75" customHeight="1">
      <c r="A22" s="3" t="s">
        <v>12</v>
      </c>
      <c r="B22" s="3" t="s">
        <v>82</v>
      </c>
      <c r="C22" s="3" t="s">
        <v>4589</v>
      </c>
      <c r="D22" s="8" t="str">
        <f t="shared" si="1"/>
        <v>Abrir anúncio ↗</v>
      </c>
      <c r="E22" s="9" t="s">
        <v>4592</v>
      </c>
      <c r="F22" s="3" t="s">
        <v>29</v>
      </c>
      <c r="G22" s="9" t="s">
        <v>976</v>
      </c>
      <c r="H22" s="9" t="s">
        <v>4596</v>
      </c>
      <c r="I22" s="3"/>
      <c r="J22" s="3"/>
      <c r="K22" s="9"/>
    </row>
    <row r="23" ht="15.75" customHeight="1">
      <c r="A23" s="10" t="s">
        <v>12</v>
      </c>
      <c r="B23" s="10" t="s">
        <v>82</v>
      </c>
      <c r="C23" s="10" t="s">
        <v>4599</v>
      </c>
      <c r="D23" s="11" t="str">
        <f t="shared" si="1"/>
        <v>Abrir anúncio ↗</v>
      </c>
      <c r="E23" s="12" t="s">
        <v>4602</v>
      </c>
      <c r="F23" s="10" t="s">
        <v>29</v>
      </c>
      <c r="G23" s="12" t="s">
        <v>965</v>
      </c>
      <c r="H23" s="12" t="s">
        <v>2173</v>
      </c>
      <c r="I23" s="10"/>
      <c r="J23" s="10"/>
      <c r="K23" s="12"/>
    </row>
    <row r="24" ht="15.75" customHeight="1">
      <c r="A24" s="3" t="s">
        <v>12</v>
      </c>
      <c r="B24" s="3" t="s">
        <v>82</v>
      </c>
      <c r="C24" s="3" t="s">
        <v>4608</v>
      </c>
      <c r="D24" s="8" t="str">
        <f t="shared" si="1"/>
        <v>Abrir anúncio ↗</v>
      </c>
      <c r="E24" s="9" t="s">
        <v>4610</v>
      </c>
      <c r="F24" s="3" t="s">
        <v>29</v>
      </c>
      <c r="G24" s="9" t="s">
        <v>965</v>
      </c>
      <c r="H24" s="9" t="s">
        <v>4613</v>
      </c>
      <c r="I24" s="3"/>
      <c r="J24" s="3"/>
      <c r="K24" s="9"/>
    </row>
    <row r="25" ht="15.75" customHeight="1">
      <c r="A25" s="10" t="s">
        <v>12</v>
      </c>
      <c r="B25" s="10" t="s">
        <v>82</v>
      </c>
      <c r="C25" s="10" t="s">
        <v>4619</v>
      </c>
      <c r="D25" s="11" t="str">
        <f t="shared" si="1"/>
        <v>Abrir anúncio ↗</v>
      </c>
      <c r="E25" s="12" t="s">
        <v>4620</v>
      </c>
      <c r="F25" s="10" t="s">
        <v>29</v>
      </c>
      <c r="G25" s="12" t="s">
        <v>965</v>
      </c>
      <c r="H25" s="12" t="s">
        <v>1996</v>
      </c>
      <c r="I25" s="10"/>
      <c r="J25" s="10"/>
      <c r="K25" s="12"/>
    </row>
    <row r="26" ht="15.75" customHeight="1">
      <c r="A26" s="3" t="s">
        <v>12</v>
      </c>
      <c r="B26" s="3" t="s">
        <v>82</v>
      </c>
      <c r="C26" s="3" t="s">
        <v>4625</v>
      </c>
      <c r="D26" s="8" t="str">
        <f t="shared" si="1"/>
        <v>Abrir anúncio ↗</v>
      </c>
      <c r="E26" s="9" t="s">
        <v>4628</v>
      </c>
      <c r="F26" s="3" t="s">
        <v>29</v>
      </c>
      <c r="G26" s="9" t="s">
        <v>1054</v>
      </c>
      <c r="H26" s="9" t="s">
        <v>1862</v>
      </c>
      <c r="I26" s="3"/>
      <c r="J26" s="3"/>
      <c r="K26" s="9"/>
    </row>
    <row r="27" ht="15.75" customHeight="1">
      <c r="A27" s="10" t="s">
        <v>12</v>
      </c>
      <c r="B27" s="10" t="s">
        <v>82</v>
      </c>
      <c r="C27" s="10" t="s">
        <v>4634</v>
      </c>
      <c r="D27" s="11" t="str">
        <f t="shared" si="1"/>
        <v>Abrir anúncio ↗</v>
      </c>
      <c r="E27" s="12" t="s">
        <v>4638</v>
      </c>
      <c r="F27" s="10" t="s">
        <v>86</v>
      </c>
      <c r="G27" s="12" t="s">
        <v>965</v>
      </c>
      <c r="H27" s="12" t="s">
        <v>4642</v>
      </c>
      <c r="I27" s="10"/>
      <c r="J27" s="10"/>
      <c r="K27" s="12"/>
    </row>
    <row r="28" ht="15.75" customHeight="1">
      <c r="A28" s="3" t="s">
        <v>12</v>
      </c>
      <c r="B28" s="3" t="s">
        <v>82</v>
      </c>
      <c r="C28" s="3" t="s">
        <v>4646</v>
      </c>
      <c r="D28" s="8" t="str">
        <f t="shared" si="1"/>
        <v>Abrir anúncio ↗</v>
      </c>
      <c r="E28" s="9" t="s">
        <v>4652</v>
      </c>
      <c r="F28" s="3" t="s">
        <v>86</v>
      </c>
      <c r="G28" s="9" t="s">
        <v>991</v>
      </c>
      <c r="H28" s="9" t="s">
        <v>993</v>
      </c>
      <c r="I28" s="3"/>
      <c r="J28" s="3"/>
      <c r="K28" s="9"/>
    </row>
    <row r="29" ht="15.75" customHeight="1">
      <c r="A29" s="10" t="s">
        <v>12</v>
      </c>
      <c r="B29" s="10" t="s">
        <v>359</v>
      </c>
      <c r="C29" s="10" t="s">
        <v>4656</v>
      </c>
      <c r="D29" s="11" t="str">
        <f t="shared" si="1"/>
        <v>Abrir anúncio ↗</v>
      </c>
      <c r="E29" s="12" t="s">
        <v>4660</v>
      </c>
      <c r="F29" s="10" t="s">
        <v>29</v>
      </c>
      <c r="G29" s="12" t="s">
        <v>4664</v>
      </c>
      <c r="H29" s="12" t="s">
        <v>4665</v>
      </c>
      <c r="I29" s="10"/>
      <c r="J29" s="10"/>
      <c r="K29" s="12"/>
    </row>
    <row r="30" ht="15.75" customHeight="1">
      <c r="A30" s="3" t="s">
        <v>12</v>
      </c>
      <c r="B30" s="3" t="s">
        <v>359</v>
      </c>
      <c r="C30" s="3" t="s">
        <v>4668</v>
      </c>
      <c r="D30" s="8" t="str">
        <f t="shared" si="1"/>
        <v>Abrir anúncio ↗</v>
      </c>
      <c r="E30" s="9" t="s">
        <v>4670</v>
      </c>
      <c r="F30" s="3" t="s">
        <v>29</v>
      </c>
      <c r="G30" s="9" t="s">
        <v>4664</v>
      </c>
      <c r="H30" s="9" t="s">
        <v>4665</v>
      </c>
      <c r="I30" s="3"/>
      <c r="J30" s="3"/>
      <c r="K30" s="9"/>
    </row>
    <row r="31" ht="15.75" customHeight="1">
      <c r="A31" s="10" t="s">
        <v>12</v>
      </c>
      <c r="B31" s="10" t="s">
        <v>359</v>
      </c>
      <c r="C31" s="10" t="s">
        <v>4678</v>
      </c>
      <c r="D31" s="11" t="str">
        <f t="shared" si="1"/>
        <v>Abrir anúncio ↗</v>
      </c>
      <c r="E31" s="12" t="s">
        <v>4679</v>
      </c>
      <c r="F31" s="10" t="s">
        <v>29</v>
      </c>
      <c r="G31" s="12" t="s">
        <v>4664</v>
      </c>
      <c r="H31" s="12" t="s">
        <v>4665</v>
      </c>
      <c r="I31" s="10"/>
      <c r="J31" s="10"/>
      <c r="K31" s="12"/>
    </row>
    <row r="32" ht="15.75" customHeight="1">
      <c r="A32" s="3" t="s">
        <v>12</v>
      </c>
      <c r="B32" s="3" t="s">
        <v>359</v>
      </c>
      <c r="C32" s="3" t="s">
        <v>4685</v>
      </c>
      <c r="D32" s="8" t="str">
        <f t="shared" si="1"/>
        <v>Abrir anúncio ↗</v>
      </c>
      <c r="E32" s="9" t="s">
        <v>4689</v>
      </c>
      <c r="F32" s="3" t="s">
        <v>86</v>
      </c>
      <c r="G32" s="9" t="s">
        <v>4664</v>
      </c>
      <c r="H32" s="9" t="s">
        <v>4665</v>
      </c>
      <c r="I32" s="3"/>
      <c r="J32" s="3"/>
      <c r="K32" s="9"/>
    </row>
    <row r="33" ht="15.75" customHeight="1">
      <c r="A33" s="10" t="s">
        <v>12</v>
      </c>
      <c r="B33" s="10" t="s">
        <v>359</v>
      </c>
      <c r="C33" s="10" t="s">
        <v>4693</v>
      </c>
      <c r="D33" s="11" t="str">
        <f t="shared" si="1"/>
        <v>Abrir anúncio ↗</v>
      </c>
      <c r="E33" s="12" t="s">
        <v>4697</v>
      </c>
      <c r="F33" s="10" t="s">
        <v>86</v>
      </c>
      <c r="G33" s="12" t="s">
        <v>4664</v>
      </c>
      <c r="H33" s="12" t="s">
        <v>4665</v>
      </c>
      <c r="I33" s="10"/>
      <c r="J33" s="10"/>
      <c r="K33" s="12"/>
    </row>
    <row r="34" ht="15.75" customHeight="1">
      <c r="A34" s="3" t="s">
        <v>12</v>
      </c>
      <c r="B34" s="3" t="s">
        <v>359</v>
      </c>
      <c r="C34" s="3" t="s">
        <v>4702</v>
      </c>
      <c r="D34" s="8" t="str">
        <f t="shared" si="1"/>
        <v>Abrir anúncio ↗</v>
      </c>
      <c r="E34" s="9" t="s">
        <v>4706</v>
      </c>
      <c r="F34" s="3" t="s">
        <v>86</v>
      </c>
      <c r="G34" s="9" t="s">
        <v>4664</v>
      </c>
      <c r="H34" s="9" t="s">
        <v>4665</v>
      </c>
      <c r="I34" s="3"/>
      <c r="J34" s="3"/>
      <c r="K34" s="9"/>
    </row>
    <row r="35" ht="15.75" customHeight="1">
      <c r="A35" s="10" t="s">
        <v>12</v>
      </c>
      <c r="B35" s="10" t="s">
        <v>359</v>
      </c>
      <c r="C35" s="10" t="s">
        <v>4712</v>
      </c>
      <c r="D35" s="11" t="str">
        <f t="shared" si="1"/>
        <v>Abrir anúncio ↗</v>
      </c>
      <c r="E35" s="12" t="s">
        <v>4713</v>
      </c>
      <c r="F35" s="10" t="s">
        <v>86</v>
      </c>
      <c r="G35" s="12" t="s">
        <v>4664</v>
      </c>
      <c r="H35" s="12" t="s">
        <v>4665</v>
      </c>
      <c r="I35" s="10"/>
      <c r="J35" s="10"/>
      <c r="K35" s="12"/>
    </row>
    <row r="36" ht="15.75" customHeight="1">
      <c r="A36" s="3" t="s">
        <v>12</v>
      </c>
      <c r="B36" s="3" t="s">
        <v>359</v>
      </c>
      <c r="C36" s="3" t="s">
        <v>4722</v>
      </c>
      <c r="D36" s="8" t="str">
        <f t="shared" si="1"/>
        <v>Abrir anúncio ↗</v>
      </c>
      <c r="E36" s="9" t="s">
        <v>4723</v>
      </c>
      <c r="F36" s="3" t="s">
        <v>29</v>
      </c>
      <c r="G36" s="9" t="s">
        <v>4664</v>
      </c>
      <c r="H36" s="9" t="s">
        <v>4665</v>
      </c>
      <c r="I36" s="3"/>
      <c r="J36" s="3"/>
      <c r="K36" s="9"/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36"/>
  <conditionalFormatting sqref="A2:A36">
    <cfRule type="expression" dxfId="0" priority="1">
      <formula>$A2="Não verificado"</formula>
    </cfRule>
  </conditionalFormatting>
  <conditionalFormatting sqref="A2:A36">
    <cfRule type="expression" dxfId="1" priority="2">
      <formula>$A2="Em andamento"</formula>
    </cfRule>
  </conditionalFormatting>
  <conditionalFormatting sqref="A2:A36">
    <cfRule type="expression" dxfId="2" priority="3">
      <formula>$A2="Corrigido"</formula>
    </cfRule>
  </conditionalFormatting>
  <conditionalFormatting sqref="A2:A36">
    <cfRule type="expression" dxfId="3" priority="4">
      <formula>$A2="Não se aplica"</formula>
    </cfRule>
  </conditionalFormatting>
  <conditionalFormatting sqref="B2:B36">
    <cfRule type="expression" dxfId="4" priority="5">
      <formula>$B2="Crítico"</formula>
    </cfRule>
  </conditionalFormatting>
  <conditionalFormatting sqref="B2:B36">
    <cfRule type="expression" dxfId="5" priority="6">
      <formula>$B2="Alto"</formula>
    </cfRule>
  </conditionalFormatting>
  <conditionalFormatting sqref="B2:B36">
    <cfRule type="expression" dxfId="6" priority="7">
      <formula>$B2="Médio"</formula>
    </cfRule>
  </conditionalFormatting>
  <conditionalFormatting sqref="B2:B36">
    <cfRule type="expression" dxfId="7" priority="8">
      <formula>$B2="Baixo"</formula>
    </cfRule>
  </conditionalFormatting>
  <conditionalFormatting sqref="E2:K36">
    <cfRule type="expression" dxfId="8" priority="9">
      <formula>$A2="Corrigido"</formula>
    </cfRule>
  </conditionalFormatting>
  <dataValidations>
    <dataValidation type="list" allowBlank="1" sqref="A2:A36">
      <formula1>"Não verificado,Em andamento,Corrigido,Não se aplica"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4" width="14.0"/>
    <col customWidth="1" min="5" max="5" width="45.0"/>
    <col customWidth="1" min="6" max="6" width="13.0"/>
    <col customWidth="1" min="7" max="7" width="45.0"/>
    <col customWidth="1" min="8" max="8" width="55.0"/>
    <col customWidth="1" min="9" max="9" width="16.0"/>
    <col customWidth="1" min="10" max="10" width="12.0"/>
    <col customWidth="1" min="11" max="11" width="30.0"/>
    <col customWidth="1" min="12" max="26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3" t="s">
        <v>12</v>
      </c>
      <c r="B2" s="3" t="s">
        <v>82</v>
      </c>
      <c r="C2" s="3" t="s">
        <v>4826</v>
      </c>
      <c r="D2" s="8" t="str">
        <f t="shared" ref="D2:D45" si="1">HYPERLINK("https://www.mercadolivre.com.br/anuncios?page=1&amp;sort=DEFAULT&amp;search="&amp;C2,"Abrir anúncio ↗")</f>
        <v>Abrir anúncio ↗</v>
      </c>
      <c r="E2" s="9" t="s">
        <v>4833</v>
      </c>
      <c r="F2" s="3" t="s">
        <v>29</v>
      </c>
      <c r="G2" s="9" t="s">
        <v>4835</v>
      </c>
      <c r="H2" s="9" t="s">
        <v>4838</v>
      </c>
      <c r="I2" s="3"/>
      <c r="J2" s="3"/>
      <c r="K2" s="9"/>
    </row>
    <row r="3">
      <c r="A3" s="10" t="s">
        <v>12</v>
      </c>
      <c r="B3" s="10" t="s">
        <v>82</v>
      </c>
      <c r="C3" s="10" t="s">
        <v>4842</v>
      </c>
      <c r="D3" s="11" t="str">
        <f t="shared" si="1"/>
        <v>Abrir anúncio ↗</v>
      </c>
      <c r="E3" s="12" t="s">
        <v>4845</v>
      </c>
      <c r="F3" s="10" t="s">
        <v>86</v>
      </c>
      <c r="G3" s="12" t="s">
        <v>4835</v>
      </c>
      <c r="H3" s="12" t="s">
        <v>4849</v>
      </c>
      <c r="I3" s="10"/>
      <c r="J3" s="10"/>
      <c r="K3" s="12"/>
    </row>
    <row r="4">
      <c r="A4" s="3" t="s">
        <v>12</v>
      </c>
      <c r="B4" s="3" t="s">
        <v>82</v>
      </c>
      <c r="C4" s="3" t="s">
        <v>4852</v>
      </c>
      <c r="D4" s="8" t="str">
        <f t="shared" si="1"/>
        <v>Abrir anúncio ↗</v>
      </c>
      <c r="E4" s="9" t="s">
        <v>4855</v>
      </c>
      <c r="F4" s="3" t="s">
        <v>86</v>
      </c>
      <c r="G4" s="9" t="s">
        <v>4835</v>
      </c>
      <c r="H4" s="9" t="s">
        <v>4859</v>
      </c>
      <c r="I4" s="3"/>
      <c r="J4" s="3"/>
      <c r="K4" s="9"/>
    </row>
    <row r="5">
      <c r="A5" s="10" t="s">
        <v>12</v>
      </c>
      <c r="B5" s="10" t="s">
        <v>82</v>
      </c>
      <c r="C5" s="10" t="s">
        <v>4861</v>
      </c>
      <c r="D5" s="11" t="str">
        <f t="shared" si="1"/>
        <v>Abrir anúncio ↗</v>
      </c>
      <c r="E5" s="12" t="s">
        <v>4864</v>
      </c>
      <c r="F5" s="10" t="s">
        <v>86</v>
      </c>
      <c r="G5" s="12" t="s">
        <v>4835</v>
      </c>
      <c r="H5" s="12" t="s">
        <v>4859</v>
      </c>
      <c r="I5" s="10"/>
      <c r="J5" s="10"/>
      <c r="K5" s="12"/>
    </row>
    <row r="6">
      <c r="A6" s="3" t="s">
        <v>12</v>
      </c>
      <c r="B6" s="3" t="s">
        <v>82</v>
      </c>
      <c r="C6" s="3" t="s">
        <v>4871</v>
      </c>
      <c r="D6" s="8" t="str">
        <f t="shared" si="1"/>
        <v>Abrir anúncio ↗</v>
      </c>
      <c r="E6" s="9" t="s">
        <v>4872</v>
      </c>
      <c r="F6" s="3" t="s">
        <v>29</v>
      </c>
      <c r="G6" s="9" t="s">
        <v>3685</v>
      </c>
      <c r="H6" s="9" t="s">
        <v>3917</v>
      </c>
      <c r="I6" s="3"/>
      <c r="J6" s="3"/>
      <c r="K6" s="9"/>
    </row>
    <row r="7">
      <c r="A7" s="10" t="s">
        <v>12</v>
      </c>
      <c r="B7" s="10" t="s">
        <v>359</v>
      </c>
      <c r="C7" s="10" t="s">
        <v>4881</v>
      </c>
      <c r="D7" s="11" t="str">
        <f t="shared" si="1"/>
        <v>Abrir anúncio ↗</v>
      </c>
      <c r="E7" s="12" t="s">
        <v>4884</v>
      </c>
      <c r="F7" s="10" t="s">
        <v>86</v>
      </c>
      <c r="G7" s="12" t="s">
        <v>4886</v>
      </c>
      <c r="H7" s="12" t="s">
        <v>4888</v>
      </c>
      <c r="I7" s="10"/>
      <c r="J7" s="10"/>
      <c r="K7" s="12"/>
    </row>
    <row r="8">
      <c r="A8" s="3" t="s">
        <v>12</v>
      </c>
      <c r="B8" s="3" t="s">
        <v>359</v>
      </c>
      <c r="C8" s="3" t="s">
        <v>4894</v>
      </c>
      <c r="D8" s="8" t="str">
        <f t="shared" si="1"/>
        <v>Abrir anúncio ↗</v>
      </c>
      <c r="E8" s="9" t="s">
        <v>4897</v>
      </c>
      <c r="F8" s="3" t="s">
        <v>86</v>
      </c>
      <c r="G8" s="9" t="s">
        <v>4886</v>
      </c>
      <c r="H8" s="9" t="s">
        <v>4888</v>
      </c>
      <c r="I8" s="3"/>
      <c r="J8" s="3"/>
      <c r="K8" s="9"/>
    </row>
    <row r="9">
      <c r="A9" s="10" t="s">
        <v>12</v>
      </c>
      <c r="B9" s="10" t="s">
        <v>359</v>
      </c>
      <c r="C9" s="10" t="s">
        <v>4905</v>
      </c>
      <c r="D9" s="11" t="str">
        <f t="shared" si="1"/>
        <v>Abrir anúncio ↗</v>
      </c>
      <c r="E9" s="12" t="s">
        <v>4907</v>
      </c>
      <c r="F9" s="10" t="s">
        <v>29</v>
      </c>
      <c r="G9" s="12" t="s">
        <v>4886</v>
      </c>
      <c r="H9" s="12" t="s">
        <v>4911</v>
      </c>
      <c r="I9" s="10"/>
      <c r="J9" s="10"/>
      <c r="K9" s="12"/>
    </row>
    <row r="10">
      <c r="A10" s="3" t="s">
        <v>12</v>
      </c>
      <c r="B10" s="3" t="s">
        <v>359</v>
      </c>
      <c r="C10" s="3" t="s">
        <v>4914</v>
      </c>
      <c r="D10" s="8" t="str">
        <f t="shared" si="1"/>
        <v>Abrir anúncio ↗</v>
      </c>
      <c r="E10" s="9" t="s">
        <v>4917</v>
      </c>
      <c r="F10" s="3" t="s">
        <v>86</v>
      </c>
      <c r="G10" s="9" t="s">
        <v>4921</v>
      </c>
      <c r="H10" s="9" t="s">
        <v>4924</v>
      </c>
      <c r="I10" s="3"/>
      <c r="J10" s="3"/>
      <c r="K10" s="9"/>
    </row>
    <row r="11">
      <c r="A11" s="10" t="s">
        <v>12</v>
      </c>
      <c r="B11" s="10" t="s">
        <v>359</v>
      </c>
      <c r="C11" s="10" t="s">
        <v>4930</v>
      </c>
      <c r="D11" s="11" t="str">
        <f t="shared" si="1"/>
        <v>Abrir anúncio ↗</v>
      </c>
      <c r="E11" s="12" t="s">
        <v>4932</v>
      </c>
      <c r="F11" s="10" t="s">
        <v>86</v>
      </c>
      <c r="G11" s="12" t="s">
        <v>4921</v>
      </c>
      <c r="H11" s="12" t="s">
        <v>4937</v>
      </c>
      <c r="I11" s="10"/>
      <c r="J11" s="10"/>
      <c r="K11" s="12"/>
    </row>
    <row r="12">
      <c r="A12" s="3" t="s">
        <v>12</v>
      </c>
      <c r="B12" s="3" t="s">
        <v>359</v>
      </c>
      <c r="C12" s="3" t="s">
        <v>4942</v>
      </c>
      <c r="D12" s="8" t="str">
        <f t="shared" si="1"/>
        <v>Abrir anúncio ↗</v>
      </c>
      <c r="E12" s="9" t="s">
        <v>4945</v>
      </c>
      <c r="F12" s="3" t="s">
        <v>86</v>
      </c>
      <c r="G12" s="9" t="s">
        <v>4918</v>
      </c>
      <c r="H12" s="9" t="s">
        <v>4919</v>
      </c>
      <c r="I12" s="3"/>
      <c r="J12" s="3"/>
      <c r="K12" s="9"/>
    </row>
    <row r="13">
      <c r="A13" s="10" t="s">
        <v>12</v>
      </c>
      <c r="B13" s="10" t="s">
        <v>359</v>
      </c>
      <c r="C13" s="10" t="s">
        <v>4953</v>
      </c>
      <c r="D13" s="11" t="str">
        <f t="shared" si="1"/>
        <v>Abrir anúncio ↗</v>
      </c>
      <c r="E13" s="12" t="s">
        <v>4957</v>
      </c>
      <c r="F13" s="10" t="s">
        <v>86</v>
      </c>
      <c r="G13" s="12" t="s">
        <v>4918</v>
      </c>
      <c r="H13" s="12" t="s">
        <v>4919</v>
      </c>
      <c r="I13" s="10"/>
      <c r="J13" s="10"/>
      <c r="K13" s="12"/>
    </row>
    <row r="14">
      <c r="A14" s="3" t="s">
        <v>12</v>
      </c>
      <c r="B14" s="3" t="s">
        <v>359</v>
      </c>
      <c r="C14" s="3" t="s">
        <v>4964</v>
      </c>
      <c r="D14" s="8" t="str">
        <f t="shared" si="1"/>
        <v>Abrir anúncio ↗</v>
      </c>
      <c r="E14" s="9" t="s">
        <v>4968</v>
      </c>
      <c r="F14" s="3" t="s">
        <v>86</v>
      </c>
      <c r="G14" s="9" t="s">
        <v>4918</v>
      </c>
      <c r="H14" s="9" t="s">
        <v>4919</v>
      </c>
      <c r="I14" s="3"/>
      <c r="J14" s="3"/>
      <c r="K14" s="9"/>
    </row>
    <row r="15">
      <c r="A15" s="10" t="s">
        <v>12</v>
      </c>
      <c r="B15" s="10" t="s">
        <v>359</v>
      </c>
      <c r="C15" s="10" t="s">
        <v>4977</v>
      </c>
      <c r="D15" s="11" t="str">
        <f t="shared" si="1"/>
        <v>Abrir anúncio ↗</v>
      </c>
      <c r="E15" s="12" t="s">
        <v>4979</v>
      </c>
      <c r="F15" s="10" t="s">
        <v>29</v>
      </c>
      <c r="G15" s="12" t="s">
        <v>4918</v>
      </c>
      <c r="H15" s="12" t="s">
        <v>4919</v>
      </c>
      <c r="I15" s="10"/>
      <c r="J15" s="10"/>
      <c r="K15" s="12"/>
    </row>
    <row r="16">
      <c r="A16" s="3" t="s">
        <v>12</v>
      </c>
      <c r="B16" s="3" t="s">
        <v>359</v>
      </c>
      <c r="C16" s="3" t="s">
        <v>4988</v>
      </c>
      <c r="D16" s="8" t="str">
        <f t="shared" si="1"/>
        <v>Abrir anúncio ↗</v>
      </c>
      <c r="E16" s="9" t="s">
        <v>4990</v>
      </c>
      <c r="F16" s="3" t="s">
        <v>86</v>
      </c>
      <c r="G16" s="9" t="s">
        <v>4918</v>
      </c>
      <c r="H16" s="9" t="s">
        <v>4919</v>
      </c>
      <c r="I16" s="3"/>
      <c r="J16" s="3"/>
      <c r="K16" s="9"/>
    </row>
    <row r="17">
      <c r="A17" s="10" t="s">
        <v>12</v>
      </c>
      <c r="B17" s="10" t="s">
        <v>359</v>
      </c>
      <c r="C17" s="10" t="s">
        <v>4997</v>
      </c>
      <c r="D17" s="11" t="str">
        <f t="shared" si="1"/>
        <v>Abrir anúncio ↗</v>
      </c>
      <c r="E17" s="12" t="s">
        <v>4999</v>
      </c>
      <c r="F17" s="10" t="s">
        <v>86</v>
      </c>
      <c r="G17" s="12" t="s">
        <v>4918</v>
      </c>
      <c r="H17" s="12" t="s">
        <v>4919</v>
      </c>
      <c r="I17" s="10"/>
      <c r="J17" s="10"/>
      <c r="K17" s="12"/>
    </row>
    <row r="18">
      <c r="A18" s="3" t="s">
        <v>12</v>
      </c>
      <c r="B18" s="3" t="s">
        <v>359</v>
      </c>
      <c r="C18" s="3" t="s">
        <v>5003</v>
      </c>
      <c r="D18" s="8" t="str">
        <f t="shared" si="1"/>
        <v>Abrir anúncio ↗</v>
      </c>
      <c r="E18" s="9" t="s">
        <v>5006</v>
      </c>
      <c r="F18" s="3" t="s">
        <v>86</v>
      </c>
      <c r="G18" s="9" t="s">
        <v>4918</v>
      </c>
      <c r="H18" s="9" t="s">
        <v>4919</v>
      </c>
      <c r="I18" s="3"/>
      <c r="J18" s="3"/>
      <c r="K18" s="9"/>
    </row>
    <row r="19">
      <c r="A19" s="10" t="s">
        <v>12</v>
      </c>
      <c r="B19" s="10" t="s">
        <v>359</v>
      </c>
      <c r="C19" s="10" t="s">
        <v>5016</v>
      </c>
      <c r="D19" s="11" t="str">
        <f t="shared" si="1"/>
        <v>Abrir anúncio ↗</v>
      </c>
      <c r="E19" s="12" t="s">
        <v>5017</v>
      </c>
      <c r="F19" s="10" t="s">
        <v>86</v>
      </c>
      <c r="G19" s="12" t="s">
        <v>4918</v>
      </c>
      <c r="H19" s="12" t="s">
        <v>4919</v>
      </c>
      <c r="I19" s="10"/>
      <c r="J19" s="10"/>
      <c r="K19" s="12"/>
    </row>
    <row r="20">
      <c r="A20" s="3" t="s">
        <v>12</v>
      </c>
      <c r="B20" s="3" t="s">
        <v>359</v>
      </c>
      <c r="C20" s="3" t="s">
        <v>5024</v>
      </c>
      <c r="D20" s="8" t="str">
        <f t="shared" si="1"/>
        <v>Abrir anúncio ↗</v>
      </c>
      <c r="E20" s="9" t="s">
        <v>5027</v>
      </c>
      <c r="F20" s="3" t="s">
        <v>86</v>
      </c>
      <c r="G20" s="9" t="s">
        <v>4918</v>
      </c>
      <c r="H20" s="9" t="s">
        <v>4919</v>
      </c>
      <c r="I20" s="3"/>
      <c r="J20" s="3"/>
      <c r="K20" s="9"/>
    </row>
    <row r="21" ht="15.75" customHeight="1">
      <c r="A21" s="10" t="s">
        <v>12</v>
      </c>
      <c r="B21" s="10" t="s">
        <v>359</v>
      </c>
      <c r="C21" s="10" t="s">
        <v>5036</v>
      </c>
      <c r="D21" s="11" t="str">
        <f t="shared" si="1"/>
        <v>Abrir anúncio ↗</v>
      </c>
      <c r="E21" s="12" t="s">
        <v>5037</v>
      </c>
      <c r="F21" s="10" t="s">
        <v>86</v>
      </c>
      <c r="G21" s="12" t="s">
        <v>4918</v>
      </c>
      <c r="H21" s="12" t="s">
        <v>4919</v>
      </c>
      <c r="I21" s="10"/>
      <c r="J21" s="10"/>
      <c r="K21" s="12"/>
    </row>
    <row r="22" ht="15.75" customHeight="1">
      <c r="A22" s="3" t="s">
        <v>12</v>
      </c>
      <c r="B22" s="3" t="s">
        <v>359</v>
      </c>
      <c r="C22" s="3" t="s">
        <v>5043</v>
      </c>
      <c r="D22" s="8" t="str">
        <f t="shared" si="1"/>
        <v>Abrir anúncio ↗</v>
      </c>
      <c r="E22" s="9" t="s">
        <v>5047</v>
      </c>
      <c r="F22" s="3" t="s">
        <v>86</v>
      </c>
      <c r="G22" s="9" t="s">
        <v>4918</v>
      </c>
      <c r="H22" s="9" t="s">
        <v>4919</v>
      </c>
      <c r="I22" s="3"/>
      <c r="J22" s="3"/>
      <c r="K22" s="9"/>
    </row>
    <row r="23" ht="15.75" customHeight="1">
      <c r="A23" s="10" t="s">
        <v>12</v>
      </c>
      <c r="B23" s="10" t="s">
        <v>359</v>
      </c>
      <c r="C23" s="10" t="s">
        <v>5049</v>
      </c>
      <c r="D23" s="11" t="str">
        <f t="shared" si="1"/>
        <v>Abrir anúncio ↗</v>
      </c>
      <c r="E23" s="12" t="s">
        <v>5050</v>
      </c>
      <c r="F23" s="10" t="s">
        <v>86</v>
      </c>
      <c r="G23" s="12" t="s">
        <v>4918</v>
      </c>
      <c r="H23" s="12" t="s">
        <v>4919</v>
      </c>
      <c r="I23" s="10"/>
      <c r="J23" s="10"/>
      <c r="K23" s="12"/>
    </row>
    <row r="24" ht="15.75" customHeight="1">
      <c r="A24" s="3" t="s">
        <v>12</v>
      </c>
      <c r="B24" s="3" t="s">
        <v>359</v>
      </c>
      <c r="C24" s="3" t="s">
        <v>5059</v>
      </c>
      <c r="D24" s="8" t="str">
        <f t="shared" si="1"/>
        <v>Abrir anúncio ↗</v>
      </c>
      <c r="E24" s="9" t="s">
        <v>5061</v>
      </c>
      <c r="F24" s="3" t="s">
        <v>86</v>
      </c>
      <c r="G24" s="9" t="s">
        <v>4918</v>
      </c>
      <c r="H24" s="9" t="s">
        <v>4919</v>
      </c>
      <c r="I24" s="3"/>
      <c r="J24" s="3"/>
      <c r="K24" s="9"/>
    </row>
    <row r="25" ht="15.75" customHeight="1">
      <c r="A25" s="10" t="s">
        <v>12</v>
      </c>
      <c r="B25" s="10" t="s">
        <v>359</v>
      </c>
      <c r="C25" s="10" t="s">
        <v>5068</v>
      </c>
      <c r="D25" s="11" t="str">
        <f t="shared" si="1"/>
        <v>Abrir anúncio ↗</v>
      </c>
      <c r="E25" s="12" t="s">
        <v>5070</v>
      </c>
      <c r="F25" s="10" t="s">
        <v>86</v>
      </c>
      <c r="G25" s="12" t="s">
        <v>4918</v>
      </c>
      <c r="H25" s="12" t="s">
        <v>4919</v>
      </c>
      <c r="I25" s="10"/>
      <c r="J25" s="10"/>
      <c r="K25" s="12"/>
    </row>
    <row r="26" ht="15.75" customHeight="1">
      <c r="A26" s="3" t="s">
        <v>12</v>
      </c>
      <c r="B26" s="3" t="s">
        <v>359</v>
      </c>
      <c r="C26" s="3" t="s">
        <v>5077</v>
      </c>
      <c r="D26" s="8" t="str">
        <f t="shared" si="1"/>
        <v>Abrir anúncio ↗</v>
      </c>
      <c r="E26" s="9" t="s">
        <v>5079</v>
      </c>
      <c r="F26" s="3" t="s">
        <v>86</v>
      </c>
      <c r="G26" s="9" t="s">
        <v>4918</v>
      </c>
      <c r="H26" s="9" t="s">
        <v>4919</v>
      </c>
      <c r="I26" s="3"/>
      <c r="J26" s="3"/>
      <c r="K26" s="9"/>
    </row>
    <row r="27" ht="15.75" customHeight="1">
      <c r="A27" s="10" t="s">
        <v>12</v>
      </c>
      <c r="B27" s="10" t="s">
        <v>359</v>
      </c>
      <c r="C27" s="10" t="s">
        <v>5087</v>
      </c>
      <c r="D27" s="11" t="str">
        <f t="shared" si="1"/>
        <v>Abrir anúncio ↗</v>
      </c>
      <c r="E27" s="12" t="s">
        <v>5089</v>
      </c>
      <c r="F27" s="10" t="s">
        <v>86</v>
      </c>
      <c r="G27" s="12" t="s">
        <v>4918</v>
      </c>
      <c r="H27" s="12" t="s">
        <v>4919</v>
      </c>
      <c r="I27" s="10"/>
      <c r="J27" s="10"/>
      <c r="K27" s="12"/>
    </row>
    <row r="28" ht="15.75" customHeight="1">
      <c r="A28" s="3" t="s">
        <v>12</v>
      </c>
      <c r="B28" s="3" t="s">
        <v>359</v>
      </c>
      <c r="C28" s="3" t="s">
        <v>5095</v>
      </c>
      <c r="D28" s="8" t="str">
        <f t="shared" si="1"/>
        <v>Abrir anúncio ↗</v>
      </c>
      <c r="E28" s="9" t="s">
        <v>5098</v>
      </c>
      <c r="F28" s="3" t="s">
        <v>86</v>
      </c>
      <c r="G28" s="9" t="s">
        <v>4918</v>
      </c>
      <c r="H28" s="9" t="s">
        <v>4919</v>
      </c>
      <c r="I28" s="3"/>
      <c r="J28" s="3"/>
      <c r="K28" s="9"/>
    </row>
    <row r="29" ht="15.75" customHeight="1">
      <c r="A29" s="10" t="s">
        <v>12</v>
      </c>
      <c r="B29" s="10" t="s">
        <v>359</v>
      </c>
      <c r="C29" s="10" t="s">
        <v>5105</v>
      </c>
      <c r="D29" s="11" t="str">
        <f t="shared" si="1"/>
        <v>Abrir anúncio ↗</v>
      </c>
      <c r="E29" s="12" t="s">
        <v>5108</v>
      </c>
      <c r="F29" s="10" t="s">
        <v>86</v>
      </c>
      <c r="G29" s="12" t="s">
        <v>4918</v>
      </c>
      <c r="H29" s="12" t="s">
        <v>4919</v>
      </c>
      <c r="I29" s="10"/>
      <c r="J29" s="10"/>
      <c r="K29" s="12"/>
    </row>
    <row r="30" ht="15.75" customHeight="1">
      <c r="A30" s="3" t="s">
        <v>12</v>
      </c>
      <c r="B30" s="3" t="s">
        <v>359</v>
      </c>
      <c r="C30" s="3" t="s">
        <v>5119</v>
      </c>
      <c r="D30" s="8" t="str">
        <f t="shared" si="1"/>
        <v>Abrir anúncio ↗</v>
      </c>
      <c r="E30" s="9" t="s">
        <v>5120</v>
      </c>
      <c r="F30" s="3" t="s">
        <v>86</v>
      </c>
      <c r="G30" s="9" t="s">
        <v>4918</v>
      </c>
      <c r="H30" s="9" t="s">
        <v>4919</v>
      </c>
      <c r="I30" s="3"/>
      <c r="J30" s="3"/>
      <c r="K30" s="9"/>
    </row>
    <row r="31" ht="15.75" customHeight="1">
      <c r="A31" s="10" t="s">
        <v>12</v>
      </c>
      <c r="B31" s="10" t="s">
        <v>359</v>
      </c>
      <c r="C31" s="10" t="s">
        <v>5127</v>
      </c>
      <c r="D31" s="11" t="str">
        <f t="shared" si="1"/>
        <v>Abrir anúncio ↗</v>
      </c>
      <c r="E31" s="12" t="s">
        <v>5130</v>
      </c>
      <c r="F31" s="10" t="s">
        <v>86</v>
      </c>
      <c r="G31" s="12" t="s">
        <v>4918</v>
      </c>
      <c r="H31" s="12" t="s">
        <v>4919</v>
      </c>
      <c r="I31" s="10"/>
      <c r="J31" s="10"/>
      <c r="K31" s="12"/>
    </row>
    <row r="32" ht="15.75" customHeight="1">
      <c r="A32" s="3" t="s">
        <v>12</v>
      </c>
      <c r="B32" s="3" t="s">
        <v>359</v>
      </c>
      <c r="C32" s="3" t="s">
        <v>5137</v>
      </c>
      <c r="D32" s="8" t="str">
        <f t="shared" si="1"/>
        <v>Abrir anúncio ↗</v>
      </c>
      <c r="E32" s="9" t="s">
        <v>5138</v>
      </c>
      <c r="F32" s="3" t="s">
        <v>86</v>
      </c>
      <c r="G32" s="9" t="s">
        <v>4918</v>
      </c>
      <c r="H32" s="9" t="s">
        <v>4919</v>
      </c>
      <c r="I32" s="3"/>
      <c r="J32" s="3"/>
      <c r="K32" s="9"/>
    </row>
    <row r="33" ht="15.75" customHeight="1">
      <c r="A33" s="10" t="s">
        <v>12</v>
      </c>
      <c r="B33" s="10" t="s">
        <v>359</v>
      </c>
      <c r="C33" s="10" t="s">
        <v>5146</v>
      </c>
      <c r="D33" s="11" t="str">
        <f t="shared" si="1"/>
        <v>Abrir anúncio ↗</v>
      </c>
      <c r="E33" s="12" t="s">
        <v>5148</v>
      </c>
      <c r="F33" s="10" t="s">
        <v>86</v>
      </c>
      <c r="G33" s="12" t="s">
        <v>4918</v>
      </c>
      <c r="H33" s="12" t="s">
        <v>4919</v>
      </c>
      <c r="I33" s="10"/>
      <c r="J33" s="10"/>
      <c r="K33" s="12"/>
    </row>
    <row r="34" ht="15.75" customHeight="1">
      <c r="A34" s="3" t="s">
        <v>12</v>
      </c>
      <c r="B34" s="3" t="s">
        <v>359</v>
      </c>
      <c r="C34" s="3" t="s">
        <v>5154</v>
      </c>
      <c r="D34" s="8" t="str">
        <f t="shared" si="1"/>
        <v>Abrir anúncio ↗</v>
      </c>
      <c r="E34" s="9" t="s">
        <v>5158</v>
      </c>
      <c r="F34" s="3" t="s">
        <v>86</v>
      </c>
      <c r="G34" s="9" t="s">
        <v>4918</v>
      </c>
      <c r="H34" s="9" t="s">
        <v>4919</v>
      </c>
      <c r="I34" s="3"/>
      <c r="J34" s="3"/>
      <c r="K34" s="9"/>
    </row>
    <row r="35" ht="15.75" customHeight="1">
      <c r="A35" s="10" t="s">
        <v>12</v>
      </c>
      <c r="B35" s="10" t="s">
        <v>359</v>
      </c>
      <c r="C35" s="10" t="s">
        <v>5170</v>
      </c>
      <c r="D35" s="11" t="str">
        <f t="shared" si="1"/>
        <v>Abrir anúncio ↗</v>
      </c>
      <c r="E35" s="12" t="s">
        <v>5172</v>
      </c>
      <c r="F35" s="10" t="s">
        <v>86</v>
      </c>
      <c r="G35" s="12" t="s">
        <v>4918</v>
      </c>
      <c r="H35" s="12" t="s">
        <v>4919</v>
      </c>
      <c r="I35" s="10"/>
      <c r="J35" s="10"/>
      <c r="K35" s="12"/>
    </row>
    <row r="36" ht="15.75" customHeight="1">
      <c r="A36" s="3" t="s">
        <v>12</v>
      </c>
      <c r="B36" s="3" t="s">
        <v>359</v>
      </c>
      <c r="C36" s="3" t="s">
        <v>5182</v>
      </c>
      <c r="D36" s="8" t="str">
        <f t="shared" si="1"/>
        <v>Abrir anúncio ↗</v>
      </c>
      <c r="E36" s="9" t="s">
        <v>5186</v>
      </c>
      <c r="F36" s="3" t="s">
        <v>86</v>
      </c>
      <c r="G36" s="9" t="s">
        <v>4918</v>
      </c>
      <c r="H36" s="9" t="s">
        <v>4919</v>
      </c>
      <c r="I36" s="3"/>
      <c r="J36" s="3"/>
      <c r="K36" s="9"/>
    </row>
    <row r="37" ht="15.75" customHeight="1">
      <c r="A37" s="10" t="s">
        <v>12</v>
      </c>
      <c r="B37" s="10" t="s">
        <v>359</v>
      </c>
      <c r="C37" s="10" t="s">
        <v>5193</v>
      </c>
      <c r="D37" s="11" t="str">
        <f t="shared" si="1"/>
        <v>Abrir anúncio ↗</v>
      </c>
      <c r="E37" s="12" t="s">
        <v>5196</v>
      </c>
      <c r="F37" s="10" t="s">
        <v>86</v>
      </c>
      <c r="G37" s="12" t="s">
        <v>4918</v>
      </c>
      <c r="H37" s="12" t="s">
        <v>4919</v>
      </c>
      <c r="I37" s="10"/>
      <c r="J37" s="10"/>
      <c r="K37" s="12"/>
    </row>
    <row r="38" ht="15.75" customHeight="1">
      <c r="A38" s="3" t="s">
        <v>12</v>
      </c>
      <c r="B38" s="3" t="s">
        <v>359</v>
      </c>
      <c r="C38" s="3" t="s">
        <v>5210</v>
      </c>
      <c r="D38" s="8" t="str">
        <f t="shared" si="1"/>
        <v>Abrir anúncio ↗</v>
      </c>
      <c r="E38" s="9" t="s">
        <v>5212</v>
      </c>
      <c r="F38" s="3" t="s">
        <v>86</v>
      </c>
      <c r="G38" s="9" t="s">
        <v>4918</v>
      </c>
      <c r="H38" s="9" t="s">
        <v>4919</v>
      </c>
      <c r="I38" s="3"/>
      <c r="J38" s="3"/>
      <c r="K38" s="9"/>
    </row>
    <row r="39" ht="15.75" customHeight="1">
      <c r="A39" s="10" t="s">
        <v>12</v>
      </c>
      <c r="B39" s="10" t="s">
        <v>359</v>
      </c>
      <c r="C39" s="10" t="s">
        <v>5218</v>
      </c>
      <c r="D39" s="11" t="str">
        <f t="shared" si="1"/>
        <v>Abrir anúncio ↗</v>
      </c>
      <c r="E39" s="12" t="s">
        <v>5221</v>
      </c>
      <c r="F39" s="10" t="s">
        <v>86</v>
      </c>
      <c r="G39" s="12" t="s">
        <v>4918</v>
      </c>
      <c r="H39" s="12" t="s">
        <v>4919</v>
      </c>
      <c r="I39" s="10"/>
      <c r="J39" s="10"/>
      <c r="K39" s="12"/>
    </row>
    <row r="40" ht="15.75" customHeight="1">
      <c r="A40" s="3" t="s">
        <v>12</v>
      </c>
      <c r="B40" s="3" t="s">
        <v>359</v>
      </c>
      <c r="C40" s="3" t="s">
        <v>5227</v>
      </c>
      <c r="D40" s="8" t="str">
        <f t="shared" si="1"/>
        <v>Abrir anúncio ↗</v>
      </c>
      <c r="E40" s="9" t="s">
        <v>5228</v>
      </c>
      <c r="F40" s="3" t="s">
        <v>29</v>
      </c>
      <c r="G40" s="9" t="s">
        <v>4918</v>
      </c>
      <c r="H40" s="9" t="s">
        <v>4919</v>
      </c>
      <c r="I40" s="3"/>
      <c r="J40" s="3"/>
      <c r="K40" s="9"/>
    </row>
    <row r="41" ht="15.75" customHeight="1">
      <c r="A41" s="10" t="s">
        <v>12</v>
      </c>
      <c r="B41" s="10" t="s">
        <v>359</v>
      </c>
      <c r="C41" s="10" t="s">
        <v>5236</v>
      </c>
      <c r="D41" s="11" t="str">
        <f t="shared" si="1"/>
        <v>Abrir anúncio ↗</v>
      </c>
      <c r="E41" s="12" t="s">
        <v>5238</v>
      </c>
      <c r="F41" s="10" t="s">
        <v>29</v>
      </c>
      <c r="G41" s="12" t="s">
        <v>4918</v>
      </c>
      <c r="H41" s="12" t="s">
        <v>4919</v>
      </c>
      <c r="I41" s="10"/>
      <c r="J41" s="10"/>
      <c r="K41" s="12"/>
    </row>
    <row r="42" ht="15.75" customHeight="1">
      <c r="A42" s="3" t="s">
        <v>12</v>
      </c>
      <c r="B42" s="3" t="s">
        <v>359</v>
      </c>
      <c r="C42" s="3" t="s">
        <v>5247</v>
      </c>
      <c r="D42" s="8" t="str">
        <f t="shared" si="1"/>
        <v>Abrir anúncio ↗</v>
      </c>
      <c r="E42" s="9" t="s">
        <v>5248</v>
      </c>
      <c r="F42" s="3" t="s">
        <v>86</v>
      </c>
      <c r="G42" s="9" t="s">
        <v>4918</v>
      </c>
      <c r="H42" s="9" t="s">
        <v>4919</v>
      </c>
      <c r="I42" s="3"/>
      <c r="J42" s="3"/>
      <c r="K42" s="9"/>
    </row>
    <row r="43" ht="15.75" customHeight="1">
      <c r="A43" s="10" t="s">
        <v>12</v>
      </c>
      <c r="B43" s="10" t="s">
        <v>359</v>
      </c>
      <c r="C43" s="10" t="s">
        <v>5256</v>
      </c>
      <c r="D43" s="11" t="str">
        <f t="shared" si="1"/>
        <v>Abrir anúncio ↗</v>
      </c>
      <c r="E43" s="12" t="s">
        <v>5258</v>
      </c>
      <c r="F43" s="10" t="s">
        <v>29</v>
      </c>
      <c r="G43" s="12" t="s">
        <v>4918</v>
      </c>
      <c r="H43" s="12" t="s">
        <v>4919</v>
      </c>
      <c r="I43" s="10"/>
      <c r="J43" s="10"/>
      <c r="K43" s="12"/>
    </row>
    <row r="44" ht="15.75" customHeight="1">
      <c r="A44" s="3" t="s">
        <v>12</v>
      </c>
      <c r="B44" s="3" t="s">
        <v>359</v>
      </c>
      <c r="C44" s="3" t="s">
        <v>5266</v>
      </c>
      <c r="D44" s="8" t="str">
        <f t="shared" si="1"/>
        <v>Abrir anúncio ↗</v>
      </c>
      <c r="E44" s="9" t="s">
        <v>5267</v>
      </c>
      <c r="F44" s="3" t="s">
        <v>86</v>
      </c>
      <c r="G44" s="9" t="s">
        <v>4921</v>
      </c>
      <c r="H44" s="9" t="s">
        <v>5271</v>
      </c>
      <c r="I44" s="3"/>
      <c r="J44" s="3"/>
      <c r="K44" s="9"/>
    </row>
    <row r="45" ht="15.75" customHeight="1">
      <c r="A45" s="10" t="s">
        <v>12</v>
      </c>
      <c r="B45" s="10" t="s">
        <v>359</v>
      </c>
      <c r="C45" s="10" t="s">
        <v>5276</v>
      </c>
      <c r="D45" s="11" t="str">
        <f t="shared" si="1"/>
        <v>Abrir anúncio ↗</v>
      </c>
      <c r="E45" s="12" t="s">
        <v>5278</v>
      </c>
      <c r="F45" s="10" t="s">
        <v>86</v>
      </c>
      <c r="G45" s="12" t="s">
        <v>4921</v>
      </c>
      <c r="H45" s="12" t="s">
        <v>4888</v>
      </c>
      <c r="I45" s="10"/>
      <c r="J45" s="10"/>
      <c r="K45" s="12"/>
    </row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45"/>
  <conditionalFormatting sqref="A2:A45">
    <cfRule type="expression" dxfId="0" priority="1">
      <formula>$A2="Não verificado"</formula>
    </cfRule>
  </conditionalFormatting>
  <conditionalFormatting sqref="A2:A45">
    <cfRule type="expression" dxfId="1" priority="2">
      <formula>$A2="Em andamento"</formula>
    </cfRule>
  </conditionalFormatting>
  <conditionalFormatting sqref="A2:A45">
    <cfRule type="expression" dxfId="2" priority="3">
      <formula>$A2="Corrigido"</formula>
    </cfRule>
  </conditionalFormatting>
  <conditionalFormatting sqref="A2:A45">
    <cfRule type="expression" dxfId="3" priority="4">
      <formula>$A2="Não se aplica"</formula>
    </cfRule>
  </conditionalFormatting>
  <conditionalFormatting sqref="B2:B45">
    <cfRule type="expression" dxfId="4" priority="5">
      <formula>$B2="Crítico"</formula>
    </cfRule>
  </conditionalFormatting>
  <conditionalFormatting sqref="B2:B45">
    <cfRule type="expression" dxfId="5" priority="6">
      <formula>$B2="Alto"</formula>
    </cfRule>
  </conditionalFormatting>
  <conditionalFormatting sqref="B2:B45">
    <cfRule type="expression" dxfId="6" priority="7">
      <formula>$B2="Médio"</formula>
    </cfRule>
  </conditionalFormatting>
  <conditionalFormatting sqref="B2:B45">
    <cfRule type="expression" dxfId="7" priority="8">
      <formula>$B2="Baixo"</formula>
    </cfRule>
  </conditionalFormatting>
  <conditionalFormatting sqref="E2:K45">
    <cfRule type="expression" dxfId="8" priority="9">
      <formula>$A2="Corrigido"</formula>
    </cfRule>
  </conditionalFormatting>
  <dataValidations>
    <dataValidation type="list" allowBlank="1" sqref="A2:A45">
      <formula1>"Não verificado,Em andamento,Corrigido,Não se aplica"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0"/>
    <col customWidth="1" min="2" max="2" width="12.0"/>
    <col customWidth="1" min="3" max="3" width="16.0"/>
    <col customWidth="1" min="4" max="4" width="14.0"/>
    <col customWidth="1" min="5" max="5" width="45.0"/>
    <col customWidth="1" min="6" max="6" width="13.0"/>
    <col customWidth="1" min="7" max="7" width="45.0"/>
    <col customWidth="1" min="8" max="8" width="55.0"/>
    <col customWidth="1" min="9" max="9" width="16.0"/>
    <col customWidth="1" min="10" max="10" width="12.0"/>
    <col customWidth="1" min="11" max="11" width="30.0"/>
    <col customWidth="1" min="12" max="26" width="8.71"/>
  </cols>
  <sheetData>
    <row r="1" ht="33.75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>
      <c r="A2" s="3" t="s">
        <v>12</v>
      </c>
      <c r="B2" s="3" t="s">
        <v>82</v>
      </c>
      <c r="C2" s="3" t="s">
        <v>5390</v>
      </c>
      <c r="D2" s="8" t="str">
        <f t="shared" ref="D2:D56" si="1">HYPERLINK("https://www.mercadolivre.com.br/anuncios?page=1&amp;sort=DEFAULT&amp;search="&amp;C2,"Abrir anúncio ↗")</f>
        <v>Abrir anúncio ↗</v>
      </c>
      <c r="E2" s="9" t="s">
        <v>5394</v>
      </c>
      <c r="F2" s="3" t="s">
        <v>86</v>
      </c>
      <c r="G2" s="9" t="s">
        <v>492</v>
      </c>
      <c r="H2" s="9" t="s">
        <v>3499</v>
      </c>
      <c r="I2" s="3"/>
      <c r="J2" s="3"/>
      <c r="K2" s="9"/>
    </row>
    <row r="3">
      <c r="A3" s="10" t="s">
        <v>12</v>
      </c>
      <c r="B3" s="10" t="s">
        <v>82</v>
      </c>
      <c r="C3" s="10" t="s">
        <v>5400</v>
      </c>
      <c r="D3" s="11" t="str">
        <f t="shared" si="1"/>
        <v>Abrir anúncio ↗</v>
      </c>
      <c r="E3" s="12" t="s">
        <v>5403</v>
      </c>
      <c r="F3" s="10" t="s">
        <v>86</v>
      </c>
      <c r="G3" s="12" t="s">
        <v>492</v>
      </c>
      <c r="H3" s="12" t="s">
        <v>3499</v>
      </c>
      <c r="I3" s="10"/>
      <c r="J3" s="10"/>
      <c r="K3" s="12"/>
    </row>
    <row r="4">
      <c r="A4" s="3" t="s">
        <v>12</v>
      </c>
      <c r="B4" s="3" t="s">
        <v>82</v>
      </c>
      <c r="C4" s="3" t="s">
        <v>5409</v>
      </c>
      <c r="D4" s="8" t="str">
        <f t="shared" si="1"/>
        <v>Abrir anúncio ↗</v>
      </c>
      <c r="E4" s="9" t="s">
        <v>5411</v>
      </c>
      <c r="F4" s="3" t="s">
        <v>86</v>
      </c>
      <c r="G4" s="9" t="s">
        <v>492</v>
      </c>
      <c r="H4" s="9" t="s">
        <v>3499</v>
      </c>
      <c r="I4" s="3"/>
      <c r="J4" s="3"/>
      <c r="K4" s="9"/>
    </row>
    <row r="5">
      <c r="A5" s="10" t="s">
        <v>12</v>
      </c>
      <c r="B5" s="10" t="s">
        <v>82</v>
      </c>
      <c r="C5" s="10" t="s">
        <v>5418</v>
      </c>
      <c r="D5" s="11" t="str">
        <f t="shared" si="1"/>
        <v>Abrir anúncio ↗</v>
      </c>
      <c r="E5" s="12" t="s">
        <v>5421</v>
      </c>
      <c r="F5" s="10" t="s">
        <v>86</v>
      </c>
      <c r="G5" s="12" t="s">
        <v>492</v>
      </c>
      <c r="H5" s="12" t="s">
        <v>3499</v>
      </c>
      <c r="I5" s="10"/>
      <c r="J5" s="10"/>
      <c r="K5" s="12"/>
    </row>
    <row r="6">
      <c r="A6" s="3" t="s">
        <v>12</v>
      </c>
      <c r="B6" s="3" t="s">
        <v>82</v>
      </c>
      <c r="C6" s="3" t="s">
        <v>5429</v>
      </c>
      <c r="D6" s="8" t="str">
        <f t="shared" si="1"/>
        <v>Abrir anúncio ↗</v>
      </c>
      <c r="E6" s="9" t="s">
        <v>5430</v>
      </c>
      <c r="F6" s="3" t="s">
        <v>86</v>
      </c>
      <c r="G6" s="9" t="s">
        <v>3788</v>
      </c>
      <c r="H6" s="9" t="s">
        <v>3884</v>
      </c>
      <c r="I6" s="3"/>
      <c r="J6" s="3"/>
      <c r="K6" s="9"/>
    </row>
    <row r="7">
      <c r="A7" s="10" t="s">
        <v>12</v>
      </c>
      <c r="B7" s="10" t="s">
        <v>82</v>
      </c>
      <c r="C7" s="10" t="s">
        <v>5439</v>
      </c>
      <c r="D7" s="11" t="str">
        <f t="shared" si="1"/>
        <v>Abrir anúncio ↗</v>
      </c>
      <c r="E7" s="12" t="s">
        <v>5440</v>
      </c>
      <c r="F7" s="10" t="s">
        <v>86</v>
      </c>
      <c r="G7" s="12" t="s">
        <v>3788</v>
      </c>
      <c r="H7" s="12" t="s">
        <v>3884</v>
      </c>
      <c r="I7" s="10"/>
      <c r="J7" s="10"/>
      <c r="K7" s="12"/>
    </row>
    <row r="8">
      <c r="A8" s="3" t="s">
        <v>12</v>
      </c>
      <c r="B8" s="3" t="s">
        <v>82</v>
      </c>
      <c r="C8" s="3" t="s">
        <v>5449</v>
      </c>
      <c r="D8" s="8" t="str">
        <f t="shared" si="1"/>
        <v>Abrir anúncio ↗</v>
      </c>
      <c r="E8" s="9" t="s">
        <v>5452</v>
      </c>
      <c r="F8" s="3" t="s">
        <v>86</v>
      </c>
      <c r="G8" s="9" t="s">
        <v>3788</v>
      </c>
      <c r="H8" s="9" t="s">
        <v>3884</v>
      </c>
      <c r="I8" s="3"/>
      <c r="J8" s="3"/>
      <c r="K8" s="9"/>
    </row>
    <row r="9">
      <c r="A9" s="10" t="s">
        <v>12</v>
      </c>
      <c r="B9" s="10" t="s">
        <v>82</v>
      </c>
      <c r="C9" s="10" t="s">
        <v>5461</v>
      </c>
      <c r="D9" s="11" t="str">
        <f t="shared" si="1"/>
        <v>Abrir anúncio ↗</v>
      </c>
      <c r="E9" s="12" t="s">
        <v>5462</v>
      </c>
      <c r="F9" s="10" t="s">
        <v>86</v>
      </c>
      <c r="G9" s="12" t="s">
        <v>3788</v>
      </c>
      <c r="H9" s="12" t="s">
        <v>3884</v>
      </c>
      <c r="I9" s="10"/>
      <c r="J9" s="10"/>
      <c r="K9" s="12"/>
    </row>
    <row r="10">
      <c r="A10" s="3" t="s">
        <v>12</v>
      </c>
      <c r="B10" s="3" t="s">
        <v>82</v>
      </c>
      <c r="C10" s="3" t="s">
        <v>5471</v>
      </c>
      <c r="D10" s="8" t="str">
        <f t="shared" si="1"/>
        <v>Abrir anúncio ↗</v>
      </c>
      <c r="E10" s="9" t="s">
        <v>5472</v>
      </c>
      <c r="F10" s="3" t="s">
        <v>86</v>
      </c>
      <c r="G10" s="9" t="s">
        <v>3788</v>
      </c>
      <c r="H10" s="9" t="s">
        <v>3884</v>
      </c>
      <c r="I10" s="3"/>
      <c r="J10" s="3"/>
      <c r="K10" s="9"/>
    </row>
    <row r="11">
      <c r="A11" s="10" t="s">
        <v>12</v>
      </c>
      <c r="B11" s="10" t="s">
        <v>82</v>
      </c>
      <c r="C11" s="10" t="s">
        <v>5481</v>
      </c>
      <c r="D11" s="11" t="str">
        <f t="shared" si="1"/>
        <v>Abrir anúncio ↗</v>
      </c>
      <c r="E11" s="12" t="s">
        <v>5482</v>
      </c>
      <c r="F11" s="10" t="s">
        <v>86</v>
      </c>
      <c r="G11" s="12" t="s">
        <v>3788</v>
      </c>
      <c r="H11" s="12" t="s">
        <v>3884</v>
      </c>
      <c r="I11" s="10"/>
      <c r="J11" s="10"/>
      <c r="K11" s="12"/>
    </row>
    <row r="12">
      <c r="A12" s="3" t="s">
        <v>12</v>
      </c>
      <c r="B12" s="3" t="s">
        <v>82</v>
      </c>
      <c r="C12" s="3" t="s">
        <v>5491</v>
      </c>
      <c r="D12" s="8" t="str">
        <f t="shared" si="1"/>
        <v>Abrir anúncio ↗</v>
      </c>
      <c r="E12" s="9" t="s">
        <v>5492</v>
      </c>
      <c r="F12" s="3" t="s">
        <v>86</v>
      </c>
      <c r="G12" s="9" t="s">
        <v>3788</v>
      </c>
      <c r="H12" s="9" t="s">
        <v>3884</v>
      </c>
      <c r="I12" s="3"/>
      <c r="J12" s="3"/>
      <c r="K12" s="9"/>
    </row>
    <row r="13">
      <c r="A13" s="10" t="s">
        <v>12</v>
      </c>
      <c r="B13" s="10" t="s">
        <v>82</v>
      </c>
      <c r="C13" s="10" t="s">
        <v>5502</v>
      </c>
      <c r="D13" s="11" t="str">
        <f t="shared" si="1"/>
        <v>Abrir anúncio ↗</v>
      </c>
      <c r="E13" s="12" t="s">
        <v>5503</v>
      </c>
      <c r="F13" s="10" t="s">
        <v>86</v>
      </c>
      <c r="G13" s="12" t="s">
        <v>3788</v>
      </c>
      <c r="H13" s="12" t="s">
        <v>3884</v>
      </c>
      <c r="I13" s="10"/>
      <c r="J13" s="10"/>
      <c r="K13" s="12"/>
    </row>
    <row r="14">
      <c r="A14" s="3" t="s">
        <v>12</v>
      </c>
      <c r="B14" s="3" t="s">
        <v>82</v>
      </c>
      <c r="C14" s="3" t="s">
        <v>5513</v>
      </c>
      <c r="D14" s="8" t="str">
        <f t="shared" si="1"/>
        <v>Abrir anúncio ↗</v>
      </c>
      <c r="E14" s="9" t="s">
        <v>5518</v>
      </c>
      <c r="F14" s="3" t="s">
        <v>86</v>
      </c>
      <c r="G14" s="9" t="s">
        <v>3788</v>
      </c>
      <c r="H14" s="9" t="s">
        <v>3884</v>
      </c>
      <c r="I14" s="3"/>
      <c r="J14" s="3"/>
      <c r="K14" s="9"/>
    </row>
    <row r="15">
      <c r="A15" s="10" t="s">
        <v>12</v>
      </c>
      <c r="B15" s="10" t="s">
        <v>82</v>
      </c>
      <c r="C15" s="10" t="s">
        <v>5525</v>
      </c>
      <c r="D15" s="11" t="str">
        <f t="shared" si="1"/>
        <v>Abrir anúncio ↗</v>
      </c>
      <c r="E15" s="12" t="s">
        <v>5529</v>
      </c>
      <c r="F15" s="10" t="s">
        <v>86</v>
      </c>
      <c r="G15" s="12" t="s">
        <v>99</v>
      </c>
      <c r="H15" s="12" t="s">
        <v>560</v>
      </c>
      <c r="I15" s="10"/>
      <c r="J15" s="10"/>
      <c r="K15" s="12"/>
    </row>
    <row r="16">
      <c r="A16" s="3" t="s">
        <v>12</v>
      </c>
      <c r="B16" s="3" t="s">
        <v>82</v>
      </c>
      <c r="C16" s="3" t="s">
        <v>5537</v>
      </c>
      <c r="D16" s="8" t="str">
        <f t="shared" si="1"/>
        <v>Abrir anúncio ↗</v>
      </c>
      <c r="E16" s="9" t="s">
        <v>5540</v>
      </c>
      <c r="F16" s="3" t="s">
        <v>86</v>
      </c>
      <c r="G16" s="9" t="s">
        <v>99</v>
      </c>
      <c r="H16" s="9" t="s">
        <v>560</v>
      </c>
      <c r="I16" s="3"/>
      <c r="J16" s="3"/>
      <c r="K16" s="9"/>
    </row>
    <row r="17">
      <c r="A17" s="10" t="s">
        <v>12</v>
      </c>
      <c r="B17" s="10" t="s">
        <v>82</v>
      </c>
      <c r="C17" s="10" t="s">
        <v>5550</v>
      </c>
      <c r="D17" s="11" t="str">
        <f t="shared" si="1"/>
        <v>Abrir anúncio ↗</v>
      </c>
      <c r="E17" s="12" t="s">
        <v>5552</v>
      </c>
      <c r="F17" s="10" t="s">
        <v>29</v>
      </c>
      <c r="G17" s="12" t="s">
        <v>99</v>
      </c>
      <c r="H17" s="12" t="s">
        <v>560</v>
      </c>
      <c r="I17" s="10"/>
      <c r="J17" s="10"/>
      <c r="K17" s="12"/>
    </row>
    <row r="18">
      <c r="A18" s="3" t="s">
        <v>12</v>
      </c>
      <c r="B18" s="3" t="s">
        <v>82</v>
      </c>
      <c r="C18" s="3" t="s">
        <v>5560</v>
      </c>
      <c r="D18" s="8" t="str">
        <f t="shared" si="1"/>
        <v>Abrir anúncio ↗</v>
      </c>
      <c r="E18" s="9" t="s">
        <v>5563</v>
      </c>
      <c r="F18" s="3" t="s">
        <v>86</v>
      </c>
      <c r="G18" s="9" t="s">
        <v>99</v>
      </c>
      <c r="H18" s="9" t="s">
        <v>560</v>
      </c>
      <c r="I18" s="3"/>
      <c r="J18" s="3"/>
      <c r="K18" s="9"/>
    </row>
    <row r="19">
      <c r="A19" s="10" t="s">
        <v>12</v>
      </c>
      <c r="B19" s="10" t="s">
        <v>82</v>
      </c>
      <c r="C19" s="10" t="s">
        <v>5570</v>
      </c>
      <c r="D19" s="11" t="str">
        <f t="shared" si="1"/>
        <v>Abrir anúncio ↗</v>
      </c>
      <c r="E19" s="12" t="s">
        <v>5573</v>
      </c>
      <c r="F19" s="10" t="s">
        <v>86</v>
      </c>
      <c r="G19" s="12" t="s">
        <v>99</v>
      </c>
      <c r="H19" s="12" t="s">
        <v>560</v>
      </c>
      <c r="I19" s="10"/>
      <c r="J19" s="10"/>
      <c r="K19" s="12"/>
    </row>
    <row r="20">
      <c r="A20" s="3" t="s">
        <v>12</v>
      </c>
      <c r="B20" s="3" t="s">
        <v>82</v>
      </c>
      <c r="C20" s="3" t="s">
        <v>5582</v>
      </c>
      <c r="D20" s="8" t="str">
        <f t="shared" si="1"/>
        <v>Abrir anúncio ↗</v>
      </c>
      <c r="E20" s="9" t="s">
        <v>5585</v>
      </c>
      <c r="F20" s="3" t="s">
        <v>29</v>
      </c>
      <c r="G20" s="9" t="s">
        <v>5590</v>
      </c>
      <c r="H20" s="9" t="s">
        <v>5591</v>
      </c>
      <c r="I20" s="3"/>
      <c r="J20" s="3"/>
      <c r="K20" s="9"/>
    </row>
    <row r="21" ht="15.75" customHeight="1">
      <c r="A21" s="10" t="s">
        <v>12</v>
      </c>
      <c r="B21" s="10" t="s">
        <v>82</v>
      </c>
      <c r="C21" s="10" t="s">
        <v>5594</v>
      </c>
      <c r="D21" s="11" t="str">
        <f t="shared" si="1"/>
        <v>Abrir anúncio ↗</v>
      </c>
      <c r="E21" s="12" t="s">
        <v>5599</v>
      </c>
      <c r="F21" s="10" t="s">
        <v>29</v>
      </c>
      <c r="G21" s="12" t="s">
        <v>5590</v>
      </c>
      <c r="H21" s="12" t="s">
        <v>5602</v>
      </c>
      <c r="I21" s="10"/>
      <c r="J21" s="10"/>
      <c r="K21" s="12"/>
    </row>
    <row r="22" ht="15.75" customHeight="1">
      <c r="A22" s="3" t="s">
        <v>12</v>
      </c>
      <c r="B22" s="3" t="s">
        <v>82</v>
      </c>
      <c r="C22" s="3" t="s">
        <v>5606</v>
      </c>
      <c r="D22" s="8" t="str">
        <f t="shared" si="1"/>
        <v>Abrir anúncio ↗</v>
      </c>
      <c r="E22" s="9" t="s">
        <v>5609</v>
      </c>
      <c r="F22" s="3" t="s">
        <v>29</v>
      </c>
      <c r="G22" s="9" t="s">
        <v>5590</v>
      </c>
      <c r="H22" s="9" t="s">
        <v>5612</v>
      </c>
      <c r="I22" s="3"/>
      <c r="J22" s="3"/>
      <c r="K22" s="9"/>
    </row>
    <row r="23" ht="15.75" customHeight="1">
      <c r="A23" s="10" t="s">
        <v>12</v>
      </c>
      <c r="B23" s="10" t="s">
        <v>82</v>
      </c>
      <c r="C23" s="10" t="s">
        <v>5616</v>
      </c>
      <c r="D23" s="11" t="str">
        <f t="shared" si="1"/>
        <v>Abrir anúncio ↗</v>
      </c>
      <c r="E23" s="12" t="s">
        <v>5619</v>
      </c>
      <c r="F23" s="10" t="s">
        <v>29</v>
      </c>
      <c r="G23" s="12" t="s">
        <v>5590</v>
      </c>
      <c r="H23" s="12" t="s">
        <v>5622</v>
      </c>
      <c r="I23" s="10"/>
      <c r="J23" s="10"/>
      <c r="K23" s="12"/>
    </row>
    <row r="24" ht="15.75" customHeight="1">
      <c r="A24" s="3" t="s">
        <v>12</v>
      </c>
      <c r="B24" s="3" t="s">
        <v>82</v>
      </c>
      <c r="C24" s="3" t="s">
        <v>5627</v>
      </c>
      <c r="D24" s="8" t="str">
        <f t="shared" si="1"/>
        <v>Abrir anúncio ↗</v>
      </c>
      <c r="E24" s="9" t="s">
        <v>5629</v>
      </c>
      <c r="F24" s="3" t="s">
        <v>29</v>
      </c>
      <c r="G24" s="9" t="s">
        <v>5590</v>
      </c>
      <c r="H24" s="9" t="s">
        <v>5631</v>
      </c>
      <c r="I24" s="3"/>
      <c r="J24" s="3"/>
      <c r="K24" s="9"/>
    </row>
    <row r="25" ht="15.75" customHeight="1">
      <c r="A25" s="10" t="s">
        <v>12</v>
      </c>
      <c r="B25" s="10" t="s">
        <v>82</v>
      </c>
      <c r="C25" s="10" t="s">
        <v>5637</v>
      </c>
      <c r="D25" s="11" t="str">
        <f t="shared" si="1"/>
        <v>Abrir anúncio ↗</v>
      </c>
      <c r="E25" s="12" t="s">
        <v>5638</v>
      </c>
      <c r="F25" s="10" t="s">
        <v>29</v>
      </c>
      <c r="G25" s="12" t="s">
        <v>5590</v>
      </c>
      <c r="H25" s="12" t="s">
        <v>5640</v>
      </c>
      <c r="I25" s="10"/>
      <c r="J25" s="10"/>
      <c r="K25" s="12"/>
    </row>
    <row r="26" ht="15.75" customHeight="1">
      <c r="A26" s="3" t="s">
        <v>12</v>
      </c>
      <c r="B26" s="3" t="s">
        <v>82</v>
      </c>
      <c r="C26" s="3" t="s">
        <v>5645</v>
      </c>
      <c r="D26" s="8" t="str">
        <f t="shared" si="1"/>
        <v>Abrir anúncio ↗</v>
      </c>
      <c r="E26" s="9" t="s">
        <v>5649</v>
      </c>
      <c r="F26" s="3" t="s">
        <v>29</v>
      </c>
      <c r="G26" s="9" t="s">
        <v>5590</v>
      </c>
      <c r="H26" s="9" t="s">
        <v>5651</v>
      </c>
      <c r="I26" s="3"/>
      <c r="J26" s="3"/>
      <c r="K26" s="9"/>
    </row>
    <row r="27" ht="15.75" customHeight="1">
      <c r="A27" s="10" t="s">
        <v>12</v>
      </c>
      <c r="B27" s="10" t="s">
        <v>82</v>
      </c>
      <c r="C27" s="10" t="s">
        <v>5659</v>
      </c>
      <c r="D27" s="11" t="str">
        <f t="shared" si="1"/>
        <v>Abrir anúncio ↗</v>
      </c>
      <c r="E27" s="12" t="s">
        <v>5660</v>
      </c>
      <c r="F27" s="10" t="s">
        <v>29</v>
      </c>
      <c r="G27" s="12" t="s">
        <v>5590</v>
      </c>
      <c r="H27" s="12" t="s">
        <v>5662</v>
      </c>
      <c r="I27" s="10"/>
      <c r="J27" s="10"/>
      <c r="K27" s="12"/>
    </row>
    <row r="28" ht="15.75" customHeight="1">
      <c r="A28" s="3" t="s">
        <v>12</v>
      </c>
      <c r="B28" s="3" t="s">
        <v>82</v>
      </c>
      <c r="C28" s="3" t="s">
        <v>5667</v>
      </c>
      <c r="D28" s="8" t="str">
        <f t="shared" si="1"/>
        <v>Abrir anúncio ↗</v>
      </c>
      <c r="E28" s="9" t="s">
        <v>5671</v>
      </c>
      <c r="F28" s="3" t="s">
        <v>29</v>
      </c>
      <c r="G28" s="9" t="s">
        <v>5590</v>
      </c>
      <c r="H28" s="9" t="s">
        <v>5672</v>
      </c>
      <c r="I28" s="3"/>
      <c r="J28" s="3"/>
      <c r="K28" s="9"/>
    </row>
    <row r="29" ht="15.75" customHeight="1">
      <c r="A29" s="10" t="s">
        <v>12</v>
      </c>
      <c r="B29" s="10" t="s">
        <v>82</v>
      </c>
      <c r="C29" s="10" t="s">
        <v>5678</v>
      </c>
      <c r="D29" s="11" t="str">
        <f t="shared" si="1"/>
        <v>Abrir anúncio ↗</v>
      </c>
      <c r="E29" s="12" t="s">
        <v>5682</v>
      </c>
      <c r="F29" s="10" t="s">
        <v>29</v>
      </c>
      <c r="G29" s="12" t="s">
        <v>5590</v>
      </c>
      <c r="H29" s="12" t="s">
        <v>5640</v>
      </c>
      <c r="I29" s="10"/>
      <c r="J29" s="10"/>
      <c r="K29" s="12"/>
    </row>
    <row r="30" ht="15.75" customHeight="1">
      <c r="A30" s="3" t="s">
        <v>12</v>
      </c>
      <c r="B30" s="3" t="s">
        <v>82</v>
      </c>
      <c r="C30" s="3" t="s">
        <v>5687</v>
      </c>
      <c r="D30" s="8" t="str">
        <f t="shared" si="1"/>
        <v>Abrir anúncio ↗</v>
      </c>
      <c r="E30" s="9" t="s">
        <v>5690</v>
      </c>
      <c r="F30" s="3" t="s">
        <v>29</v>
      </c>
      <c r="G30" s="9" t="s">
        <v>5590</v>
      </c>
      <c r="H30" s="9" t="s">
        <v>5693</v>
      </c>
      <c r="I30" s="3"/>
      <c r="J30" s="3"/>
      <c r="K30" s="9"/>
    </row>
    <row r="31" ht="15.75" customHeight="1">
      <c r="A31" s="10" t="s">
        <v>12</v>
      </c>
      <c r="B31" s="10" t="s">
        <v>82</v>
      </c>
      <c r="C31" s="10" t="s">
        <v>5696</v>
      </c>
      <c r="D31" s="11" t="str">
        <f t="shared" si="1"/>
        <v>Abrir anúncio ↗</v>
      </c>
      <c r="E31" s="12" t="s">
        <v>5698</v>
      </c>
      <c r="F31" s="10" t="s">
        <v>29</v>
      </c>
      <c r="G31" s="12" t="s">
        <v>5590</v>
      </c>
      <c r="H31" s="12" t="s">
        <v>5701</v>
      </c>
      <c r="I31" s="10"/>
      <c r="J31" s="10"/>
      <c r="K31" s="12"/>
    </row>
    <row r="32" ht="15.75" customHeight="1">
      <c r="A32" s="3" t="s">
        <v>12</v>
      </c>
      <c r="B32" s="3" t="s">
        <v>82</v>
      </c>
      <c r="C32" s="3" t="s">
        <v>5704</v>
      </c>
      <c r="D32" s="8" t="str">
        <f t="shared" si="1"/>
        <v>Abrir anúncio ↗</v>
      </c>
      <c r="E32" s="9" t="s">
        <v>5707</v>
      </c>
      <c r="F32" s="3" t="s">
        <v>29</v>
      </c>
      <c r="G32" s="9" t="s">
        <v>5590</v>
      </c>
      <c r="H32" s="9" t="s">
        <v>5708</v>
      </c>
      <c r="I32" s="3"/>
      <c r="J32" s="3"/>
      <c r="K32" s="9"/>
    </row>
    <row r="33" ht="15.75" customHeight="1">
      <c r="A33" s="10" t="s">
        <v>12</v>
      </c>
      <c r="B33" s="10" t="s">
        <v>82</v>
      </c>
      <c r="C33" s="10" t="s">
        <v>5715</v>
      </c>
      <c r="D33" s="11" t="str">
        <f t="shared" si="1"/>
        <v>Abrir anúncio ↗</v>
      </c>
      <c r="E33" s="12" t="s">
        <v>5718</v>
      </c>
      <c r="F33" s="10" t="s">
        <v>29</v>
      </c>
      <c r="G33" s="12" t="s">
        <v>5590</v>
      </c>
      <c r="H33" s="12" t="s">
        <v>5720</v>
      </c>
      <c r="I33" s="10"/>
      <c r="J33" s="10"/>
      <c r="K33" s="12"/>
    </row>
    <row r="34" ht="15.75" customHeight="1">
      <c r="A34" s="3" t="s">
        <v>12</v>
      </c>
      <c r="B34" s="3" t="s">
        <v>82</v>
      </c>
      <c r="C34" s="3" t="s">
        <v>5724</v>
      </c>
      <c r="D34" s="8" t="str">
        <f t="shared" si="1"/>
        <v>Abrir anúncio ↗</v>
      </c>
      <c r="E34" s="9" t="s">
        <v>5726</v>
      </c>
      <c r="F34" s="3" t="s">
        <v>29</v>
      </c>
      <c r="G34" s="9" t="s">
        <v>5590</v>
      </c>
      <c r="H34" s="9" t="s">
        <v>5729</v>
      </c>
      <c r="I34" s="3"/>
      <c r="J34" s="3"/>
      <c r="K34" s="9"/>
    </row>
    <row r="35" ht="15.75" customHeight="1">
      <c r="A35" s="10" t="s">
        <v>12</v>
      </c>
      <c r="B35" s="10" t="s">
        <v>82</v>
      </c>
      <c r="C35" s="10" t="s">
        <v>5734</v>
      </c>
      <c r="D35" s="11" t="str">
        <f t="shared" si="1"/>
        <v>Abrir anúncio ↗</v>
      </c>
      <c r="E35" s="12" t="s">
        <v>5736</v>
      </c>
      <c r="F35" s="10" t="s">
        <v>29</v>
      </c>
      <c r="G35" s="12" t="s">
        <v>5590</v>
      </c>
      <c r="H35" s="12" t="s">
        <v>5740</v>
      </c>
      <c r="I35" s="10"/>
      <c r="J35" s="10"/>
      <c r="K35" s="12"/>
    </row>
    <row r="36" ht="15.75" customHeight="1">
      <c r="A36" s="3" t="s">
        <v>12</v>
      </c>
      <c r="B36" s="3" t="s">
        <v>82</v>
      </c>
      <c r="C36" s="3" t="s">
        <v>5746</v>
      </c>
      <c r="D36" s="8" t="str">
        <f t="shared" si="1"/>
        <v>Abrir anúncio ↗</v>
      </c>
      <c r="E36" s="9" t="s">
        <v>5748</v>
      </c>
      <c r="F36" s="3" t="s">
        <v>29</v>
      </c>
      <c r="G36" s="9" t="s">
        <v>5590</v>
      </c>
      <c r="H36" s="9" t="s">
        <v>5751</v>
      </c>
      <c r="I36" s="3"/>
      <c r="J36" s="3"/>
      <c r="K36" s="9"/>
    </row>
    <row r="37" ht="15.75" customHeight="1">
      <c r="A37" s="10" t="s">
        <v>12</v>
      </c>
      <c r="B37" s="10" t="s">
        <v>82</v>
      </c>
      <c r="C37" s="10" t="s">
        <v>5757</v>
      </c>
      <c r="D37" s="11" t="str">
        <f t="shared" si="1"/>
        <v>Abrir anúncio ↗</v>
      </c>
      <c r="E37" s="12" t="s">
        <v>5759</v>
      </c>
      <c r="F37" s="10" t="s">
        <v>29</v>
      </c>
      <c r="G37" s="12" t="s">
        <v>5590</v>
      </c>
      <c r="H37" s="12" t="s">
        <v>5651</v>
      </c>
      <c r="I37" s="10"/>
      <c r="J37" s="10"/>
      <c r="K37" s="12"/>
    </row>
    <row r="38" ht="15.75" customHeight="1">
      <c r="A38" s="3" t="s">
        <v>12</v>
      </c>
      <c r="B38" s="3" t="s">
        <v>82</v>
      </c>
      <c r="C38" s="3" t="s">
        <v>5763</v>
      </c>
      <c r="D38" s="8" t="str">
        <f t="shared" si="1"/>
        <v>Abrir anúncio ↗</v>
      </c>
      <c r="E38" s="9" t="s">
        <v>5767</v>
      </c>
      <c r="F38" s="3" t="s">
        <v>29</v>
      </c>
      <c r="G38" s="9" t="s">
        <v>5590</v>
      </c>
      <c r="H38" s="9" t="s">
        <v>5772</v>
      </c>
      <c r="I38" s="3"/>
      <c r="J38" s="3"/>
      <c r="K38" s="9"/>
    </row>
    <row r="39" ht="15.75" customHeight="1">
      <c r="A39" s="10" t="s">
        <v>12</v>
      </c>
      <c r="B39" s="10" t="s">
        <v>82</v>
      </c>
      <c r="C39" s="10" t="s">
        <v>5778</v>
      </c>
      <c r="D39" s="11" t="str">
        <f t="shared" si="1"/>
        <v>Abrir anúncio ↗</v>
      </c>
      <c r="E39" s="12" t="s">
        <v>5779</v>
      </c>
      <c r="F39" s="10" t="s">
        <v>29</v>
      </c>
      <c r="G39" s="12" t="s">
        <v>5590</v>
      </c>
      <c r="H39" s="12" t="s">
        <v>5785</v>
      </c>
      <c r="I39" s="10"/>
      <c r="J39" s="10"/>
      <c r="K39" s="12"/>
    </row>
    <row r="40" ht="15.75" customHeight="1">
      <c r="A40" s="3" t="s">
        <v>12</v>
      </c>
      <c r="B40" s="3" t="s">
        <v>82</v>
      </c>
      <c r="C40" s="3" t="s">
        <v>5788</v>
      </c>
      <c r="D40" s="8" t="str">
        <f t="shared" si="1"/>
        <v>Abrir anúncio ↗</v>
      </c>
      <c r="E40" s="9" t="s">
        <v>5790</v>
      </c>
      <c r="F40" s="3" t="s">
        <v>29</v>
      </c>
      <c r="G40" s="9" t="s">
        <v>5590</v>
      </c>
      <c r="H40" s="9" t="s">
        <v>5793</v>
      </c>
      <c r="I40" s="3"/>
      <c r="J40" s="3"/>
      <c r="K40" s="9"/>
    </row>
    <row r="41" ht="15.75" customHeight="1">
      <c r="A41" s="10" t="s">
        <v>12</v>
      </c>
      <c r="B41" s="10" t="s">
        <v>82</v>
      </c>
      <c r="C41" s="10" t="s">
        <v>5797</v>
      </c>
      <c r="D41" s="11" t="str">
        <f t="shared" si="1"/>
        <v>Abrir anúncio ↗</v>
      </c>
      <c r="E41" s="12" t="s">
        <v>5800</v>
      </c>
      <c r="F41" s="10" t="s">
        <v>29</v>
      </c>
      <c r="G41" s="12" t="s">
        <v>5590</v>
      </c>
      <c r="H41" s="12" t="s">
        <v>5802</v>
      </c>
      <c r="I41" s="10"/>
      <c r="J41" s="10"/>
      <c r="K41" s="12"/>
    </row>
    <row r="42" ht="15.75" customHeight="1">
      <c r="A42" s="3" t="s">
        <v>12</v>
      </c>
      <c r="B42" s="3" t="s">
        <v>82</v>
      </c>
      <c r="C42" s="3" t="s">
        <v>5808</v>
      </c>
      <c r="D42" s="8" t="str">
        <f t="shared" si="1"/>
        <v>Abrir anúncio ↗</v>
      </c>
      <c r="E42" s="9" t="s">
        <v>5811</v>
      </c>
      <c r="F42" s="3" t="s">
        <v>29</v>
      </c>
      <c r="G42" s="9" t="s">
        <v>99</v>
      </c>
      <c r="H42" s="9" t="s">
        <v>560</v>
      </c>
      <c r="I42" s="3"/>
      <c r="J42" s="3"/>
      <c r="K42" s="9"/>
    </row>
    <row r="43" ht="15.75" customHeight="1">
      <c r="A43" s="10" t="s">
        <v>12</v>
      </c>
      <c r="B43" s="10" t="s">
        <v>82</v>
      </c>
      <c r="C43" s="10" t="s">
        <v>5819</v>
      </c>
      <c r="D43" s="11" t="str">
        <f t="shared" si="1"/>
        <v>Abrir anúncio ↗</v>
      </c>
      <c r="E43" s="12" t="s">
        <v>5823</v>
      </c>
      <c r="F43" s="10" t="s">
        <v>29</v>
      </c>
      <c r="G43" s="12" t="s">
        <v>99</v>
      </c>
      <c r="H43" s="12" t="s">
        <v>560</v>
      </c>
      <c r="I43" s="10"/>
      <c r="J43" s="10"/>
      <c r="K43" s="12"/>
    </row>
    <row r="44" ht="15.75" customHeight="1">
      <c r="A44" s="3" t="s">
        <v>12</v>
      </c>
      <c r="B44" s="3" t="s">
        <v>82</v>
      </c>
      <c r="C44" s="3" t="s">
        <v>5832</v>
      </c>
      <c r="D44" s="8" t="str">
        <f t="shared" si="1"/>
        <v>Abrir anúncio ↗</v>
      </c>
      <c r="E44" s="9" t="s">
        <v>5833</v>
      </c>
      <c r="F44" s="3" t="s">
        <v>29</v>
      </c>
      <c r="G44" s="9" t="s">
        <v>1054</v>
      </c>
      <c r="H44" s="9" t="s">
        <v>3610</v>
      </c>
      <c r="I44" s="3"/>
      <c r="J44" s="3"/>
      <c r="K44" s="9"/>
    </row>
    <row r="45" ht="15.75" customHeight="1">
      <c r="A45" s="10" t="s">
        <v>12</v>
      </c>
      <c r="B45" s="10" t="s">
        <v>82</v>
      </c>
      <c r="C45" s="10" t="s">
        <v>5842</v>
      </c>
      <c r="D45" s="11" t="str">
        <f t="shared" si="1"/>
        <v>Abrir anúncio ↗</v>
      </c>
      <c r="E45" s="12" t="s">
        <v>5823</v>
      </c>
      <c r="F45" s="10" t="s">
        <v>29</v>
      </c>
      <c r="G45" s="12" t="s">
        <v>99</v>
      </c>
      <c r="H45" s="12" t="s">
        <v>143</v>
      </c>
      <c r="I45" s="10"/>
      <c r="J45" s="10"/>
      <c r="K45" s="12"/>
    </row>
    <row r="46" ht="15.75" customHeight="1">
      <c r="A46" s="3" t="s">
        <v>12</v>
      </c>
      <c r="B46" s="3" t="s">
        <v>82</v>
      </c>
      <c r="C46" s="3" t="s">
        <v>5851</v>
      </c>
      <c r="D46" s="8" t="str">
        <f t="shared" si="1"/>
        <v>Abrir anúncio ↗</v>
      </c>
      <c r="E46" s="9" t="s">
        <v>5811</v>
      </c>
      <c r="F46" s="3" t="s">
        <v>29</v>
      </c>
      <c r="G46" s="9" t="s">
        <v>99</v>
      </c>
      <c r="H46" s="9" t="s">
        <v>143</v>
      </c>
      <c r="I46" s="3"/>
      <c r="J46" s="3"/>
      <c r="K46" s="9"/>
    </row>
    <row r="47" ht="15.75" customHeight="1">
      <c r="A47" s="10" t="s">
        <v>12</v>
      </c>
      <c r="B47" s="10" t="s">
        <v>359</v>
      </c>
      <c r="C47" s="10" t="s">
        <v>5859</v>
      </c>
      <c r="D47" s="11" t="str">
        <f t="shared" si="1"/>
        <v>Abrir anúncio ↗</v>
      </c>
      <c r="E47" s="12" t="s">
        <v>5861</v>
      </c>
      <c r="F47" s="10" t="s">
        <v>29</v>
      </c>
      <c r="G47" s="12" t="s">
        <v>4918</v>
      </c>
      <c r="H47" s="12" t="s">
        <v>4919</v>
      </c>
      <c r="I47" s="10"/>
      <c r="J47" s="10"/>
      <c r="K47" s="12"/>
    </row>
    <row r="48" ht="15.75" customHeight="1">
      <c r="A48" s="3" t="s">
        <v>12</v>
      </c>
      <c r="B48" s="3" t="s">
        <v>359</v>
      </c>
      <c r="C48" s="3" t="s">
        <v>5868</v>
      </c>
      <c r="D48" s="8" t="str">
        <f t="shared" si="1"/>
        <v>Abrir anúncio ↗</v>
      </c>
      <c r="E48" s="9" t="s">
        <v>5871</v>
      </c>
      <c r="F48" s="3" t="s">
        <v>29</v>
      </c>
      <c r="G48" s="9" t="s">
        <v>4918</v>
      </c>
      <c r="H48" s="9" t="s">
        <v>4919</v>
      </c>
      <c r="I48" s="3"/>
      <c r="J48" s="3"/>
      <c r="K48" s="9"/>
    </row>
    <row r="49" ht="15.75" customHeight="1">
      <c r="A49" s="10" t="s">
        <v>12</v>
      </c>
      <c r="B49" s="10" t="s">
        <v>359</v>
      </c>
      <c r="C49" s="10" t="s">
        <v>5877</v>
      </c>
      <c r="D49" s="11" t="str">
        <f t="shared" si="1"/>
        <v>Abrir anúncio ↗</v>
      </c>
      <c r="E49" s="12" t="s">
        <v>5880</v>
      </c>
      <c r="F49" s="10" t="s">
        <v>86</v>
      </c>
      <c r="G49" s="12" t="s">
        <v>4918</v>
      </c>
      <c r="H49" s="12" t="s">
        <v>4919</v>
      </c>
      <c r="I49" s="10"/>
      <c r="J49" s="10"/>
      <c r="K49" s="12"/>
    </row>
    <row r="50" ht="15.75" customHeight="1">
      <c r="A50" s="3" t="s">
        <v>12</v>
      </c>
      <c r="B50" s="3" t="s">
        <v>359</v>
      </c>
      <c r="C50" s="3" t="s">
        <v>5887</v>
      </c>
      <c r="D50" s="8" t="str">
        <f t="shared" si="1"/>
        <v>Abrir anúncio ↗</v>
      </c>
      <c r="E50" s="9" t="s">
        <v>5889</v>
      </c>
      <c r="F50" s="3" t="s">
        <v>86</v>
      </c>
      <c r="G50" s="9" t="s">
        <v>4918</v>
      </c>
      <c r="H50" s="9" t="s">
        <v>4919</v>
      </c>
      <c r="I50" s="3"/>
      <c r="J50" s="3"/>
      <c r="K50" s="9"/>
    </row>
    <row r="51" ht="15.75" customHeight="1">
      <c r="A51" s="10" t="s">
        <v>12</v>
      </c>
      <c r="B51" s="10" t="s">
        <v>359</v>
      </c>
      <c r="C51" s="10" t="s">
        <v>5895</v>
      </c>
      <c r="D51" s="11" t="str">
        <f t="shared" si="1"/>
        <v>Abrir anúncio ↗</v>
      </c>
      <c r="E51" s="12" t="s">
        <v>5898</v>
      </c>
      <c r="F51" s="10" t="s">
        <v>86</v>
      </c>
      <c r="G51" s="12" t="s">
        <v>4918</v>
      </c>
      <c r="H51" s="12" t="s">
        <v>4919</v>
      </c>
      <c r="I51" s="10"/>
      <c r="J51" s="10"/>
      <c r="K51" s="12"/>
    </row>
    <row r="52" ht="15.75" customHeight="1">
      <c r="A52" s="3" t="s">
        <v>12</v>
      </c>
      <c r="B52" s="3" t="s">
        <v>359</v>
      </c>
      <c r="C52" s="3" t="s">
        <v>5904</v>
      </c>
      <c r="D52" s="8" t="str">
        <f t="shared" si="1"/>
        <v>Abrir anúncio ↗</v>
      </c>
      <c r="E52" s="9" t="s">
        <v>5552</v>
      </c>
      <c r="F52" s="3" t="s">
        <v>29</v>
      </c>
      <c r="G52" s="9" t="s">
        <v>4918</v>
      </c>
      <c r="H52" s="9" t="s">
        <v>4919</v>
      </c>
      <c r="I52" s="3"/>
      <c r="J52" s="3"/>
      <c r="K52" s="9"/>
    </row>
    <row r="53" ht="15.75" customHeight="1">
      <c r="A53" s="10" t="s">
        <v>12</v>
      </c>
      <c r="B53" s="10" t="s">
        <v>359</v>
      </c>
      <c r="C53" s="10" t="s">
        <v>5913</v>
      </c>
      <c r="D53" s="11" t="str">
        <f t="shared" si="1"/>
        <v>Abrir anúncio ↗</v>
      </c>
      <c r="E53" s="12" t="s">
        <v>5914</v>
      </c>
      <c r="F53" s="10" t="s">
        <v>86</v>
      </c>
      <c r="G53" s="12" t="s">
        <v>4918</v>
      </c>
      <c r="H53" s="12" t="s">
        <v>4919</v>
      </c>
      <c r="I53" s="10"/>
      <c r="J53" s="10"/>
      <c r="K53" s="12"/>
    </row>
    <row r="54" ht="15.75" customHeight="1">
      <c r="A54" s="3" t="s">
        <v>12</v>
      </c>
      <c r="B54" s="3" t="s">
        <v>359</v>
      </c>
      <c r="C54" s="3" t="s">
        <v>5919</v>
      </c>
      <c r="D54" s="8" t="str">
        <f t="shared" si="1"/>
        <v>Abrir anúncio ↗</v>
      </c>
      <c r="E54" s="9" t="s">
        <v>5920</v>
      </c>
      <c r="F54" s="3" t="s">
        <v>29</v>
      </c>
      <c r="G54" s="9" t="s">
        <v>4918</v>
      </c>
      <c r="H54" s="9" t="s">
        <v>4919</v>
      </c>
      <c r="I54" s="3"/>
      <c r="J54" s="3"/>
      <c r="K54" s="9"/>
    </row>
    <row r="55" ht="15.75" customHeight="1">
      <c r="A55" s="10" t="s">
        <v>12</v>
      </c>
      <c r="B55" s="10" t="s">
        <v>359</v>
      </c>
      <c r="C55" s="10" t="s">
        <v>5925</v>
      </c>
      <c r="D55" s="11" t="str">
        <f t="shared" si="1"/>
        <v>Abrir anúncio ↗</v>
      </c>
      <c r="E55" s="12" t="s">
        <v>5920</v>
      </c>
      <c r="F55" s="10" t="s">
        <v>29</v>
      </c>
      <c r="G55" s="12" t="s">
        <v>4918</v>
      </c>
      <c r="H55" s="12" t="s">
        <v>4919</v>
      </c>
      <c r="I55" s="10"/>
      <c r="J55" s="10"/>
      <c r="K55" s="12"/>
    </row>
    <row r="56" ht="15.75" customHeight="1">
      <c r="A56" s="3" t="s">
        <v>12</v>
      </c>
      <c r="B56" s="3" t="s">
        <v>359</v>
      </c>
      <c r="C56" s="3" t="s">
        <v>5929</v>
      </c>
      <c r="D56" s="8" t="str">
        <f t="shared" si="1"/>
        <v>Abrir anúncio ↗</v>
      </c>
      <c r="E56" s="9" t="s">
        <v>5914</v>
      </c>
      <c r="F56" s="3" t="s">
        <v>86</v>
      </c>
      <c r="G56" s="9" t="s">
        <v>4918</v>
      </c>
      <c r="H56" s="9" t="s">
        <v>4919</v>
      </c>
      <c r="I56" s="3"/>
      <c r="J56" s="3"/>
      <c r="K56" s="9"/>
    </row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56"/>
  <conditionalFormatting sqref="A2:A56">
    <cfRule type="expression" dxfId="0" priority="1">
      <formula>$A2="Não verificado"</formula>
    </cfRule>
  </conditionalFormatting>
  <conditionalFormatting sqref="A2:A56">
    <cfRule type="expression" dxfId="1" priority="2">
      <formula>$A2="Em andamento"</formula>
    </cfRule>
  </conditionalFormatting>
  <conditionalFormatting sqref="A2:A56">
    <cfRule type="expression" dxfId="2" priority="3">
      <formula>$A2="Corrigido"</formula>
    </cfRule>
  </conditionalFormatting>
  <conditionalFormatting sqref="A2:A56">
    <cfRule type="expression" dxfId="3" priority="4">
      <formula>$A2="Não se aplica"</formula>
    </cfRule>
  </conditionalFormatting>
  <conditionalFormatting sqref="B2:B56">
    <cfRule type="expression" dxfId="4" priority="5">
      <formula>$B2="Crítico"</formula>
    </cfRule>
  </conditionalFormatting>
  <conditionalFormatting sqref="B2:B56">
    <cfRule type="expression" dxfId="5" priority="6">
      <formula>$B2="Alto"</formula>
    </cfRule>
  </conditionalFormatting>
  <conditionalFormatting sqref="B2:B56">
    <cfRule type="expression" dxfId="6" priority="7">
      <formula>$B2="Médio"</formula>
    </cfRule>
  </conditionalFormatting>
  <conditionalFormatting sqref="B2:B56">
    <cfRule type="expression" dxfId="7" priority="8">
      <formula>$B2="Baixo"</formula>
    </cfRule>
  </conditionalFormatting>
  <conditionalFormatting sqref="E2:K56">
    <cfRule type="expression" dxfId="8" priority="9">
      <formula>$A2="Corrigido"</formula>
    </cfRule>
  </conditionalFormatting>
  <dataValidations>
    <dataValidation type="list" allowBlank="1" sqref="A2:A56">
      <formula1>"Não verificado,Em andamento,Corrigido,Não se aplica"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6.0"/>
    <col customWidth="1" min="3" max="3" width="14.0"/>
    <col customWidth="1" min="4" max="4" width="45.0"/>
    <col customWidth="1" min="5" max="5" width="16.0"/>
    <col customWidth="1" min="6" max="6" width="13.0"/>
    <col customWidth="1" min="7" max="7" width="45.0"/>
    <col customWidth="1" min="8" max="8" width="16.0"/>
    <col customWidth="1" min="9" max="9" width="12.0"/>
    <col customWidth="1" min="10" max="26" width="8.71"/>
  </cols>
  <sheetData>
    <row r="1" ht="30.0" customHeight="1">
      <c r="A1" s="1" t="s">
        <v>5974</v>
      </c>
      <c r="B1" s="1" t="s">
        <v>3</v>
      </c>
      <c r="C1" s="1" t="s">
        <v>4</v>
      </c>
      <c r="D1" s="1" t="s">
        <v>5</v>
      </c>
      <c r="E1" s="1" t="s">
        <v>441</v>
      </c>
      <c r="F1" s="1" t="s">
        <v>6</v>
      </c>
      <c r="G1" s="1" t="s">
        <v>5979</v>
      </c>
      <c r="H1" s="1" t="s">
        <v>9</v>
      </c>
      <c r="I1" s="1" t="s">
        <v>10</v>
      </c>
    </row>
    <row r="2">
      <c r="A2" s="10" t="s">
        <v>5984</v>
      </c>
      <c r="B2" s="10" t="s">
        <v>5986</v>
      </c>
      <c r="C2" s="11" t="str">
        <f t="shared" ref="C2:C13" si="1">HYPERLINK("https://www.mercadolivre.com.br/anuncios?page=1&amp;sort=DEFAULT&amp;search="&amp;B2,"Abrir anúncio ↗")</f>
        <v>Abrir anúncio ↗</v>
      </c>
      <c r="D2" s="12" t="s">
        <v>5989</v>
      </c>
      <c r="E2" s="10" t="s">
        <v>5990</v>
      </c>
      <c r="F2" s="10" t="s">
        <v>86</v>
      </c>
      <c r="G2" s="12" t="s">
        <v>5993</v>
      </c>
      <c r="H2" s="10"/>
      <c r="I2" s="10"/>
    </row>
    <row r="3">
      <c r="A3" s="10" t="s">
        <v>5984</v>
      </c>
      <c r="B3" s="10" t="s">
        <v>5996</v>
      </c>
      <c r="C3" s="11" t="str">
        <f t="shared" si="1"/>
        <v>Abrir anúncio ↗</v>
      </c>
      <c r="D3" s="12" t="s">
        <v>5999</v>
      </c>
      <c r="E3" s="10" t="s">
        <v>6000</v>
      </c>
      <c r="F3" s="10" t="s">
        <v>86</v>
      </c>
      <c r="G3" s="12" t="s">
        <v>5993</v>
      </c>
      <c r="H3" s="10"/>
      <c r="I3" s="10"/>
    </row>
    <row r="4">
      <c r="A4" s="10" t="s">
        <v>5984</v>
      </c>
      <c r="B4" s="10" t="s">
        <v>6005</v>
      </c>
      <c r="C4" s="11" t="str">
        <f t="shared" si="1"/>
        <v>Abrir anúncio ↗</v>
      </c>
      <c r="D4" s="12" t="s">
        <v>6006</v>
      </c>
      <c r="E4" s="10" t="s">
        <v>6008</v>
      </c>
      <c r="F4" s="10" t="s">
        <v>86</v>
      </c>
      <c r="G4" s="12" t="s">
        <v>5993</v>
      </c>
      <c r="H4" s="10"/>
      <c r="I4" s="10"/>
    </row>
    <row r="5">
      <c r="A5" s="10" t="s">
        <v>5984</v>
      </c>
      <c r="B5" s="10" t="s">
        <v>6011</v>
      </c>
      <c r="C5" s="11" t="str">
        <f t="shared" si="1"/>
        <v>Abrir anúncio ↗</v>
      </c>
      <c r="D5" s="12" t="s">
        <v>6014</v>
      </c>
      <c r="E5" s="10" t="s">
        <v>6008</v>
      </c>
      <c r="F5" s="10" t="s">
        <v>86</v>
      </c>
      <c r="G5" s="12" t="s">
        <v>5993</v>
      </c>
      <c r="H5" s="10"/>
      <c r="I5" s="10"/>
    </row>
    <row r="6">
      <c r="A6" s="10" t="s">
        <v>5984</v>
      </c>
      <c r="B6" s="10" t="s">
        <v>6017</v>
      </c>
      <c r="C6" s="11" t="str">
        <f t="shared" si="1"/>
        <v>Abrir anúncio ↗</v>
      </c>
      <c r="D6" s="12" t="s">
        <v>6019</v>
      </c>
      <c r="E6" s="10" t="s">
        <v>6022</v>
      </c>
      <c r="F6" s="10" t="s">
        <v>86</v>
      </c>
      <c r="G6" s="12" t="s">
        <v>5993</v>
      </c>
      <c r="H6" s="10"/>
      <c r="I6" s="10"/>
    </row>
    <row r="7">
      <c r="A7" s="10" t="s">
        <v>5984</v>
      </c>
      <c r="B7" s="10" t="s">
        <v>6025</v>
      </c>
      <c r="C7" s="11" t="str">
        <f t="shared" si="1"/>
        <v>Abrir anúncio ↗</v>
      </c>
      <c r="D7" s="12" t="s">
        <v>6027</v>
      </c>
      <c r="E7" s="10" t="s">
        <v>6022</v>
      </c>
      <c r="F7" s="10" t="s">
        <v>86</v>
      </c>
      <c r="G7" s="12" t="s">
        <v>5993</v>
      </c>
      <c r="H7" s="10"/>
      <c r="I7" s="10"/>
    </row>
    <row r="8">
      <c r="A8" s="10" t="s">
        <v>5984</v>
      </c>
      <c r="B8" s="10" t="s">
        <v>6034</v>
      </c>
      <c r="C8" s="11" t="str">
        <f t="shared" si="1"/>
        <v>Abrir anúncio ↗</v>
      </c>
      <c r="D8" s="12" t="s">
        <v>6037</v>
      </c>
      <c r="E8" s="10" t="s">
        <v>6022</v>
      </c>
      <c r="F8" s="10" t="s">
        <v>86</v>
      </c>
      <c r="G8" s="12" t="s">
        <v>5993</v>
      </c>
      <c r="H8" s="10"/>
      <c r="I8" s="10"/>
    </row>
    <row r="9">
      <c r="A9" s="10" t="s">
        <v>5984</v>
      </c>
      <c r="B9" s="10" t="s">
        <v>6047</v>
      </c>
      <c r="C9" s="11" t="str">
        <f t="shared" si="1"/>
        <v>Abrir anúncio ↗</v>
      </c>
      <c r="D9" s="12" t="s">
        <v>6050</v>
      </c>
      <c r="E9" s="10" t="s">
        <v>6052</v>
      </c>
      <c r="F9" s="10" t="s">
        <v>86</v>
      </c>
      <c r="G9" s="12" t="s">
        <v>5993</v>
      </c>
      <c r="H9" s="10"/>
      <c r="I9" s="10"/>
    </row>
    <row r="10">
      <c r="A10" s="10" t="s">
        <v>5984</v>
      </c>
      <c r="B10" s="10" t="s">
        <v>6062</v>
      </c>
      <c r="C10" s="11" t="str">
        <f t="shared" si="1"/>
        <v>Abrir anúncio ↗</v>
      </c>
      <c r="D10" s="12" t="s">
        <v>6063</v>
      </c>
      <c r="E10" s="10" t="s">
        <v>6052</v>
      </c>
      <c r="F10" s="10" t="s">
        <v>86</v>
      </c>
      <c r="G10" s="12" t="s">
        <v>5993</v>
      </c>
      <c r="H10" s="10"/>
      <c r="I10" s="10"/>
    </row>
    <row r="11">
      <c r="A11" s="10" t="s">
        <v>5984</v>
      </c>
      <c r="B11" s="10" t="s">
        <v>6067</v>
      </c>
      <c r="C11" s="11" t="str">
        <f t="shared" si="1"/>
        <v>Abrir anúncio ↗</v>
      </c>
      <c r="D11" s="12" t="s">
        <v>6069</v>
      </c>
      <c r="E11" s="10" t="s">
        <v>6052</v>
      </c>
      <c r="F11" s="10" t="s">
        <v>86</v>
      </c>
      <c r="G11" s="12" t="s">
        <v>5993</v>
      </c>
      <c r="H11" s="10"/>
      <c r="I11" s="10"/>
    </row>
    <row r="12">
      <c r="A12" s="10" t="s">
        <v>5984</v>
      </c>
      <c r="B12" s="10" t="s">
        <v>6075</v>
      </c>
      <c r="C12" s="11" t="str">
        <f t="shared" si="1"/>
        <v>Abrir anúncio ↗</v>
      </c>
      <c r="D12" s="12" t="s">
        <v>6077</v>
      </c>
      <c r="E12" s="10" t="s">
        <v>6078</v>
      </c>
      <c r="F12" s="10" t="s">
        <v>86</v>
      </c>
      <c r="G12" s="12" t="s">
        <v>5993</v>
      </c>
      <c r="H12" s="10"/>
      <c r="I12" s="10"/>
    </row>
    <row r="13">
      <c r="A13" s="10" t="s">
        <v>5984</v>
      </c>
      <c r="B13" s="10" t="s">
        <v>6082</v>
      </c>
      <c r="C13" s="11" t="str">
        <f t="shared" si="1"/>
        <v>Abrir anúncio ↗</v>
      </c>
      <c r="D13" s="12" t="s">
        <v>6083</v>
      </c>
      <c r="E13" s="10" t="s">
        <v>6078</v>
      </c>
      <c r="F13" s="10" t="s">
        <v>86</v>
      </c>
      <c r="G13" s="12" t="s">
        <v>5993</v>
      </c>
      <c r="H13" s="10"/>
      <c r="I13" s="10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I$13"/>
  <conditionalFormatting sqref="A2:I13">
    <cfRule type="expression" dxfId="9" priority="1">
      <formula>$A2="Sim"</formula>
    </cfRule>
  </conditionalFormatting>
  <dataValidations>
    <dataValidation type="list" allowBlank="1" sqref="A2:A13">
      <formula1>"Sim,Não"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2.0"/>
    <col customWidth="1" min="3" max="3" width="20.0"/>
    <col customWidth="1" min="4" max="4" width="16.0"/>
    <col customWidth="1" min="5" max="5" width="55.0"/>
    <col customWidth="1" min="6" max="6" width="35.0"/>
    <col customWidth="1" min="7" max="26" width="8.71"/>
  </cols>
  <sheetData>
    <row r="1" ht="30.0" customHeight="1">
      <c r="A1" s="1" t="s">
        <v>6032</v>
      </c>
      <c r="B1" s="1" t="s">
        <v>6033</v>
      </c>
      <c r="C1" s="1" t="s">
        <v>6035</v>
      </c>
      <c r="D1" s="1" t="s">
        <v>3</v>
      </c>
      <c r="E1" s="1" t="s">
        <v>6038</v>
      </c>
      <c r="F1" s="1" t="s">
        <v>6039</v>
      </c>
    </row>
    <row r="2">
      <c r="A2" s="10" t="s">
        <v>5984</v>
      </c>
      <c r="B2" s="10" t="s">
        <v>6043</v>
      </c>
      <c r="C2" s="10" t="s">
        <v>6044</v>
      </c>
      <c r="D2" s="10" t="s">
        <v>6045</v>
      </c>
      <c r="E2" s="12" t="s">
        <v>6048</v>
      </c>
      <c r="F2" s="12" t="s">
        <v>6049</v>
      </c>
    </row>
    <row r="3">
      <c r="A3" s="10" t="s">
        <v>5984</v>
      </c>
      <c r="B3" s="10" t="s">
        <v>6053</v>
      </c>
      <c r="C3" s="10" t="s">
        <v>6054</v>
      </c>
      <c r="D3" s="10" t="s">
        <v>70</v>
      </c>
      <c r="E3" s="12" t="s">
        <v>72</v>
      </c>
      <c r="F3" s="12" t="s">
        <v>6058</v>
      </c>
    </row>
    <row r="5" ht="39.75" customHeight="1">
      <c r="A5" s="45" t="s">
        <v>6059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3"/>
  <mergeCells count="1">
    <mergeCell ref="A5:F5"/>
  </mergeCells>
  <conditionalFormatting sqref="A2:F3">
    <cfRule type="expression" dxfId="9" priority="1">
      <formula>$A2="Sim"</formula>
    </cfRule>
  </conditionalFormatting>
  <conditionalFormatting sqref="A2:F3">
    <cfRule type="expression" dxfId="10" priority="2">
      <formula>$A2="Não"</formula>
    </cfRule>
  </conditionalFormatting>
  <dataValidations>
    <dataValidation type="list" allowBlank="1" sqref="A2:A3">
      <formula1>"Sim,Não"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5.0"/>
    <col customWidth="1" min="3" max="3" width="16.0"/>
    <col customWidth="1" min="4" max="4" width="14.0"/>
    <col customWidth="1" min="5" max="5" width="24.0"/>
    <col customWidth="1" min="6" max="6" width="13.0"/>
    <col customWidth="1" min="7" max="7" width="30.0"/>
    <col customWidth="1" min="8" max="26" width="8.71"/>
  </cols>
  <sheetData>
    <row r="1" ht="30.0" customHeight="1">
      <c r="A1" s="1" t="s">
        <v>6145</v>
      </c>
      <c r="B1" s="1" t="s">
        <v>6149</v>
      </c>
      <c r="C1" s="1" t="s">
        <v>3</v>
      </c>
      <c r="D1" s="1" t="s">
        <v>4</v>
      </c>
      <c r="E1" s="1" t="s">
        <v>441</v>
      </c>
      <c r="F1" s="1" t="s">
        <v>6</v>
      </c>
      <c r="G1" s="1" t="s">
        <v>6158</v>
      </c>
    </row>
    <row r="2">
      <c r="A2" s="10" t="s">
        <v>5984</v>
      </c>
      <c r="B2" s="12" t="s">
        <v>237</v>
      </c>
      <c r="C2" s="10" t="s">
        <v>235</v>
      </c>
      <c r="D2" s="11" t="str">
        <f t="shared" ref="D2:D1245" si="1">HYPERLINK("https://www.mercadolivre.com.br/anuncios?page=1&amp;sort=DEFAULT&amp;search="&amp;C2,"Abrir anúncio ↗")</f>
        <v>Abrir anúncio ↗</v>
      </c>
      <c r="E2" s="10" t="s">
        <v>6171</v>
      </c>
      <c r="F2" s="10" t="s">
        <v>29</v>
      </c>
      <c r="G2" s="12"/>
    </row>
    <row r="3">
      <c r="A3" s="10" t="s">
        <v>5984</v>
      </c>
      <c r="B3" s="12" t="s">
        <v>237</v>
      </c>
      <c r="C3" s="10" t="s">
        <v>1087</v>
      </c>
      <c r="D3" s="11" t="str">
        <f t="shared" si="1"/>
        <v>Abrir anúncio ↗</v>
      </c>
      <c r="E3" s="10" t="s">
        <v>6171</v>
      </c>
      <c r="F3" s="10" t="s">
        <v>29</v>
      </c>
      <c r="G3" s="12"/>
    </row>
    <row r="4">
      <c r="A4" s="10" t="s">
        <v>5984</v>
      </c>
      <c r="B4" s="12" t="s">
        <v>237</v>
      </c>
      <c r="C4" s="10" t="s">
        <v>3478</v>
      </c>
      <c r="D4" s="11" t="str">
        <f t="shared" si="1"/>
        <v>Abrir anúncio ↗</v>
      </c>
      <c r="E4" s="10" t="s">
        <v>6171</v>
      </c>
      <c r="F4" s="10" t="s">
        <v>29</v>
      </c>
      <c r="G4" s="12"/>
    </row>
    <row r="5">
      <c r="A5" s="10" t="s">
        <v>5984</v>
      </c>
      <c r="B5" s="12" t="s">
        <v>237</v>
      </c>
      <c r="C5" s="10" t="s">
        <v>3465</v>
      </c>
      <c r="D5" s="11" t="str">
        <f t="shared" si="1"/>
        <v>Abrir anúncio ↗</v>
      </c>
      <c r="E5" s="10" t="s">
        <v>6171</v>
      </c>
      <c r="F5" s="10" t="s">
        <v>86</v>
      </c>
      <c r="G5" s="12"/>
    </row>
    <row r="6">
      <c r="A6" s="10" t="s">
        <v>5984</v>
      </c>
      <c r="B6" s="12" t="s">
        <v>3601</v>
      </c>
      <c r="C6" s="10" t="s">
        <v>3600</v>
      </c>
      <c r="D6" s="11" t="str">
        <f t="shared" si="1"/>
        <v>Abrir anúncio ↗</v>
      </c>
      <c r="E6" s="10" t="s">
        <v>6157</v>
      </c>
      <c r="F6" s="10" t="s">
        <v>29</v>
      </c>
      <c r="G6" s="12"/>
    </row>
    <row r="7">
      <c r="A7" s="10" t="s">
        <v>5984</v>
      </c>
      <c r="B7" s="12" t="s">
        <v>3601</v>
      </c>
      <c r="C7" s="10" t="s">
        <v>3867</v>
      </c>
      <c r="D7" s="11" t="str">
        <f t="shared" si="1"/>
        <v>Abrir anúncio ↗</v>
      </c>
      <c r="E7" s="10" t="s">
        <v>6157</v>
      </c>
      <c r="F7" s="10" t="s">
        <v>86</v>
      </c>
      <c r="G7" s="12"/>
    </row>
    <row r="8">
      <c r="A8" s="10" t="s">
        <v>5984</v>
      </c>
      <c r="B8" s="12" t="s">
        <v>3601</v>
      </c>
      <c r="C8" s="10" t="s">
        <v>6208</v>
      </c>
      <c r="D8" s="11" t="str">
        <f t="shared" si="1"/>
        <v>Abrir anúncio ↗</v>
      </c>
      <c r="E8" s="10" t="s">
        <v>6157</v>
      </c>
      <c r="F8" s="10" t="s">
        <v>86</v>
      </c>
      <c r="G8" s="12"/>
    </row>
    <row r="9">
      <c r="A9" s="10" t="s">
        <v>5984</v>
      </c>
      <c r="B9" s="12" t="s">
        <v>6212</v>
      </c>
      <c r="C9" s="10" t="s">
        <v>6215</v>
      </c>
      <c r="D9" s="11" t="str">
        <f t="shared" si="1"/>
        <v>Abrir anúncio ↗</v>
      </c>
      <c r="E9" s="10" t="s">
        <v>6157</v>
      </c>
      <c r="F9" s="10" t="s">
        <v>29</v>
      </c>
      <c r="G9" s="12"/>
    </row>
    <row r="10">
      <c r="A10" s="10" t="s">
        <v>5984</v>
      </c>
      <c r="B10" s="12" t="s">
        <v>6212</v>
      </c>
      <c r="C10" s="10" t="s">
        <v>6224</v>
      </c>
      <c r="D10" s="11" t="str">
        <f t="shared" si="1"/>
        <v>Abrir anúncio ↗</v>
      </c>
      <c r="E10" s="10" t="s">
        <v>6157</v>
      </c>
      <c r="F10" s="10" t="s">
        <v>29</v>
      </c>
      <c r="G10" s="12"/>
    </row>
    <row r="11">
      <c r="A11" s="10" t="s">
        <v>5984</v>
      </c>
      <c r="B11" s="12" t="s">
        <v>6212</v>
      </c>
      <c r="C11" s="10" t="s">
        <v>6232</v>
      </c>
      <c r="D11" s="11" t="str">
        <f t="shared" si="1"/>
        <v>Abrir anúncio ↗</v>
      </c>
      <c r="E11" s="10" t="s">
        <v>6157</v>
      </c>
      <c r="F11" s="10" t="s">
        <v>29</v>
      </c>
      <c r="G11" s="12"/>
    </row>
    <row r="12">
      <c r="A12" s="10" t="s">
        <v>5984</v>
      </c>
      <c r="B12" s="12" t="s">
        <v>3592</v>
      </c>
      <c r="C12" s="10" t="s">
        <v>6240</v>
      </c>
      <c r="D12" s="11" t="str">
        <f t="shared" si="1"/>
        <v>Abrir anúncio ↗</v>
      </c>
      <c r="E12" s="10" t="s">
        <v>6171</v>
      </c>
      <c r="F12" s="10" t="s">
        <v>29</v>
      </c>
      <c r="G12" s="12"/>
    </row>
    <row r="13">
      <c r="A13" s="10" t="s">
        <v>5984</v>
      </c>
      <c r="B13" s="12" t="s">
        <v>3592</v>
      </c>
      <c r="C13" s="10" t="s">
        <v>3590</v>
      </c>
      <c r="D13" s="11" t="str">
        <f t="shared" si="1"/>
        <v>Abrir anúncio ↗</v>
      </c>
      <c r="E13" s="10" t="s">
        <v>6171</v>
      </c>
      <c r="F13" s="10" t="s">
        <v>29</v>
      </c>
      <c r="G13" s="12"/>
    </row>
    <row r="14">
      <c r="A14" s="10" t="s">
        <v>5984</v>
      </c>
      <c r="B14" s="12" t="s">
        <v>3592</v>
      </c>
      <c r="C14" s="10" t="s">
        <v>6251</v>
      </c>
      <c r="D14" s="11" t="str">
        <f t="shared" si="1"/>
        <v>Abrir anúncio ↗</v>
      </c>
      <c r="E14" s="10" t="s">
        <v>6171</v>
      </c>
      <c r="F14" s="10" t="s">
        <v>86</v>
      </c>
      <c r="G14" s="12"/>
    </row>
    <row r="15">
      <c r="A15" s="10" t="s">
        <v>5984</v>
      </c>
      <c r="B15" s="12" t="s">
        <v>6255</v>
      </c>
      <c r="C15" s="10" t="s">
        <v>6256</v>
      </c>
      <c r="D15" s="11" t="str">
        <f t="shared" si="1"/>
        <v>Abrir anúncio ↗</v>
      </c>
      <c r="E15" s="10" t="s">
        <v>6157</v>
      </c>
      <c r="F15" s="10" t="s">
        <v>29</v>
      </c>
      <c r="G15" s="12"/>
    </row>
    <row r="16">
      <c r="A16" s="10" t="s">
        <v>5984</v>
      </c>
      <c r="B16" s="12" t="s">
        <v>6255</v>
      </c>
      <c r="C16" s="10" t="s">
        <v>6262</v>
      </c>
      <c r="D16" s="11" t="str">
        <f t="shared" si="1"/>
        <v>Abrir anúncio ↗</v>
      </c>
      <c r="E16" s="10" t="s">
        <v>6157</v>
      </c>
      <c r="F16" s="10" t="s">
        <v>29</v>
      </c>
      <c r="G16" s="12"/>
    </row>
    <row r="17">
      <c r="A17" s="10" t="s">
        <v>5984</v>
      </c>
      <c r="B17" s="12" t="s">
        <v>6255</v>
      </c>
      <c r="C17" s="10" t="s">
        <v>6269</v>
      </c>
      <c r="D17" s="11" t="str">
        <f t="shared" si="1"/>
        <v>Abrir anúncio ↗</v>
      </c>
      <c r="E17" s="10" t="s">
        <v>6157</v>
      </c>
      <c r="F17" s="10" t="s">
        <v>86</v>
      </c>
      <c r="G17" s="12"/>
    </row>
    <row r="18">
      <c r="A18" s="10" t="s">
        <v>5984</v>
      </c>
      <c r="B18" s="12" t="s">
        <v>6272</v>
      </c>
      <c r="C18" s="10" t="s">
        <v>6274</v>
      </c>
      <c r="D18" s="11" t="str">
        <f t="shared" si="1"/>
        <v>Abrir anúncio ↗</v>
      </c>
      <c r="E18" s="10" t="s">
        <v>6157</v>
      </c>
      <c r="F18" s="10" t="s">
        <v>29</v>
      </c>
      <c r="G18" s="12"/>
    </row>
    <row r="19">
      <c r="A19" s="10" t="s">
        <v>5984</v>
      </c>
      <c r="B19" s="12" t="s">
        <v>6272</v>
      </c>
      <c r="C19" s="10" t="s">
        <v>6280</v>
      </c>
      <c r="D19" s="11" t="str">
        <f t="shared" si="1"/>
        <v>Abrir anúncio ↗</v>
      </c>
      <c r="E19" s="10" t="s">
        <v>6157</v>
      </c>
      <c r="F19" s="10" t="s">
        <v>29</v>
      </c>
      <c r="G19" s="12"/>
    </row>
    <row r="20">
      <c r="A20" s="10" t="s">
        <v>5984</v>
      </c>
      <c r="B20" s="12" t="s">
        <v>6272</v>
      </c>
      <c r="C20" s="10" t="s">
        <v>6285</v>
      </c>
      <c r="D20" s="11" t="str">
        <f t="shared" si="1"/>
        <v>Abrir anúncio ↗</v>
      </c>
      <c r="E20" s="10" t="s">
        <v>6157</v>
      </c>
      <c r="F20" s="10" t="s">
        <v>29</v>
      </c>
      <c r="G20" s="12"/>
    </row>
    <row r="21" ht="15.75" customHeight="1">
      <c r="A21" s="10" t="s">
        <v>5984</v>
      </c>
      <c r="B21" s="12" t="s">
        <v>2275</v>
      </c>
      <c r="C21" s="10" t="s">
        <v>2273</v>
      </c>
      <c r="D21" s="11" t="str">
        <f t="shared" si="1"/>
        <v>Abrir anúncio ↗</v>
      </c>
      <c r="E21" s="10" t="s">
        <v>6157</v>
      </c>
      <c r="F21" s="10" t="s">
        <v>29</v>
      </c>
      <c r="G21" s="12"/>
    </row>
    <row r="22" ht="15.75" customHeight="1">
      <c r="A22" s="10" t="s">
        <v>5984</v>
      </c>
      <c r="B22" s="12" t="s">
        <v>2275</v>
      </c>
      <c r="C22" s="10" t="s">
        <v>5386</v>
      </c>
      <c r="D22" s="11" t="str">
        <f t="shared" si="1"/>
        <v>Abrir anúncio ↗</v>
      </c>
      <c r="E22" s="10" t="s">
        <v>6157</v>
      </c>
      <c r="F22" s="10" t="s">
        <v>29</v>
      </c>
      <c r="G22" s="12"/>
    </row>
    <row r="23" ht="15.75" customHeight="1">
      <c r="A23" s="10" t="s">
        <v>5984</v>
      </c>
      <c r="B23" s="12" t="s">
        <v>2275</v>
      </c>
      <c r="C23" s="10" t="s">
        <v>6294</v>
      </c>
      <c r="D23" s="11" t="str">
        <f t="shared" si="1"/>
        <v>Abrir anúncio ↗</v>
      </c>
      <c r="E23" s="10" t="s">
        <v>6157</v>
      </c>
      <c r="F23" s="10" t="s">
        <v>29</v>
      </c>
      <c r="G23" s="12"/>
    </row>
    <row r="24" ht="15.75" customHeight="1">
      <c r="A24" s="10" t="s">
        <v>5984</v>
      </c>
      <c r="B24" s="12" t="s">
        <v>3520</v>
      </c>
      <c r="C24" s="10" t="s">
        <v>3519</v>
      </c>
      <c r="D24" s="11" t="str">
        <f t="shared" si="1"/>
        <v>Abrir anúncio ↗</v>
      </c>
      <c r="E24" s="10" t="s">
        <v>6171</v>
      </c>
      <c r="F24" s="10" t="s">
        <v>29</v>
      </c>
      <c r="G24" s="12"/>
    </row>
    <row r="25" ht="15.75" customHeight="1">
      <c r="A25" s="10" t="s">
        <v>5984</v>
      </c>
      <c r="B25" s="12" t="s">
        <v>3520</v>
      </c>
      <c r="C25" s="10" t="s">
        <v>4752</v>
      </c>
      <c r="D25" s="11" t="str">
        <f t="shared" si="1"/>
        <v>Abrir anúncio ↗</v>
      </c>
      <c r="E25" s="10" t="s">
        <v>6171</v>
      </c>
      <c r="F25" s="10" t="s">
        <v>29</v>
      </c>
      <c r="G25" s="12"/>
    </row>
    <row r="26" ht="15.75" customHeight="1">
      <c r="A26" s="10" t="s">
        <v>5984</v>
      </c>
      <c r="B26" s="12" t="s">
        <v>3518</v>
      </c>
      <c r="C26" s="10" t="s">
        <v>3514</v>
      </c>
      <c r="D26" s="11" t="str">
        <f t="shared" si="1"/>
        <v>Abrir anúncio ↗</v>
      </c>
      <c r="E26" s="10" t="s">
        <v>6157</v>
      </c>
      <c r="F26" s="10" t="s">
        <v>29</v>
      </c>
      <c r="G26" s="12"/>
    </row>
    <row r="27" ht="15.75" customHeight="1">
      <c r="A27" s="10" t="s">
        <v>5984</v>
      </c>
      <c r="B27" s="12" t="s">
        <v>3518</v>
      </c>
      <c r="C27" s="10" t="s">
        <v>6313</v>
      </c>
      <c r="D27" s="11" t="str">
        <f t="shared" si="1"/>
        <v>Abrir anúncio ↗</v>
      </c>
      <c r="E27" s="10" t="s">
        <v>6157</v>
      </c>
      <c r="F27" s="10" t="s">
        <v>29</v>
      </c>
      <c r="G27" s="12"/>
    </row>
    <row r="28" ht="15.75" customHeight="1">
      <c r="A28" s="10" t="s">
        <v>5984</v>
      </c>
      <c r="B28" s="12" t="s">
        <v>3452</v>
      </c>
      <c r="C28" s="10" t="s">
        <v>3449</v>
      </c>
      <c r="D28" s="11" t="str">
        <f t="shared" si="1"/>
        <v>Abrir anúncio ↗</v>
      </c>
      <c r="E28" s="10" t="s">
        <v>6157</v>
      </c>
      <c r="F28" s="10" t="s">
        <v>29</v>
      </c>
      <c r="G28" s="12"/>
    </row>
    <row r="29" ht="15.75" customHeight="1">
      <c r="A29" s="10" t="s">
        <v>5984</v>
      </c>
      <c r="B29" s="12" t="s">
        <v>3452</v>
      </c>
      <c r="C29" s="10" t="s">
        <v>6323</v>
      </c>
      <c r="D29" s="11" t="str">
        <f t="shared" si="1"/>
        <v>Abrir anúncio ↗</v>
      </c>
      <c r="E29" s="10" t="s">
        <v>6157</v>
      </c>
      <c r="F29" s="10" t="s">
        <v>29</v>
      </c>
      <c r="G29" s="12"/>
    </row>
    <row r="30" ht="15.75" customHeight="1">
      <c r="A30" s="10" t="s">
        <v>5984</v>
      </c>
      <c r="B30" s="12" t="s">
        <v>3538</v>
      </c>
      <c r="C30" s="10" t="s">
        <v>3535</v>
      </c>
      <c r="D30" s="11" t="str">
        <f t="shared" si="1"/>
        <v>Abrir anúncio ↗</v>
      </c>
      <c r="E30" s="10" t="s">
        <v>6157</v>
      </c>
      <c r="F30" s="10" t="s">
        <v>29</v>
      </c>
      <c r="G30" s="12"/>
    </row>
    <row r="31" ht="15.75" customHeight="1">
      <c r="A31" s="10" t="s">
        <v>5984</v>
      </c>
      <c r="B31" s="12" t="s">
        <v>3538</v>
      </c>
      <c r="C31" s="10" t="s">
        <v>6330</v>
      </c>
      <c r="D31" s="11" t="str">
        <f t="shared" si="1"/>
        <v>Abrir anúncio ↗</v>
      </c>
      <c r="E31" s="10" t="s">
        <v>6157</v>
      </c>
      <c r="F31" s="10" t="s">
        <v>29</v>
      </c>
      <c r="G31" s="12"/>
    </row>
    <row r="32" ht="15.75" customHeight="1">
      <c r="A32" s="10" t="s">
        <v>5984</v>
      </c>
      <c r="B32" s="12" t="s">
        <v>5965</v>
      </c>
      <c r="C32" s="10" t="s">
        <v>6336</v>
      </c>
      <c r="D32" s="11" t="str">
        <f t="shared" si="1"/>
        <v>Abrir anúncio ↗</v>
      </c>
      <c r="E32" s="10" t="s">
        <v>6171</v>
      </c>
      <c r="F32" s="10" t="s">
        <v>29</v>
      </c>
      <c r="G32" s="12"/>
    </row>
    <row r="33" ht="15.75" customHeight="1">
      <c r="A33" s="10" t="s">
        <v>5984</v>
      </c>
      <c r="B33" s="12" t="s">
        <v>5965</v>
      </c>
      <c r="C33" s="10" t="s">
        <v>5964</v>
      </c>
      <c r="D33" s="11" t="str">
        <f t="shared" si="1"/>
        <v>Abrir anúncio ↗</v>
      </c>
      <c r="E33" s="10" t="s">
        <v>6171</v>
      </c>
      <c r="F33" s="10" t="s">
        <v>29</v>
      </c>
      <c r="G33" s="12"/>
    </row>
    <row r="34" ht="15.75" customHeight="1">
      <c r="A34" s="10" t="s">
        <v>5984</v>
      </c>
      <c r="B34" s="12" t="s">
        <v>3408</v>
      </c>
      <c r="C34" s="10" t="s">
        <v>3407</v>
      </c>
      <c r="D34" s="11" t="str">
        <f t="shared" si="1"/>
        <v>Abrir anúncio ↗</v>
      </c>
      <c r="E34" s="10" t="s">
        <v>6157</v>
      </c>
      <c r="F34" s="10" t="s">
        <v>29</v>
      </c>
      <c r="G34" s="12"/>
    </row>
    <row r="35" ht="15.75" customHeight="1">
      <c r="A35" s="10" t="s">
        <v>5984</v>
      </c>
      <c r="B35" s="12" t="s">
        <v>3408</v>
      </c>
      <c r="C35" s="10" t="s">
        <v>6356</v>
      </c>
      <c r="D35" s="11" t="str">
        <f t="shared" si="1"/>
        <v>Abrir anúncio ↗</v>
      </c>
      <c r="E35" s="10" t="s">
        <v>6157</v>
      </c>
      <c r="F35" s="10" t="s">
        <v>29</v>
      </c>
      <c r="G35" s="12"/>
    </row>
    <row r="36" ht="15.75" customHeight="1">
      <c r="A36" s="10" t="s">
        <v>5984</v>
      </c>
      <c r="B36" s="12" t="s">
        <v>3337</v>
      </c>
      <c r="C36" s="10" t="s">
        <v>6360</v>
      </c>
      <c r="D36" s="11" t="str">
        <f t="shared" si="1"/>
        <v>Abrir anúncio ↗</v>
      </c>
      <c r="E36" s="10" t="s">
        <v>6157</v>
      </c>
      <c r="F36" s="10" t="s">
        <v>29</v>
      </c>
      <c r="G36" s="12"/>
    </row>
    <row r="37" ht="15.75" customHeight="1">
      <c r="A37" s="10" t="s">
        <v>5984</v>
      </c>
      <c r="B37" s="12" t="s">
        <v>3337</v>
      </c>
      <c r="C37" s="10" t="s">
        <v>3335</v>
      </c>
      <c r="D37" s="11" t="str">
        <f t="shared" si="1"/>
        <v>Abrir anúncio ↗</v>
      </c>
      <c r="E37" s="10" t="s">
        <v>6157</v>
      </c>
      <c r="F37" s="10" t="s">
        <v>29</v>
      </c>
      <c r="G37" s="12"/>
    </row>
    <row r="38" ht="15.75" customHeight="1">
      <c r="A38" s="10" t="s">
        <v>5984</v>
      </c>
      <c r="B38" s="12" t="s">
        <v>3244</v>
      </c>
      <c r="C38" s="10" t="s">
        <v>6372</v>
      </c>
      <c r="D38" s="11" t="str">
        <f t="shared" si="1"/>
        <v>Abrir anúncio ↗</v>
      </c>
      <c r="E38" s="10" t="s">
        <v>6157</v>
      </c>
      <c r="F38" s="10" t="s">
        <v>29</v>
      </c>
      <c r="G38" s="12"/>
    </row>
    <row r="39" ht="15.75" customHeight="1">
      <c r="A39" s="10" t="s">
        <v>5984</v>
      </c>
      <c r="B39" s="12" t="s">
        <v>3244</v>
      </c>
      <c r="C39" s="10" t="s">
        <v>3242</v>
      </c>
      <c r="D39" s="11" t="str">
        <f t="shared" si="1"/>
        <v>Abrir anúncio ↗</v>
      </c>
      <c r="E39" s="10" t="s">
        <v>6157</v>
      </c>
      <c r="F39" s="10" t="s">
        <v>29</v>
      </c>
      <c r="G39" s="12"/>
    </row>
    <row r="40" ht="15.75" customHeight="1">
      <c r="A40" s="10" t="s">
        <v>5984</v>
      </c>
      <c r="B40" s="12" t="s">
        <v>3612</v>
      </c>
      <c r="C40" s="10" t="s">
        <v>6117</v>
      </c>
      <c r="D40" s="11" t="str">
        <f t="shared" si="1"/>
        <v>Abrir anúncio ↗</v>
      </c>
      <c r="E40" s="10" t="s">
        <v>6171</v>
      </c>
      <c r="F40" s="10" t="s">
        <v>29</v>
      </c>
      <c r="G40" s="12"/>
    </row>
    <row r="41" ht="15.75" customHeight="1">
      <c r="A41" s="10" t="s">
        <v>5984</v>
      </c>
      <c r="B41" s="12" t="s">
        <v>3612</v>
      </c>
      <c r="C41" s="10" t="s">
        <v>3609</v>
      </c>
      <c r="D41" s="11" t="str">
        <f t="shared" si="1"/>
        <v>Abrir anúncio ↗</v>
      </c>
      <c r="E41" s="10" t="s">
        <v>6171</v>
      </c>
      <c r="F41" s="10" t="s">
        <v>29</v>
      </c>
      <c r="G41" s="12"/>
    </row>
    <row r="42" ht="15.75" customHeight="1">
      <c r="A42" s="10" t="s">
        <v>5984</v>
      </c>
      <c r="B42" s="12" t="s">
        <v>294</v>
      </c>
      <c r="C42" s="10" t="s">
        <v>293</v>
      </c>
      <c r="D42" s="11" t="str">
        <f t="shared" si="1"/>
        <v>Abrir anúncio ↗</v>
      </c>
      <c r="E42" s="10" t="s">
        <v>6171</v>
      </c>
      <c r="F42" s="10" t="s">
        <v>29</v>
      </c>
      <c r="G42" s="12"/>
    </row>
    <row r="43" ht="15.75" customHeight="1">
      <c r="A43" s="10" t="s">
        <v>5984</v>
      </c>
      <c r="B43" s="12" t="s">
        <v>294</v>
      </c>
      <c r="C43" s="10" t="s">
        <v>2861</v>
      </c>
      <c r="D43" s="11" t="str">
        <f t="shared" si="1"/>
        <v>Abrir anúncio ↗</v>
      </c>
      <c r="E43" s="10" t="s">
        <v>6171</v>
      </c>
      <c r="F43" s="10" t="s">
        <v>29</v>
      </c>
      <c r="G43" s="12"/>
    </row>
    <row r="44" ht="15.75" customHeight="1">
      <c r="A44" s="10" t="s">
        <v>5984</v>
      </c>
      <c r="B44" s="12" t="s">
        <v>1290</v>
      </c>
      <c r="C44" s="10" t="s">
        <v>1286</v>
      </c>
      <c r="D44" s="11" t="str">
        <f t="shared" si="1"/>
        <v>Abrir anúncio ↗</v>
      </c>
      <c r="E44" s="10" t="s">
        <v>6157</v>
      </c>
      <c r="F44" s="10" t="s">
        <v>29</v>
      </c>
      <c r="G44" s="12"/>
    </row>
    <row r="45" ht="15.75" customHeight="1">
      <c r="A45" s="10" t="s">
        <v>5984</v>
      </c>
      <c r="B45" s="12" t="s">
        <v>1290</v>
      </c>
      <c r="C45" s="10" t="s">
        <v>5635</v>
      </c>
      <c r="D45" s="11" t="str">
        <f t="shared" si="1"/>
        <v>Abrir anúncio ↗</v>
      </c>
      <c r="E45" s="10" t="s">
        <v>6157</v>
      </c>
      <c r="F45" s="10" t="s">
        <v>29</v>
      </c>
      <c r="G45" s="12"/>
    </row>
    <row r="46" ht="15.75" customHeight="1">
      <c r="A46" s="10" t="s">
        <v>5984</v>
      </c>
      <c r="B46" s="12" t="s">
        <v>4419</v>
      </c>
      <c r="C46" s="10" t="s">
        <v>6411</v>
      </c>
      <c r="D46" s="11" t="str">
        <f t="shared" si="1"/>
        <v>Abrir anúncio ↗</v>
      </c>
      <c r="E46" s="10" t="s">
        <v>6157</v>
      </c>
      <c r="F46" s="10" t="s">
        <v>29</v>
      </c>
      <c r="G46" s="12"/>
    </row>
    <row r="47" ht="15.75" customHeight="1">
      <c r="A47" s="10" t="s">
        <v>5984</v>
      </c>
      <c r="B47" s="12" t="s">
        <v>4419</v>
      </c>
      <c r="C47" s="10" t="s">
        <v>4418</v>
      </c>
      <c r="D47" s="11" t="str">
        <f t="shared" si="1"/>
        <v>Abrir anúncio ↗</v>
      </c>
      <c r="E47" s="10" t="s">
        <v>6157</v>
      </c>
      <c r="F47" s="10" t="s">
        <v>29</v>
      </c>
      <c r="G47" s="12"/>
    </row>
    <row r="48" ht="15.75" customHeight="1">
      <c r="A48" s="10" t="s">
        <v>5984</v>
      </c>
      <c r="B48" s="12" t="s">
        <v>3289</v>
      </c>
      <c r="C48" s="10" t="s">
        <v>3381</v>
      </c>
      <c r="D48" s="11" t="str">
        <f t="shared" si="1"/>
        <v>Abrir anúncio ↗</v>
      </c>
      <c r="E48" s="10" t="s">
        <v>6157</v>
      </c>
      <c r="F48" s="10" t="s">
        <v>29</v>
      </c>
      <c r="G48" s="12"/>
    </row>
    <row r="49" ht="15.75" customHeight="1">
      <c r="A49" s="10" t="s">
        <v>5984</v>
      </c>
      <c r="B49" s="12" t="s">
        <v>3289</v>
      </c>
      <c r="C49" s="10" t="s">
        <v>3285</v>
      </c>
      <c r="D49" s="11" t="str">
        <f t="shared" si="1"/>
        <v>Abrir anúncio ↗</v>
      </c>
      <c r="E49" s="10" t="s">
        <v>6157</v>
      </c>
      <c r="F49" s="10" t="s">
        <v>29</v>
      </c>
      <c r="G49" s="12"/>
    </row>
    <row r="50" ht="15.75" customHeight="1">
      <c r="A50" s="10" t="s">
        <v>5984</v>
      </c>
      <c r="B50" s="12" t="s">
        <v>6430</v>
      </c>
      <c r="C50" s="10" t="s">
        <v>6431</v>
      </c>
      <c r="D50" s="11" t="str">
        <f t="shared" si="1"/>
        <v>Abrir anúncio ↗</v>
      </c>
      <c r="E50" s="10" t="s">
        <v>6157</v>
      </c>
      <c r="F50" s="10" t="s">
        <v>29</v>
      </c>
      <c r="G50" s="12"/>
    </row>
    <row r="51" ht="15.75" customHeight="1">
      <c r="A51" s="10" t="s">
        <v>5984</v>
      </c>
      <c r="B51" s="12" t="s">
        <v>6430</v>
      </c>
      <c r="C51" s="10" t="s">
        <v>6438</v>
      </c>
      <c r="D51" s="11" t="str">
        <f t="shared" si="1"/>
        <v>Abrir anúncio ↗</v>
      </c>
      <c r="E51" s="10" t="s">
        <v>6157</v>
      </c>
      <c r="F51" s="10" t="s">
        <v>29</v>
      </c>
      <c r="G51" s="12"/>
    </row>
    <row r="52" ht="15.75" customHeight="1">
      <c r="A52" s="10" t="s">
        <v>5984</v>
      </c>
      <c r="B52" s="12" t="s">
        <v>489</v>
      </c>
      <c r="C52" s="10" t="s">
        <v>743</v>
      </c>
      <c r="D52" s="11" t="str">
        <f t="shared" si="1"/>
        <v>Abrir anúncio ↗</v>
      </c>
      <c r="E52" s="10" t="s">
        <v>6171</v>
      </c>
      <c r="F52" s="10" t="s">
        <v>29</v>
      </c>
      <c r="G52" s="12"/>
    </row>
    <row r="53" ht="15.75" customHeight="1">
      <c r="A53" s="10" t="s">
        <v>5984</v>
      </c>
      <c r="B53" s="12" t="s">
        <v>489</v>
      </c>
      <c r="C53" s="10" t="s">
        <v>487</v>
      </c>
      <c r="D53" s="11" t="str">
        <f t="shared" si="1"/>
        <v>Abrir anúncio ↗</v>
      </c>
      <c r="E53" s="10" t="s">
        <v>6171</v>
      </c>
      <c r="F53" s="10" t="s">
        <v>29</v>
      </c>
      <c r="G53" s="12"/>
    </row>
    <row r="54" ht="15.75" customHeight="1">
      <c r="A54" s="10" t="s">
        <v>5984</v>
      </c>
      <c r="B54" s="12" t="s">
        <v>6450</v>
      </c>
      <c r="C54" s="10" t="s">
        <v>6453</v>
      </c>
      <c r="D54" s="11" t="str">
        <f t="shared" si="1"/>
        <v>Abrir anúncio ↗</v>
      </c>
      <c r="E54" s="10" t="s">
        <v>6157</v>
      </c>
      <c r="F54" s="10" t="s">
        <v>29</v>
      </c>
      <c r="G54" s="12"/>
    </row>
    <row r="55" ht="15.75" customHeight="1">
      <c r="A55" s="10" t="s">
        <v>5984</v>
      </c>
      <c r="B55" s="12" t="s">
        <v>6450</v>
      </c>
      <c r="C55" s="10" t="s">
        <v>6459</v>
      </c>
      <c r="D55" s="11" t="str">
        <f t="shared" si="1"/>
        <v>Abrir anúncio ↗</v>
      </c>
      <c r="E55" s="10" t="s">
        <v>6157</v>
      </c>
      <c r="F55" s="10" t="s">
        <v>29</v>
      </c>
      <c r="G55" s="12"/>
    </row>
    <row r="56" ht="15.75" customHeight="1">
      <c r="A56" s="10" t="s">
        <v>5984</v>
      </c>
      <c r="B56" s="12" t="s">
        <v>314</v>
      </c>
      <c r="C56" s="10" t="s">
        <v>1984</v>
      </c>
      <c r="D56" s="11" t="str">
        <f t="shared" si="1"/>
        <v>Abrir anúncio ↗</v>
      </c>
      <c r="E56" s="10" t="s">
        <v>6171</v>
      </c>
      <c r="F56" s="10" t="s">
        <v>29</v>
      </c>
      <c r="G56" s="12"/>
    </row>
    <row r="57" ht="15.75" customHeight="1">
      <c r="A57" s="10" t="s">
        <v>5984</v>
      </c>
      <c r="B57" s="12" t="s">
        <v>314</v>
      </c>
      <c r="C57" s="10" t="s">
        <v>312</v>
      </c>
      <c r="D57" s="11" t="str">
        <f t="shared" si="1"/>
        <v>Abrir anúncio ↗</v>
      </c>
      <c r="E57" s="10" t="s">
        <v>6171</v>
      </c>
      <c r="F57" s="10" t="s">
        <v>29</v>
      </c>
      <c r="G57" s="12"/>
    </row>
    <row r="58" ht="15.75" customHeight="1">
      <c r="A58" s="10" t="s">
        <v>5984</v>
      </c>
      <c r="B58" s="12" t="s">
        <v>6474</v>
      </c>
      <c r="C58" s="10" t="s">
        <v>6476</v>
      </c>
      <c r="D58" s="11" t="str">
        <f t="shared" si="1"/>
        <v>Abrir anúncio ↗</v>
      </c>
      <c r="E58" s="10" t="s">
        <v>6157</v>
      </c>
      <c r="F58" s="10" t="s">
        <v>29</v>
      </c>
      <c r="G58" s="12"/>
    </row>
    <row r="59" ht="15.75" customHeight="1">
      <c r="A59" s="10" t="s">
        <v>5984</v>
      </c>
      <c r="B59" s="12" t="s">
        <v>6474</v>
      </c>
      <c r="C59" s="10" t="s">
        <v>6482</v>
      </c>
      <c r="D59" s="11" t="str">
        <f t="shared" si="1"/>
        <v>Abrir anúncio ↗</v>
      </c>
      <c r="E59" s="10" t="s">
        <v>6157</v>
      </c>
      <c r="F59" s="10" t="s">
        <v>29</v>
      </c>
      <c r="G59" s="12"/>
    </row>
    <row r="60" ht="15.75" customHeight="1">
      <c r="A60" s="10" t="s">
        <v>5984</v>
      </c>
      <c r="B60" s="12" t="s">
        <v>6485</v>
      </c>
      <c r="C60" s="10" t="s">
        <v>6488</v>
      </c>
      <c r="D60" s="11" t="str">
        <f t="shared" si="1"/>
        <v>Abrir anúncio ↗</v>
      </c>
      <c r="E60" s="10" t="s">
        <v>6171</v>
      </c>
      <c r="F60" s="10" t="s">
        <v>29</v>
      </c>
      <c r="G60" s="12"/>
    </row>
    <row r="61" ht="15.75" customHeight="1">
      <c r="A61" s="10" t="s">
        <v>5984</v>
      </c>
      <c r="B61" s="12" t="s">
        <v>6485</v>
      </c>
      <c r="C61" s="10" t="s">
        <v>6498</v>
      </c>
      <c r="D61" s="11" t="str">
        <f t="shared" si="1"/>
        <v>Abrir anúncio ↗</v>
      </c>
      <c r="E61" s="10" t="s">
        <v>6171</v>
      </c>
      <c r="F61" s="10" t="s">
        <v>29</v>
      </c>
      <c r="G61" s="12"/>
    </row>
    <row r="62" ht="15.75" customHeight="1">
      <c r="A62" s="10" t="s">
        <v>5984</v>
      </c>
      <c r="B62" s="12" t="s">
        <v>5548</v>
      </c>
      <c r="C62" s="10" t="s">
        <v>6503</v>
      </c>
      <c r="D62" s="11" t="str">
        <f t="shared" si="1"/>
        <v>Abrir anúncio ↗</v>
      </c>
      <c r="E62" s="10" t="s">
        <v>6171</v>
      </c>
      <c r="F62" s="10" t="s">
        <v>29</v>
      </c>
      <c r="G62" s="12"/>
    </row>
    <row r="63" ht="15.75" customHeight="1">
      <c r="A63" s="10" t="s">
        <v>5984</v>
      </c>
      <c r="B63" s="12" t="s">
        <v>5548</v>
      </c>
      <c r="C63" s="10" t="s">
        <v>5546</v>
      </c>
      <c r="D63" s="11" t="str">
        <f t="shared" si="1"/>
        <v>Abrir anúncio ↗</v>
      </c>
      <c r="E63" s="10" t="s">
        <v>6171</v>
      </c>
      <c r="F63" s="10" t="s">
        <v>29</v>
      </c>
      <c r="G63" s="12"/>
    </row>
    <row r="64" ht="15.75" customHeight="1">
      <c r="A64" s="10" t="s">
        <v>5984</v>
      </c>
      <c r="B64" s="12" t="s">
        <v>6514</v>
      </c>
      <c r="C64" s="10" t="s">
        <v>6515</v>
      </c>
      <c r="D64" s="11" t="str">
        <f t="shared" si="1"/>
        <v>Abrir anúncio ↗</v>
      </c>
      <c r="E64" s="10" t="s">
        <v>6157</v>
      </c>
      <c r="F64" s="10" t="s">
        <v>29</v>
      </c>
      <c r="G64" s="12"/>
    </row>
    <row r="65" ht="15.75" customHeight="1">
      <c r="A65" s="10" t="s">
        <v>5984</v>
      </c>
      <c r="B65" s="12" t="s">
        <v>6514</v>
      </c>
      <c r="C65" s="10" t="s">
        <v>6520</v>
      </c>
      <c r="D65" s="11" t="str">
        <f t="shared" si="1"/>
        <v>Abrir anúncio ↗</v>
      </c>
      <c r="E65" s="10" t="s">
        <v>6157</v>
      </c>
      <c r="F65" s="10" t="s">
        <v>29</v>
      </c>
      <c r="G65" s="12"/>
    </row>
    <row r="66" ht="15.75" customHeight="1">
      <c r="A66" s="10" t="s">
        <v>5984</v>
      </c>
      <c r="B66" s="12" t="s">
        <v>1154</v>
      </c>
      <c r="C66" s="10" t="s">
        <v>1165</v>
      </c>
      <c r="D66" s="11" t="str">
        <f t="shared" si="1"/>
        <v>Abrir anúncio ↗</v>
      </c>
      <c r="E66" s="10" t="s">
        <v>6171</v>
      </c>
      <c r="F66" s="10" t="s">
        <v>29</v>
      </c>
      <c r="G66" s="12"/>
    </row>
    <row r="67" ht="15.75" customHeight="1">
      <c r="A67" s="10" t="s">
        <v>5984</v>
      </c>
      <c r="B67" s="12" t="s">
        <v>1154</v>
      </c>
      <c r="C67" s="10" t="s">
        <v>1153</v>
      </c>
      <c r="D67" s="11" t="str">
        <f t="shared" si="1"/>
        <v>Abrir anúncio ↗</v>
      </c>
      <c r="E67" s="10" t="s">
        <v>6171</v>
      </c>
      <c r="F67" s="10" t="s">
        <v>29</v>
      </c>
      <c r="G67" s="12"/>
    </row>
    <row r="68" ht="15.75" customHeight="1">
      <c r="A68" s="10" t="s">
        <v>5984</v>
      </c>
      <c r="B68" s="12" t="s">
        <v>5782</v>
      </c>
      <c r="C68" s="10" t="s">
        <v>6535</v>
      </c>
      <c r="D68" s="11" t="str">
        <f t="shared" si="1"/>
        <v>Abrir anúncio ↗</v>
      </c>
      <c r="E68" s="10" t="s">
        <v>6157</v>
      </c>
      <c r="F68" s="10" t="s">
        <v>29</v>
      </c>
      <c r="G68" s="12"/>
    </row>
    <row r="69" ht="15.75" customHeight="1">
      <c r="A69" s="10" t="s">
        <v>5984</v>
      </c>
      <c r="B69" s="12" t="s">
        <v>5782</v>
      </c>
      <c r="C69" s="10" t="s">
        <v>5780</v>
      </c>
      <c r="D69" s="11" t="str">
        <f t="shared" si="1"/>
        <v>Abrir anúncio ↗</v>
      </c>
      <c r="E69" s="10" t="s">
        <v>6157</v>
      </c>
      <c r="F69" s="10" t="s">
        <v>29</v>
      </c>
      <c r="G69" s="12"/>
    </row>
    <row r="70" ht="15.75" customHeight="1">
      <c r="A70" s="10" t="s">
        <v>5984</v>
      </c>
      <c r="B70" s="12" t="s">
        <v>3391</v>
      </c>
      <c r="C70" s="10" t="s">
        <v>3387</v>
      </c>
      <c r="D70" s="11" t="str">
        <f t="shared" si="1"/>
        <v>Abrir anúncio ↗</v>
      </c>
      <c r="E70" s="10" t="s">
        <v>6157</v>
      </c>
      <c r="F70" s="10" t="s">
        <v>29</v>
      </c>
      <c r="G70" s="12"/>
    </row>
    <row r="71" ht="15.75" customHeight="1">
      <c r="A71" s="10" t="s">
        <v>5984</v>
      </c>
      <c r="B71" s="12" t="s">
        <v>3391</v>
      </c>
      <c r="C71" s="10" t="s">
        <v>6548</v>
      </c>
      <c r="D71" s="11" t="str">
        <f t="shared" si="1"/>
        <v>Abrir anúncio ↗</v>
      </c>
      <c r="E71" s="10" t="s">
        <v>6157</v>
      </c>
      <c r="F71" s="10" t="s">
        <v>29</v>
      </c>
      <c r="G71" s="12"/>
    </row>
    <row r="72" ht="15.75" customHeight="1">
      <c r="A72" s="10" t="s">
        <v>5984</v>
      </c>
      <c r="B72" s="12" t="s">
        <v>774</v>
      </c>
      <c r="C72" s="10" t="s">
        <v>773</v>
      </c>
      <c r="D72" s="11" t="str">
        <f t="shared" si="1"/>
        <v>Abrir anúncio ↗</v>
      </c>
      <c r="E72" s="10" t="s">
        <v>6171</v>
      </c>
      <c r="F72" s="10" t="s">
        <v>29</v>
      </c>
      <c r="G72" s="12"/>
    </row>
    <row r="73" ht="15.75" customHeight="1">
      <c r="A73" s="10" t="s">
        <v>5984</v>
      </c>
      <c r="B73" s="12" t="s">
        <v>774</v>
      </c>
      <c r="C73" s="10" t="s">
        <v>5298</v>
      </c>
      <c r="D73" s="11" t="str">
        <f t="shared" si="1"/>
        <v>Abrir anúncio ↗</v>
      </c>
      <c r="E73" s="10" t="s">
        <v>6171</v>
      </c>
      <c r="F73" s="10" t="s">
        <v>29</v>
      </c>
      <c r="G73" s="12"/>
    </row>
    <row r="74" ht="15.75" customHeight="1">
      <c r="A74" s="10" t="s">
        <v>5984</v>
      </c>
      <c r="B74" s="12" t="s">
        <v>3486</v>
      </c>
      <c r="C74" s="10" t="s">
        <v>3483</v>
      </c>
      <c r="D74" s="11" t="str">
        <f t="shared" si="1"/>
        <v>Abrir anúncio ↗</v>
      </c>
      <c r="E74" s="10" t="s">
        <v>6157</v>
      </c>
      <c r="F74" s="10" t="s">
        <v>29</v>
      </c>
      <c r="G74" s="12"/>
    </row>
    <row r="75" ht="15.75" customHeight="1">
      <c r="A75" s="10" t="s">
        <v>5984</v>
      </c>
      <c r="B75" s="12" t="s">
        <v>3486</v>
      </c>
      <c r="C75" s="10" t="s">
        <v>6565</v>
      </c>
      <c r="D75" s="11" t="str">
        <f t="shared" si="1"/>
        <v>Abrir anúncio ↗</v>
      </c>
      <c r="E75" s="10" t="s">
        <v>6157</v>
      </c>
      <c r="F75" s="10" t="s">
        <v>29</v>
      </c>
      <c r="G75" s="12"/>
    </row>
    <row r="76" ht="15.75" customHeight="1">
      <c r="A76" s="10" t="s">
        <v>5984</v>
      </c>
      <c r="B76" s="12" t="s">
        <v>6572</v>
      </c>
      <c r="C76" s="10" t="s">
        <v>6573</v>
      </c>
      <c r="D76" s="11" t="str">
        <f t="shared" si="1"/>
        <v>Abrir anúncio ↗</v>
      </c>
      <c r="E76" s="10" t="s">
        <v>6157</v>
      </c>
      <c r="F76" s="10" t="s">
        <v>29</v>
      </c>
      <c r="G76" s="12"/>
    </row>
    <row r="77" ht="15.75" customHeight="1">
      <c r="A77" s="10" t="s">
        <v>5984</v>
      </c>
      <c r="B77" s="12" t="s">
        <v>6572</v>
      </c>
      <c r="C77" s="10" t="s">
        <v>6576</v>
      </c>
      <c r="D77" s="11" t="str">
        <f t="shared" si="1"/>
        <v>Abrir anúncio ↗</v>
      </c>
      <c r="E77" s="10" t="s">
        <v>6157</v>
      </c>
      <c r="F77" s="10" t="s">
        <v>29</v>
      </c>
      <c r="G77" s="12"/>
    </row>
    <row r="78" ht="15.75" customHeight="1">
      <c r="A78" s="10" t="s">
        <v>5984</v>
      </c>
      <c r="B78" s="12" t="s">
        <v>6162</v>
      </c>
      <c r="C78" s="10" t="s">
        <v>6581</v>
      </c>
      <c r="D78" s="11" t="str">
        <f t="shared" si="1"/>
        <v>Abrir anúncio ↗</v>
      </c>
      <c r="E78" s="10" t="s">
        <v>6171</v>
      </c>
      <c r="F78" s="10" t="s">
        <v>29</v>
      </c>
      <c r="G78" s="12"/>
    </row>
    <row r="79" ht="15.75" customHeight="1">
      <c r="A79" s="10" t="s">
        <v>5984</v>
      </c>
      <c r="B79" s="12" t="s">
        <v>6162</v>
      </c>
      <c r="C79" s="10" t="s">
        <v>6159</v>
      </c>
      <c r="D79" s="11" t="str">
        <f t="shared" si="1"/>
        <v>Abrir anúncio ↗</v>
      </c>
      <c r="E79" s="10" t="s">
        <v>6171</v>
      </c>
      <c r="F79" s="10" t="s">
        <v>29</v>
      </c>
      <c r="G79" s="12"/>
    </row>
    <row r="80" ht="15.75" customHeight="1">
      <c r="A80" s="10" t="s">
        <v>5984</v>
      </c>
      <c r="B80" s="12" t="s">
        <v>6588</v>
      </c>
      <c r="C80" s="10" t="s">
        <v>6589</v>
      </c>
      <c r="D80" s="11" t="str">
        <f t="shared" si="1"/>
        <v>Abrir anúncio ↗</v>
      </c>
      <c r="E80" s="10" t="s">
        <v>6157</v>
      </c>
      <c r="F80" s="10" t="s">
        <v>29</v>
      </c>
      <c r="G80" s="12"/>
    </row>
    <row r="81" ht="15.75" customHeight="1">
      <c r="A81" s="10" t="s">
        <v>5984</v>
      </c>
      <c r="B81" s="12" t="s">
        <v>6588</v>
      </c>
      <c r="C81" s="10" t="s">
        <v>6594</v>
      </c>
      <c r="D81" s="11" t="str">
        <f t="shared" si="1"/>
        <v>Abrir anúncio ↗</v>
      </c>
      <c r="E81" s="10" t="s">
        <v>6157</v>
      </c>
      <c r="F81" s="10" t="s">
        <v>29</v>
      </c>
      <c r="G81" s="12"/>
    </row>
    <row r="82" ht="15.75" customHeight="1">
      <c r="A82" s="10" t="s">
        <v>5984</v>
      </c>
      <c r="B82" s="12" t="s">
        <v>6242</v>
      </c>
      <c r="C82" s="10" t="s">
        <v>6599</v>
      </c>
      <c r="D82" s="11" t="str">
        <f t="shared" si="1"/>
        <v>Abrir anúncio ↗</v>
      </c>
      <c r="E82" s="10" t="s">
        <v>6171</v>
      </c>
      <c r="F82" s="10" t="s">
        <v>29</v>
      </c>
      <c r="G82" s="12"/>
    </row>
    <row r="83" ht="15.75" customHeight="1">
      <c r="A83" s="10" t="s">
        <v>5984</v>
      </c>
      <c r="B83" s="12" t="s">
        <v>6242</v>
      </c>
      <c r="C83" s="10" t="s">
        <v>6241</v>
      </c>
      <c r="D83" s="11" t="str">
        <f t="shared" si="1"/>
        <v>Abrir anúncio ↗</v>
      </c>
      <c r="E83" s="10" t="s">
        <v>6171</v>
      </c>
      <c r="F83" s="10" t="s">
        <v>29</v>
      </c>
      <c r="G83" s="12"/>
    </row>
    <row r="84" ht="15.75" customHeight="1">
      <c r="A84" s="10" t="s">
        <v>5984</v>
      </c>
      <c r="B84" s="12" t="s">
        <v>1024</v>
      </c>
      <c r="C84" s="10" t="s">
        <v>1034</v>
      </c>
      <c r="D84" s="11" t="str">
        <f t="shared" si="1"/>
        <v>Abrir anúncio ↗</v>
      </c>
      <c r="E84" s="10" t="s">
        <v>6171</v>
      </c>
      <c r="F84" s="10" t="s">
        <v>29</v>
      </c>
      <c r="G84" s="12"/>
    </row>
    <row r="85" ht="15.75" customHeight="1">
      <c r="A85" s="10" t="s">
        <v>5984</v>
      </c>
      <c r="B85" s="12" t="s">
        <v>1024</v>
      </c>
      <c r="C85" s="10" t="s">
        <v>1021</v>
      </c>
      <c r="D85" s="11" t="str">
        <f t="shared" si="1"/>
        <v>Abrir anúncio ↗</v>
      </c>
      <c r="E85" s="10" t="s">
        <v>6171</v>
      </c>
      <c r="F85" s="10" t="s">
        <v>29</v>
      </c>
      <c r="G85" s="12"/>
    </row>
    <row r="86" ht="15.75" customHeight="1">
      <c r="A86" s="10" t="s">
        <v>5984</v>
      </c>
      <c r="B86" s="12" t="s">
        <v>1178</v>
      </c>
      <c r="C86" s="10" t="s">
        <v>1175</v>
      </c>
      <c r="D86" s="11" t="str">
        <f t="shared" si="1"/>
        <v>Abrir anúncio ↗</v>
      </c>
      <c r="E86" s="10" t="s">
        <v>6171</v>
      </c>
      <c r="F86" s="10" t="s">
        <v>29</v>
      </c>
      <c r="G86" s="12"/>
    </row>
    <row r="87" ht="15.75" customHeight="1">
      <c r="A87" s="10" t="s">
        <v>5984</v>
      </c>
      <c r="B87" s="12" t="s">
        <v>1178</v>
      </c>
      <c r="C87" s="10" t="s">
        <v>4998</v>
      </c>
      <c r="D87" s="11" t="str">
        <f t="shared" si="1"/>
        <v>Abrir anúncio ↗</v>
      </c>
      <c r="E87" s="10" t="s">
        <v>6171</v>
      </c>
      <c r="F87" s="10" t="s">
        <v>29</v>
      </c>
      <c r="G87" s="12"/>
    </row>
    <row r="88" ht="15.75" customHeight="1">
      <c r="A88" s="10" t="s">
        <v>5984</v>
      </c>
      <c r="B88" s="12" t="s">
        <v>929</v>
      </c>
      <c r="C88" s="10" t="s">
        <v>924</v>
      </c>
      <c r="D88" s="11" t="str">
        <f t="shared" si="1"/>
        <v>Abrir anúncio ↗</v>
      </c>
      <c r="E88" s="10" t="s">
        <v>6157</v>
      </c>
      <c r="F88" s="10" t="s">
        <v>29</v>
      </c>
      <c r="G88" s="12"/>
    </row>
    <row r="89" ht="15.75" customHeight="1">
      <c r="A89" s="10" t="s">
        <v>5984</v>
      </c>
      <c r="B89" s="12" t="s">
        <v>929</v>
      </c>
      <c r="C89" s="10" t="s">
        <v>6625</v>
      </c>
      <c r="D89" s="11" t="str">
        <f t="shared" si="1"/>
        <v>Abrir anúncio ↗</v>
      </c>
      <c r="E89" s="10" t="s">
        <v>6157</v>
      </c>
      <c r="F89" s="10" t="s">
        <v>86</v>
      </c>
      <c r="G89" s="12"/>
    </row>
    <row r="90" ht="15.75" customHeight="1">
      <c r="A90" s="10" t="s">
        <v>5984</v>
      </c>
      <c r="B90" s="12" t="s">
        <v>6629</v>
      </c>
      <c r="C90" s="10" t="s">
        <v>6630</v>
      </c>
      <c r="D90" s="11" t="str">
        <f t="shared" si="1"/>
        <v>Abrir anúncio ↗</v>
      </c>
      <c r="E90" s="10" t="s">
        <v>6157</v>
      </c>
      <c r="F90" s="10" t="s">
        <v>29</v>
      </c>
      <c r="G90" s="12"/>
    </row>
    <row r="91" ht="15.75" customHeight="1">
      <c r="A91" s="10" t="s">
        <v>5984</v>
      </c>
      <c r="B91" s="12" t="s">
        <v>6629</v>
      </c>
      <c r="C91" s="10" t="s">
        <v>6635</v>
      </c>
      <c r="D91" s="11" t="str">
        <f t="shared" si="1"/>
        <v>Abrir anúncio ↗</v>
      </c>
      <c r="E91" s="10" t="s">
        <v>6157</v>
      </c>
      <c r="F91" s="10" t="s">
        <v>29</v>
      </c>
      <c r="G91" s="12"/>
    </row>
    <row r="92" ht="15.75" customHeight="1">
      <c r="A92" s="10" t="s">
        <v>5984</v>
      </c>
      <c r="B92" s="12" t="s">
        <v>4850</v>
      </c>
      <c r="C92" s="10" t="s">
        <v>5630</v>
      </c>
      <c r="D92" s="11" t="str">
        <f t="shared" si="1"/>
        <v>Abrir anúncio ↗</v>
      </c>
      <c r="E92" s="10" t="s">
        <v>6171</v>
      </c>
      <c r="F92" s="10" t="s">
        <v>29</v>
      </c>
      <c r="G92" s="12"/>
    </row>
    <row r="93" ht="15.75" customHeight="1">
      <c r="A93" s="10" t="s">
        <v>5984</v>
      </c>
      <c r="B93" s="12" t="s">
        <v>4850</v>
      </c>
      <c r="C93" s="10" t="s">
        <v>4847</v>
      </c>
      <c r="D93" s="11" t="str">
        <f t="shared" si="1"/>
        <v>Abrir anúncio ↗</v>
      </c>
      <c r="E93" s="10" t="s">
        <v>6171</v>
      </c>
      <c r="F93" s="10" t="s">
        <v>29</v>
      </c>
      <c r="G93" s="12"/>
    </row>
    <row r="94" ht="15.75" customHeight="1">
      <c r="A94" s="10" t="s">
        <v>5984</v>
      </c>
      <c r="B94" s="12" t="s">
        <v>3460</v>
      </c>
      <c r="C94" s="10" t="s">
        <v>3457</v>
      </c>
      <c r="D94" s="11" t="str">
        <f t="shared" si="1"/>
        <v>Abrir anúncio ↗</v>
      </c>
      <c r="E94" s="10" t="s">
        <v>6157</v>
      </c>
      <c r="F94" s="10" t="s">
        <v>29</v>
      </c>
      <c r="G94" s="12"/>
    </row>
    <row r="95" ht="15.75" customHeight="1">
      <c r="A95" s="10" t="s">
        <v>5984</v>
      </c>
      <c r="B95" s="12" t="s">
        <v>3460</v>
      </c>
      <c r="C95" s="10" t="s">
        <v>6649</v>
      </c>
      <c r="D95" s="11" t="str">
        <f t="shared" si="1"/>
        <v>Abrir anúncio ↗</v>
      </c>
      <c r="E95" s="10" t="s">
        <v>6157</v>
      </c>
      <c r="F95" s="10" t="s">
        <v>29</v>
      </c>
      <c r="G95" s="12"/>
    </row>
    <row r="96" ht="15.75" customHeight="1">
      <c r="A96" s="10" t="s">
        <v>5984</v>
      </c>
      <c r="B96" s="12" t="s">
        <v>319</v>
      </c>
      <c r="C96" s="10" t="s">
        <v>806</v>
      </c>
      <c r="D96" s="11" t="str">
        <f t="shared" si="1"/>
        <v>Abrir anúncio ↗</v>
      </c>
      <c r="E96" s="10" t="s">
        <v>6171</v>
      </c>
      <c r="F96" s="10" t="s">
        <v>29</v>
      </c>
      <c r="G96" s="12"/>
    </row>
    <row r="97" ht="15.75" customHeight="1">
      <c r="A97" s="10" t="s">
        <v>5984</v>
      </c>
      <c r="B97" s="12" t="s">
        <v>319</v>
      </c>
      <c r="C97" s="10" t="s">
        <v>317</v>
      </c>
      <c r="D97" s="11" t="str">
        <f t="shared" si="1"/>
        <v>Abrir anúncio ↗</v>
      </c>
      <c r="E97" s="10" t="s">
        <v>6171</v>
      </c>
      <c r="F97" s="10" t="s">
        <v>29</v>
      </c>
      <c r="G97" s="12"/>
    </row>
    <row r="98" ht="15.75" customHeight="1">
      <c r="A98" s="10" t="s">
        <v>5984</v>
      </c>
      <c r="B98" s="12" t="s">
        <v>1920</v>
      </c>
      <c r="C98" s="10" t="s">
        <v>1918</v>
      </c>
      <c r="D98" s="11" t="str">
        <f t="shared" si="1"/>
        <v>Abrir anúncio ↗</v>
      </c>
      <c r="E98" s="10" t="s">
        <v>6171</v>
      </c>
      <c r="F98" s="10" t="s">
        <v>29</v>
      </c>
      <c r="G98" s="12"/>
    </row>
    <row r="99" ht="15.75" customHeight="1">
      <c r="A99" s="10" t="s">
        <v>5984</v>
      </c>
      <c r="B99" s="12" t="s">
        <v>1920</v>
      </c>
      <c r="C99" s="10" t="s">
        <v>4947</v>
      </c>
      <c r="D99" s="11" t="str">
        <f t="shared" si="1"/>
        <v>Abrir anúncio ↗</v>
      </c>
      <c r="E99" s="10" t="s">
        <v>6171</v>
      </c>
      <c r="F99" s="10" t="s">
        <v>29</v>
      </c>
      <c r="G99" s="12"/>
    </row>
    <row r="100" ht="15.75" customHeight="1">
      <c r="A100" s="10" t="s">
        <v>5984</v>
      </c>
      <c r="B100" s="12" t="s">
        <v>6557</v>
      </c>
      <c r="C100" s="10" t="s">
        <v>6671</v>
      </c>
      <c r="D100" s="11" t="str">
        <f t="shared" si="1"/>
        <v>Abrir anúncio ↗</v>
      </c>
      <c r="E100" s="10" t="s">
        <v>6171</v>
      </c>
      <c r="F100" s="10" t="s">
        <v>29</v>
      </c>
      <c r="G100" s="12"/>
    </row>
    <row r="101" ht="15.75" customHeight="1">
      <c r="A101" s="10" t="s">
        <v>5984</v>
      </c>
      <c r="B101" s="12" t="s">
        <v>6557</v>
      </c>
      <c r="C101" s="10" t="s">
        <v>6556</v>
      </c>
      <c r="D101" s="11" t="str">
        <f t="shared" si="1"/>
        <v>Abrir anúncio ↗</v>
      </c>
      <c r="E101" s="10" t="s">
        <v>6171</v>
      </c>
      <c r="F101" s="10" t="s">
        <v>29</v>
      </c>
      <c r="G101" s="12"/>
    </row>
    <row r="102" ht="15.75" customHeight="1">
      <c r="A102" s="10" t="s">
        <v>5984</v>
      </c>
      <c r="B102" s="12" t="s">
        <v>2188</v>
      </c>
      <c r="C102" s="10" t="s">
        <v>3848</v>
      </c>
      <c r="D102" s="11" t="str">
        <f t="shared" si="1"/>
        <v>Abrir anúncio ↗</v>
      </c>
      <c r="E102" s="10" t="s">
        <v>6157</v>
      </c>
      <c r="F102" s="10" t="s">
        <v>29</v>
      </c>
      <c r="G102" s="12"/>
    </row>
    <row r="103" ht="15.75" customHeight="1">
      <c r="A103" s="10" t="s">
        <v>5984</v>
      </c>
      <c r="B103" s="12" t="s">
        <v>2188</v>
      </c>
      <c r="C103" s="10" t="s">
        <v>2186</v>
      </c>
      <c r="D103" s="11" t="str">
        <f t="shared" si="1"/>
        <v>Abrir anúncio ↗</v>
      </c>
      <c r="E103" s="10" t="s">
        <v>6157</v>
      </c>
      <c r="F103" s="10" t="s">
        <v>29</v>
      </c>
      <c r="G103" s="12"/>
    </row>
    <row r="104" ht="15.75" customHeight="1">
      <c r="A104" s="10" t="s">
        <v>5984</v>
      </c>
      <c r="B104" s="12" t="s">
        <v>5071</v>
      </c>
      <c r="C104" s="10" t="s">
        <v>5211</v>
      </c>
      <c r="D104" s="11" t="str">
        <f t="shared" si="1"/>
        <v>Abrir anúncio ↗</v>
      </c>
      <c r="E104" s="10" t="s">
        <v>6171</v>
      </c>
      <c r="F104" s="10" t="s">
        <v>29</v>
      </c>
      <c r="G104" s="12"/>
    </row>
    <row r="105" ht="15.75" customHeight="1">
      <c r="A105" s="10" t="s">
        <v>5984</v>
      </c>
      <c r="B105" s="12" t="s">
        <v>5071</v>
      </c>
      <c r="C105" s="10" t="s">
        <v>5069</v>
      </c>
      <c r="D105" s="11" t="str">
        <f t="shared" si="1"/>
        <v>Abrir anúncio ↗</v>
      </c>
      <c r="E105" s="10" t="s">
        <v>6171</v>
      </c>
      <c r="F105" s="10" t="s">
        <v>29</v>
      </c>
      <c r="G105" s="12"/>
    </row>
    <row r="106" ht="15.75" customHeight="1">
      <c r="A106" s="10" t="s">
        <v>5984</v>
      </c>
      <c r="B106" s="12" t="s">
        <v>6693</v>
      </c>
      <c r="C106" s="10" t="s">
        <v>6694</v>
      </c>
      <c r="D106" s="11" t="str">
        <f t="shared" si="1"/>
        <v>Abrir anúncio ↗</v>
      </c>
      <c r="E106" s="10" t="s">
        <v>6157</v>
      </c>
      <c r="F106" s="10" t="s">
        <v>29</v>
      </c>
      <c r="G106" s="12"/>
    </row>
    <row r="107" ht="15.75" customHeight="1">
      <c r="A107" s="10" t="s">
        <v>5984</v>
      </c>
      <c r="B107" s="12" t="s">
        <v>6693</v>
      </c>
      <c r="C107" s="10" t="s">
        <v>6697</v>
      </c>
      <c r="D107" s="11" t="str">
        <f t="shared" si="1"/>
        <v>Abrir anúncio ↗</v>
      </c>
      <c r="E107" s="10" t="s">
        <v>6157</v>
      </c>
      <c r="F107" s="10" t="s">
        <v>29</v>
      </c>
      <c r="G107" s="12"/>
    </row>
    <row r="108" ht="15.75" customHeight="1">
      <c r="A108" s="10" t="s">
        <v>5984</v>
      </c>
      <c r="B108" s="12" t="s">
        <v>6702</v>
      </c>
      <c r="C108" s="10" t="s">
        <v>6703</v>
      </c>
      <c r="D108" s="11" t="str">
        <f t="shared" si="1"/>
        <v>Abrir anúncio ↗</v>
      </c>
      <c r="E108" s="10" t="s">
        <v>6157</v>
      </c>
      <c r="F108" s="10" t="s">
        <v>29</v>
      </c>
      <c r="G108" s="12"/>
    </row>
    <row r="109" ht="15.75" customHeight="1">
      <c r="A109" s="10" t="s">
        <v>5984</v>
      </c>
      <c r="B109" s="12" t="s">
        <v>6702</v>
      </c>
      <c r="C109" s="10" t="s">
        <v>6707</v>
      </c>
      <c r="D109" s="11" t="str">
        <f t="shared" si="1"/>
        <v>Abrir anúncio ↗</v>
      </c>
      <c r="E109" s="10" t="s">
        <v>6157</v>
      </c>
      <c r="F109" s="10" t="s">
        <v>29</v>
      </c>
      <c r="G109" s="12"/>
    </row>
    <row r="110" ht="15.75" customHeight="1">
      <c r="A110" s="10" t="s">
        <v>5984</v>
      </c>
      <c r="B110" s="12" t="s">
        <v>6709</v>
      </c>
      <c r="C110" s="10" t="s">
        <v>6711</v>
      </c>
      <c r="D110" s="11" t="str">
        <f t="shared" si="1"/>
        <v>Abrir anúncio ↗</v>
      </c>
      <c r="E110" s="10" t="s">
        <v>6171</v>
      </c>
      <c r="F110" s="10" t="s">
        <v>29</v>
      </c>
      <c r="G110" s="12"/>
    </row>
    <row r="111" ht="15.75" customHeight="1">
      <c r="A111" s="10" t="s">
        <v>5984</v>
      </c>
      <c r="B111" s="12" t="s">
        <v>6709</v>
      </c>
      <c r="C111" s="10" t="s">
        <v>6716</v>
      </c>
      <c r="D111" s="11" t="str">
        <f t="shared" si="1"/>
        <v>Abrir anúncio ↗</v>
      </c>
      <c r="E111" s="10" t="s">
        <v>6171</v>
      </c>
      <c r="F111" s="10" t="s">
        <v>29</v>
      </c>
      <c r="G111" s="12"/>
    </row>
    <row r="112" ht="15.75" customHeight="1">
      <c r="A112" s="10" t="s">
        <v>5984</v>
      </c>
      <c r="B112" s="12" t="s">
        <v>3938</v>
      </c>
      <c r="C112" s="10" t="s">
        <v>5337</v>
      </c>
      <c r="D112" s="11" t="str">
        <f t="shared" si="1"/>
        <v>Abrir anúncio ↗</v>
      </c>
      <c r="E112" s="10" t="s">
        <v>6171</v>
      </c>
      <c r="F112" s="10" t="s">
        <v>29</v>
      </c>
      <c r="G112" s="12"/>
    </row>
    <row r="113" ht="15.75" customHeight="1">
      <c r="A113" s="10" t="s">
        <v>5984</v>
      </c>
      <c r="B113" s="12" t="s">
        <v>3938</v>
      </c>
      <c r="C113" s="10" t="s">
        <v>3937</v>
      </c>
      <c r="D113" s="11" t="str">
        <f t="shared" si="1"/>
        <v>Abrir anúncio ↗</v>
      </c>
      <c r="E113" s="10" t="s">
        <v>6171</v>
      </c>
      <c r="F113" s="10" t="s">
        <v>29</v>
      </c>
      <c r="G113" s="12"/>
    </row>
    <row r="114" ht="15.75" customHeight="1">
      <c r="A114" s="10" t="s">
        <v>5984</v>
      </c>
      <c r="B114" s="12" t="s">
        <v>1926</v>
      </c>
      <c r="C114" s="10" t="s">
        <v>1924</v>
      </c>
      <c r="D114" s="11" t="str">
        <f t="shared" si="1"/>
        <v>Abrir anúncio ↗</v>
      </c>
      <c r="E114" s="10" t="s">
        <v>6171</v>
      </c>
      <c r="F114" s="10" t="s">
        <v>29</v>
      </c>
      <c r="G114" s="12"/>
    </row>
    <row r="115" ht="15.75" customHeight="1">
      <c r="A115" s="10" t="s">
        <v>5984</v>
      </c>
      <c r="B115" s="12" t="s">
        <v>1926</v>
      </c>
      <c r="C115" s="10" t="s">
        <v>5661</v>
      </c>
      <c r="D115" s="11" t="str">
        <f t="shared" si="1"/>
        <v>Abrir anúncio ↗</v>
      </c>
      <c r="E115" s="10" t="s">
        <v>6171</v>
      </c>
      <c r="F115" s="10" t="s">
        <v>29</v>
      </c>
      <c r="G115" s="12"/>
    </row>
    <row r="116" ht="15.75" customHeight="1">
      <c r="A116" s="10" t="s">
        <v>5984</v>
      </c>
      <c r="B116" s="12" t="s">
        <v>4069</v>
      </c>
      <c r="C116" s="10" t="s">
        <v>4066</v>
      </c>
      <c r="D116" s="11" t="str">
        <f t="shared" si="1"/>
        <v>Abrir anúncio ↗</v>
      </c>
      <c r="E116" s="10" t="s">
        <v>6171</v>
      </c>
      <c r="F116" s="10" t="s">
        <v>29</v>
      </c>
      <c r="G116" s="12"/>
    </row>
    <row r="117" ht="15.75" customHeight="1">
      <c r="A117" s="10" t="s">
        <v>5984</v>
      </c>
      <c r="B117" s="12" t="s">
        <v>4069</v>
      </c>
      <c r="C117" s="10" t="s">
        <v>6730</v>
      </c>
      <c r="D117" s="11" t="str">
        <f t="shared" si="1"/>
        <v>Abrir anúncio ↗</v>
      </c>
      <c r="E117" s="10" t="s">
        <v>6171</v>
      </c>
      <c r="F117" s="10" t="s">
        <v>29</v>
      </c>
      <c r="G117" s="12"/>
    </row>
    <row r="118" ht="15.75" customHeight="1">
      <c r="A118" s="10" t="s">
        <v>5984</v>
      </c>
      <c r="B118" s="12" t="s">
        <v>980</v>
      </c>
      <c r="C118" s="10" t="s">
        <v>978</v>
      </c>
      <c r="D118" s="11" t="str">
        <f t="shared" si="1"/>
        <v>Abrir anúncio ↗</v>
      </c>
      <c r="E118" s="10" t="s">
        <v>6157</v>
      </c>
      <c r="F118" s="10" t="s">
        <v>29</v>
      </c>
      <c r="G118" s="12"/>
    </row>
    <row r="119" ht="15.75" customHeight="1">
      <c r="A119" s="10" t="s">
        <v>5984</v>
      </c>
      <c r="B119" s="12" t="s">
        <v>980</v>
      </c>
      <c r="C119" s="10" t="s">
        <v>6735</v>
      </c>
      <c r="D119" s="11" t="str">
        <f t="shared" si="1"/>
        <v>Abrir anúncio ↗</v>
      </c>
      <c r="E119" s="10" t="s">
        <v>6157</v>
      </c>
      <c r="F119" s="10" t="s">
        <v>29</v>
      </c>
      <c r="G119" s="12"/>
    </row>
    <row r="120" ht="15.75" customHeight="1">
      <c r="A120" s="10" t="s">
        <v>5984</v>
      </c>
      <c r="B120" s="12" t="s">
        <v>6737</v>
      </c>
      <c r="C120" s="10" t="s">
        <v>6739</v>
      </c>
      <c r="D120" s="11" t="str">
        <f t="shared" si="1"/>
        <v>Abrir anúncio ↗</v>
      </c>
      <c r="E120" s="10" t="s">
        <v>6157</v>
      </c>
      <c r="F120" s="10" t="s">
        <v>29</v>
      </c>
      <c r="G120" s="12"/>
    </row>
    <row r="121" ht="15.75" customHeight="1">
      <c r="A121" s="10" t="s">
        <v>5984</v>
      </c>
      <c r="B121" s="12" t="s">
        <v>6737</v>
      </c>
      <c r="C121" s="10" t="s">
        <v>6742</v>
      </c>
      <c r="D121" s="11" t="str">
        <f t="shared" si="1"/>
        <v>Abrir anúncio ↗</v>
      </c>
      <c r="E121" s="10" t="s">
        <v>6157</v>
      </c>
      <c r="F121" s="10" t="s">
        <v>29</v>
      </c>
      <c r="G121" s="12"/>
    </row>
    <row r="122" ht="15.75" customHeight="1">
      <c r="A122" s="10" t="s">
        <v>5984</v>
      </c>
      <c r="B122" s="12" t="s">
        <v>1588</v>
      </c>
      <c r="C122" s="10" t="s">
        <v>1587</v>
      </c>
      <c r="D122" s="11" t="str">
        <f t="shared" si="1"/>
        <v>Abrir anúncio ↗</v>
      </c>
      <c r="E122" s="10" t="s">
        <v>6171</v>
      </c>
      <c r="F122" s="10" t="s">
        <v>29</v>
      </c>
      <c r="G122" s="12"/>
    </row>
    <row r="123" ht="15.75" customHeight="1">
      <c r="A123" s="10" t="s">
        <v>5984</v>
      </c>
      <c r="B123" s="12" t="s">
        <v>1588</v>
      </c>
      <c r="C123" s="10" t="s">
        <v>5903</v>
      </c>
      <c r="D123" s="11" t="str">
        <f t="shared" si="1"/>
        <v>Abrir anúncio ↗</v>
      </c>
      <c r="E123" s="10" t="s">
        <v>6171</v>
      </c>
      <c r="F123" s="10" t="s">
        <v>29</v>
      </c>
      <c r="G123" s="12"/>
    </row>
    <row r="124" ht="15.75" customHeight="1">
      <c r="A124" s="10" t="s">
        <v>5984</v>
      </c>
      <c r="B124" s="12" t="s">
        <v>6752</v>
      </c>
      <c r="C124" s="10" t="s">
        <v>6753</v>
      </c>
      <c r="D124" s="11" t="str">
        <f t="shared" si="1"/>
        <v>Abrir anúncio ↗</v>
      </c>
      <c r="E124" s="10" t="s">
        <v>6157</v>
      </c>
      <c r="F124" s="10" t="s">
        <v>29</v>
      </c>
      <c r="G124" s="12"/>
    </row>
    <row r="125" ht="15.75" customHeight="1">
      <c r="A125" s="10" t="s">
        <v>5984</v>
      </c>
      <c r="B125" s="12" t="s">
        <v>6752</v>
      </c>
      <c r="C125" s="10" t="s">
        <v>6758</v>
      </c>
      <c r="D125" s="11" t="str">
        <f t="shared" si="1"/>
        <v>Abrir anúncio ↗</v>
      </c>
      <c r="E125" s="10" t="s">
        <v>6157</v>
      </c>
      <c r="F125" s="10" t="s">
        <v>29</v>
      </c>
      <c r="G125" s="12"/>
    </row>
    <row r="126" ht="15.75" customHeight="1">
      <c r="A126" s="10" t="s">
        <v>5984</v>
      </c>
      <c r="B126" s="12" t="s">
        <v>5823</v>
      </c>
      <c r="C126" s="10" t="s">
        <v>5819</v>
      </c>
      <c r="D126" s="11" t="str">
        <f t="shared" si="1"/>
        <v>Abrir anúncio ↗</v>
      </c>
      <c r="E126" s="10" t="s">
        <v>6239</v>
      </c>
      <c r="F126" s="10" t="s">
        <v>29</v>
      </c>
      <c r="G126" s="12"/>
    </row>
    <row r="127" ht="15.75" customHeight="1">
      <c r="A127" s="10" t="s">
        <v>5984</v>
      </c>
      <c r="B127" s="12" t="s">
        <v>5823</v>
      </c>
      <c r="C127" s="10" t="s">
        <v>5842</v>
      </c>
      <c r="D127" s="11" t="str">
        <f t="shared" si="1"/>
        <v>Abrir anúncio ↗</v>
      </c>
      <c r="E127" s="10" t="s">
        <v>6239</v>
      </c>
      <c r="F127" s="10" t="s">
        <v>29</v>
      </c>
      <c r="G127" s="12"/>
    </row>
    <row r="128" ht="15.75" customHeight="1">
      <c r="A128" s="10" t="s">
        <v>5984</v>
      </c>
      <c r="B128" s="12" t="s">
        <v>594</v>
      </c>
      <c r="C128" s="10" t="s">
        <v>1016</v>
      </c>
      <c r="D128" s="11" t="str">
        <f t="shared" si="1"/>
        <v>Abrir anúncio ↗</v>
      </c>
      <c r="E128" s="10" t="s">
        <v>6171</v>
      </c>
      <c r="F128" s="10" t="s">
        <v>29</v>
      </c>
      <c r="G128" s="12"/>
    </row>
    <row r="129" ht="15.75" customHeight="1">
      <c r="A129" s="10" t="s">
        <v>5984</v>
      </c>
      <c r="B129" s="12" t="s">
        <v>594</v>
      </c>
      <c r="C129" s="10" t="s">
        <v>593</v>
      </c>
      <c r="D129" s="11" t="str">
        <f t="shared" si="1"/>
        <v>Abrir anúncio ↗</v>
      </c>
      <c r="E129" s="10" t="s">
        <v>6171</v>
      </c>
      <c r="F129" s="10" t="s">
        <v>29</v>
      </c>
      <c r="G129" s="12"/>
    </row>
    <row r="130" ht="15.75" customHeight="1">
      <c r="A130" s="10" t="s">
        <v>5984</v>
      </c>
      <c r="B130" s="12" t="s">
        <v>233</v>
      </c>
      <c r="C130" s="10" t="s">
        <v>232</v>
      </c>
      <c r="D130" s="11" t="str">
        <f t="shared" si="1"/>
        <v>Abrir anúncio ↗</v>
      </c>
      <c r="E130" s="10" t="s">
        <v>6171</v>
      </c>
      <c r="F130" s="10" t="s">
        <v>29</v>
      </c>
      <c r="G130" s="12"/>
    </row>
    <row r="131" ht="15.75" customHeight="1">
      <c r="A131" s="10" t="s">
        <v>5984</v>
      </c>
      <c r="B131" s="12" t="s">
        <v>233</v>
      </c>
      <c r="C131" s="10" t="s">
        <v>4938</v>
      </c>
      <c r="D131" s="11" t="str">
        <f t="shared" si="1"/>
        <v>Abrir anúncio ↗</v>
      </c>
      <c r="E131" s="10" t="s">
        <v>6171</v>
      </c>
      <c r="F131" s="10" t="s">
        <v>29</v>
      </c>
      <c r="G131" s="12"/>
    </row>
    <row r="132" ht="15.75" customHeight="1">
      <c r="A132" s="10" t="s">
        <v>5984</v>
      </c>
      <c r="B132" s="12" t="s">
        <v>484</v>
      </c>
      <c r="C132" s="10" t="s">
        <v>482</v>
      </c>
      <c r="D132" s="11" t="str">
        <f t="shared" si="1"/>
        <v>Abrir anúncio ↗</v>
      </c>
      <c r="E132" s="10" t="s">
        <v>6171</v>
      </c>
      <c r="F132" s="10" t="s">
        <v>29</v>
      </c>
      <c r="G132" s="12"/>
    </row>
    <row r="133" ht="15.75" customHeight="1">
      <c r="A133" s="10" t="s">
        <v>5984</v>
      </c>
      <c r="B133" s="12" t="s">
        <v>484</v>
      </c>
      <c r="C133" s="10" t="s">
        <v>801</v>
      </c>
      <c r="D133" s="11" t="str">
        <f t="shared" si="1"/>
        <v>Abrir anúncio ↗</v>
      </c>
      <c r="E133" s="10" t="s">
        <v>6171</v>
      </c>
      <c r="F133" s="10" t="s">
        <v>29</v>
      </c>
      <c r="G133" s="12"/>
    </row>
    <row r="134" ht="15.75" customHeight="1">
      <c r="A134" s="10" t="s">
        <v>5984</v>
      </c>
      <c r="B134" s="12" t="s">
        <v>1172</v>
      </c>
      <c r="C134" s="10" t="s">
        <v>1170</v>
      </c>
      <c r="D134" s="11" t="str">
        <f t="shared" si="1"/>
        <v>Abrir anúncio ↗</v>
      </c>
      <c r="E134" s="10" t="s">
        <v>6171</v>
      </c>
      <c r="F134" s="10" t="s">
        <v>29</v>
      </c>
      <c r="G134" s="12"/>
    </row>
    <row r="135" ht="15.75" customHeight="1">
      <c r="A135" s="10" t="s">
        <v>5984</v>
      </c>
      <c r="B135" s="12" t="s">
        <v>1172</v>
      </c>
      <c r="C135" s="10" t="s">
        <v>2092</v>
      </c>
      <c r="D135" s="11" t="str">
        <f t="shared" si="1"/>
        <v>Abrir anúncio ↗</v>
      </c>
      <c r="E135" s="10" t="s">
        <v>6171</v>
      </c>
      <c r="F135" s="10" t="s">
        <v>29</v>
      </c>
      <c r="G135" s="12"/>
    </row>
    <row r="136" ht="15.75" customHeight="1">
      <c r="A136" s="10" t="s">
        <v>5984</v>
      </c>
      <c r="B136" s="12" t="s">
        <v>1300</v>
      </c>
      <c r="C136" s="10" t="s">
        <v>1336</v>
      </c>
      <c r="D136" s="11" t="str">
        <f t="shared" si="1"/>
        <v>Abrir anúncio ↗</v>
      </c>
      <c r="E136" s="10" t="s">
        <v>6171</v>
      </c>
      <c r="F136" s="10" t="s">
        <v>29</v>
      </c>
      <c r="G136" s="12"/>
    </row>
    <row r="137" ht="15.75" customHeight="1">
      <c r="A137" s="10" t="s">
        <v>5984</v>
      </c>
      <c r="B137" s="12" t="s">
        <v>1300</v>
      </c>
      <c r="C137" s="10" t="s">
        <v>1299</v>
      </c>
      <c r="D137" s="11" t="str">
        <f t="shared" si="1"/>
        <v>Abrir anúncio ↗</v>
      </c>
      <c r="E137" s="10" t="s">
        <v>6171</v>
      </c>
      <c r="F137" s="10" t="s">
        <v>29</v>
      </c>
      <c r="G137" s="12"/>
    </row>
    <row r="138" ht="15.75" customHeight="1">
      <c r="A138" s="10" t="s">
        <v>5984</v>
      </c>
      <c r="B138" s="12" t="s">
        <v>6805</v>
      </c>
      <c r="C138" s="10" t="s">
        <v>6806</v>
      </c>
      <c r="D138" s="11" t="str">
        <f t="shared" si="1"/>
        <v>Abrir anúncio ↗</v>
      </c>
      <c r="E138" s="10" t="s">
        <v>6157</v>
      </c>
      <c r="F138" s="10" t="s">
        <v>29</v>
      </c>
      <c r="G138" s="12"/>
    </row>
    <row r="139" ht="15.75" customHeight="1">
      <c r="A139" s="10" t="s">
        <v>5984</v>
      </c>
      <c r="B139" s="12" t="s">
        <v>6805</v>
      </c>
      <c r="C139" s="10" t="s">
        <v>6811</v>
      </c>
      <c r="D139" s="11" t="str">
        <f t="shared" si="1"/>
        <v>Abrir anúncio ↗</v>
      </c>
      <c r="E139" s="10" t="s">
        <v>6157</v>
      </c>
      <c r="F139" s="10" t="s">
        <v>29</v>
      </c>
      <c r="G139" s="12"/>
    </row>
    <row r="140" ht="15.75" customHeight="1">
      <c r="A140" s="10" t="s">
        <v>5984</v>
      </c>
      <c r="B140" s="12" t="s">
        <v>4466</v>
      </c>
      <c r="C140" s="10" t="s">
        <v>4465</v>
      </c>
      <c r="D140" s="11" t="str">
        <f t="shared" si="1"/>
        <v>Abrir anúncio ↗</v>
      </c>
      <c r="E140" s="10" t="s">
        <v>6171</v>
      </c>
      <c r="F140" s="10" t="s">
        <v>29</v>
      </c>
      <c r="G140" s="12"/>
    </row>
    <row r="141" ht="15.75" customHeight="1">
      <c r="A141" s="10" t="s">
        <v>5984</v>
      </c>
      <c r="B141" s="12" t="s">
        <v>4466</v>
      </c>
      <c r="C141" s="10" t="s">
        <v>5975</v>
      </c>
      <c r="D141" s="11" t="str">
        <f t="shared" si="1"/>
        <v>Abrir anúncio ↗</v>
      </c>
      <c r="E141" s="10" t="s">
        <v>6171</v>
      </c>
      <c r="F141" s="10" t="s">
        <v>29</v>
      </c>
      <c r="G141" s="12"/>
    </row>
    <row r="142" ht="15.75" customHeight="1">
      <c r="A142" s="10" t="s">
        <v>5984</v>
      </c>
      <c r="B142" s="12" t="s">
        <v>6821</v>
      </c>
      <c r="C142" s="10" t="s">
        <v>6822</v>
      </c>
      <c r="D142" s="11" t="str">
        <f t="shared" si="1"/>
        <v>Abrir anúncio ↗</v>
      </c>
      <c r="E142" s="10" t="s">
        <v>6157</v>
      </c>
      <c r="F142" s="10" t="s">
        <v>29</v>
      </c>
      <c r="G142" s="12"/>
    </row>
    <row r="143" ht="15.75" customHeight="1">
      <c r="A143" s="10" t="s">
        <v>5984</v>
      </c>
      <c r="B143" s="12" t="s">
        <v>6821</v>
      </c>
      <c r="C143" s="10" t="s">
        <v>6826</v>
      </c>
      <c r="D143" s="11" t="str">
        <f t="shared" si="1"/>
        <v>Abrir anúncio ↗</v>
      </c>
      <c r="E143" s="10" t="s">
        <v>6157</v>
      </c>
      <c r="F143" s="10" t="s">
        <v>29</v>
      </c>
      <c r="G143" s="12"/>
    </row>
    <row r="144" ht="15.75" customHeight="1">
      <c r="A144" s="10" t="s">
        <v>5984</v>
      </c>
      <c r="B144" s="12" t="s">
        <v>6829</v>
      </c>
      <c r="C144" s="10" t="s">
        <v>6831</v>
      </c>
      <c r="D144" s="11" t="str">
        <f t="shared" si="1"/>
        <v>Abrir anúncio ↗</v>
      </c>
      <c r="E144" s="10" t="s">
        <v>6157</v>
      </c>
      <c r="F144" s="10" t="s">
        <v>29</v>
      </c>
      <c r="G144" s="12"/>
    </row>
    <row r="145" ht="15.75" customHeight="1">
      <c r="A145" s="10" t="s">
        <v>5984</v>
      </c>
      <c r="B145" s="12" t="s">
        <v>6829</v>
      </c>
      <c r="C145" s="10" t="s">
        <v>6835</v>
      </c>
      <c r="D145" s="11" t="str">
        <f t="shared" si="1"/>
        <v>Abrir anúncio ↗</v>
      </c>
      <c r="E145" s="10" t="s">
        <v>6157</v>
      </c>
      <c r="F145" s="10" t="s">
        <v>29</v>
      </c>
      <c r="G145" s="12"/>
    </row>
    <row r="146" ht="15.75" customHeight="1">
      <c r="A146" s="10" t="s">
        <v>5984</v>
      </c>
      <c r="B146" s="12" t="s">
        <v>2062</v>
      </c>
      <c r="C146" s="10" t="s">
        <v>2061</v>
      </c>
      <c r="D146" s="11" t="str">
        <f t="shared" si="1"/>
        <v>Abrir anúncio ↗</v>
      </c>
      <c r="E146" s="10" t="s">
        <v>6171</v>
      </c>
      <c r="F146" s="10" t="s">
        <v>29</v>
      </c>
      <c r="G146" s="12"/>
    </row>
    <row r="147" ht="15.75" customHeight="1">
      <c r="A147" s="10" t="s">
        <v>5984</v>
      </c>
      <c r="B147" s="12" t="s">
        <v>2062</v>
      </c>
      <c r="C147" s="10" t="s">
        <v>5001</v>
      </c>
      <c r="D147" s="11" t="str">
        <f t="shared" si="1"/>
        <v>Abrir anúncio ↗</v>
      </c>
      <c r="E147" s="10" t="s">
        <v>6171</v>
      </c>
      <c r="F147" s="10" t="s">
        <v>29</v>
      </c>
      <c r="G147" s="12"/>
    </row>
    <row r="148" ht="15.75" customHeight="1">
      <c r="A148" s="10" t="s">
        <v>5984</v>
      </c>
      <c r="B148" s="12" t="s">
        <v>3598</v>
      </c>
      <c r="C148" s="10" t="s">
        <v>6843</v>
      </c>
      <c r="D148" s="11" t="str">
        <f t="shared" si="1"/>
        <v>Abrir anúncio ↗</v>
      </c>
      <c r="E148" s="10" t="s">
        <v>6171</v>
      </c>
      <c r="F148" s="10" t="s">
        <v>29</v>
      </c>
      <c r="G148" s="12"/>
    </row>
    <row r="149" ht="15.75" customHeight="1">
      <c r="A149" s="10" t="s">
        <v>5984</v>
      </c>
      <c r="B149" s="12" t="s">
        <v>3598</v>
      </c>
      <c r="C149" s="10" t="s">
        <v>3595</v>
      </c>
      <c r="D149" s="11" t="str">
        <f t="shared" si="1"/>
        <v>Abrir anúncio ↗</v>
      </c>
      <c r="E149" s="10" t="s">
        <v>6171</v>
      </c>
      <c r="F149" s="10" t="s">
        <v>29</v>
      </c>
      <c r="G149" s="12"/>
    </row>
    <row r="150" ht="15.75" customHeight="1">
      <c r="A150" s="10" t="s">
        <v>5984</v>
      </c>
      <c r="B150" s="12" t="s">
        <v>6847</v>
      </c>
      <c r="C150" s="10" t="s">
        <v>6849</v>
      </c>
      <c r="D150" s="11" t="str">
        <f t="shared" si="1"/>
        <v>Abrir anúncio ↗</v>
      </c>
      <c r="E150" s="10" t="s">
        <v>6157</v>
      </c>
      <c r="F150" s="10" t="s">
        <v>29</v>
      </c>
      <c r="G150" s="12"/>
    </row>
    <row r="151" ht="15.75" customHeight="1">
      <c r="A151" s="10" t="s">
        <v>5984</v>
      </c>
      <c r="B151" s="12" t="s">
        <v>6847</v>
      </c>
      <c r="C151" s="10" t="s">
        <v>6853</v>
      </c>
      <c r="D151" s="11" t="str">
        <f t="shared" si="1"/>
        <v>Abrir anúncio ↗</v>
      </c>
      <c r="E151" s="10" t="s">
        <v>6157</v>
      </c>
      <c r="F151" s="10" t="s">
        <v>29</v>
      </c>
      <c r="G151" s="12"/>
    </row>
    <row r="152" ht="15.75" customHeight="1">
      <c r="A152" s="10" t="s">
        <v>5984</v>
      </c>
      <c r="B152" s="12" t="s">
        <v>4200</v>
      </c>
      <c r="C152" s="10" t="s">
        <v>6115</v>
      </c>
      <c r="D152" s="11" t="str">
        <f t="shared" si="1"/>
        <v>Abrir anúncio ↗</v>
      </c>
      <c r="E152" s="10" t="s">
        <v>6171</v>
      </c>
      <c r="F152" s="10" t="s">
        <v>29</v>
      </c>
      <c r="G152" s="12"/>
    </row>
    <row r="153" ht="15.75" customHeight="1">
      <c r="A153" s="10" t="s">
        <v>5984</v>
      </c>
      <c r="B153" s="12" t="s">
        <v>4200</v>
      </c>
      <c r="C153" s="10" t="s">
        <v>4198</v>
      </c>
      <c r="D153" s="11" t="str">
        <f t="shared" si="1"/>
        <v>Abrir anúncio ↗</v>
      </c>
      <c r="E153" s="10" t="s">
        <v>6171</v>
      </c>
      <c r="F153" s="10" t="s">
        <v>29</v>
      </c>
      <c r="G153" s="12"/>
    </row>
    <row r="154" ht="15.75" customHeight="1">
      <c r="A154" s="10" t="s">
        <v>5984</v>
      </c>
      <c r="B154" s="12" t="s">
        <v>6861</v>
      </c>
      <c r="C154" s="10" t="s">
        <v>6862</v>
      </c>
      <c r="D154" s="11" t="str">
        <f t="shared" si="1"/>
        <v>Abrir anúncio ↗</v>
      </c>
      <c r="E154" s="10" t="s">
        <v>6179</v>
      </c>
      <c r="F154" s="10" t="s">
        <v>29</v>
      </c>
      <c r="G154" s="12"/>
    </row>
    <row r="155" ht="15.75" customHeight="1">
      <c r="A155" s="10" t="s">
        <v>5984</v>
      </c>
      <c r="B155" s="12" t="s">
        <v>6861</v>
      </c>
      <c r="C155" s="10" t="s">
        <v>6867</v>
      </c>
      <c r="D155" s="11" t="str">
        <f t="shared" si="1"/>
        <v>Abrir anúncio ↗</v>
      </c>
      <c r="E155" s="10" t="s">
        <v>6179</v>
      </c>
      <c r="F155" s="10" t="s">
        <v>29</v>
      </c>
      <c r="G155" s="12"/>
    </row>
    <row r="156" ht="15.75" customHeight="1">
      <c r="A156" s="10" t="s">
        <v>5984</v>
      </c>
      <c r="B156" s="12" t="s">
        <v>4879</v>
      </c>
      <c r="C156" s="10" t="s">
        <v>4878</v>
      </c>
      <c r="D156" s="11" t="str">
        <f t="shared" si="1"/>
        <v>Abrir anúncio ↗</v>
      </c>
      <c r="E156" s="10" t="s">
        <v>6171</v>
      </c>
      <c r="F156" s="10" t="s">
        <v>29</v>
      </c>
      <c r="G156" s="12"/>
    </row>
    <row r="157" ht="15.75" customHeight="1">
      <c r="A157" s="10" t="s">
        <v>5984</v>
      </c>
      <c r="B157" s="12" t="s">
        <v>4879</v>
      </c>
      <c r="C157" s="10" t="s">
        <v>6873</v>
      </c>
      <c r="D157" s="11" t="str">
        <f t="shared" si="1"/>
        <v>Abrir anúncio ↗</v>
      </c>
      <c r="E157" s="10" t="s">
        <v>6171</v>
      </c>
      <c r="F157" s="10" t="s">
        <v>29</v>
      </c>
      <c r="G157" s="12"/>
    </row>
    <row r="158" ht="15.75" customHeight="1">
      <c r="A158" s="10" t="s">
        <v>5984</v>
      </c>
      <c r="B158" s="12" t="s">
        <v>478</v>
      </c>
      <c r="C158" s="10" t="s">
        <v>476</v>
      </c>
      <c r="D158" s="11" t="str">
        <f t="shared" si="1"/>
        <v>Abrir anúncio ↗</v>
      </c>
      <c r="E158" s="10" t="s">
        <v>6171</v>
      </c>
      <c r="F158" s="10" t="s">
        <v>29</v>
      </c>
      <c r="G158" s="12"/>
    </row>
    <row r="159" ht="15.75" customHeight="1">
      <c r="A159" s="10" t="s">
        <v>5984</v>
      </c>
      <c r="B159" s="12" t="s">
        <v>478</v>
      </c>
      <c r="C159" s="10" t="s">
        <v>896</v>
      </c>
      <c r="D159" s="11" t="str">
        <f t="shared" si="1"/>
        <v>Abrir anúncio ↗</v>
      </c>
      <c r="E159" s="10" t="s">
        <v>6171</v>
      </c>
      <c r="F159" s="10" t="s">
        <v>29</v>
      </c>
      <c r="G159" s="12"/>
    </row>
    <row r="160" ht="15.75" customHeight="1">
      <c r="A160" s="10" t="s">
        <v>5984</v>
      </c>
      <c r="B160" s="12" t="s">
        <v>6766</v>
      </c>
      <c r="C160" s="10" t="s">
        <v>6764</v>
      </c>
      <c r="D160" s="11" t="str">
        <f t="shared" si="1"/>
        <v>Abrir anúncio ↗</v>
      </c>
      <c r="E160" s="10" t="s">
        <v>6171</v>
      </c>
      <c r="F160" s="10" t="s">
        <v>29</v>
      </c>
      <c r="G160" s="12"/>
    </row>
    <row r="161" ht="15.75" customHeight="1">
      <c r="A161" s="10" t="s">
        <v>5984</v>
      </c>
      <c r="B161" s="12" t="s">
        <v>6766</v>
      </c>
      <c r="C161" s="10" t="s">
        <v>6887</v>
      </c>
      <c r="D161" s="11" t="str">
        <f t="shared" si="1"/>
        <v>Abrir anúncio ↗</v>
      </c>
      <c r="E161" s="10" t="s">
        <v>6171</v>
      </c>
      <c r="F161" s="10" t="s">
        <v>29</v>
      </c>
      <c r="G161" s="12"/>
    </row>
    <row r="162" ht="15.75" customHeight="1">
      <c r="A162" s="10" t="s">
        <v>5984</v>
      </c>
      <c r="B162" s="12" t="s">
        <v>3618</v>
      </c>
      <c r="C162" s="10" t="s">
        <v>3616</v>
      </c>
      <c r="D162" s="11" t="str">
        <f t="shared" si="1"/>
        <v>Abrir anúncio ↗</v>
      </c>
      <c r="E162" s="10" t="s">
        <v>6171</v>
      </c>
      <c r="F162" s="10" t="s">
        <v>29</v>
      </c>
      <c r="G162" s="12"/>
    </row>
    <row r="163" ht="15.75" customHeight="1">
      <c r="A163" s="10" t="s">
        <v>5984</v>
      </c>
      <c r="B163" s="12" t="s">
        <v>3618</v>
      </c>
      <c r="C163" s="10" t="s">
        <v>6196</v>
      </c>
      <c r="D163" s="11" t="str">
        <f t="shared" si="1"/>
        <v>Abrir anúncio ↗</v>
      </c>
      <c r="E163" s="10" t="s">
        <v>6171</v>
      </c>
      <c r="F163" s="10" t="s">
        <v>29</v>
      </c>
      <c r="G163" s="12"/>
    </row>
    <row r="164" ht="15.75" customHeight="1">
      <c r="A164" s="10" t="s">
        <v>5984</v>
      </c>
      <c r="B164" s="12" t="s">
        <v>6897</v>
      </c>
      <c r="C164" s="10" t="s">
        <v>6898</v>
      </c>
      <c r="D164" s="11" t="str">
        <f t="shared" si="1"/>
        <v>Abrir anúncio ↗</v>
      </c>
      <c r="E164" s="10" t="s">
        <v>6157</v>
      </c>
      <c r="F164" s="10" t="s">
        <v>29</v>
      </c>
      <c r="G164" s="12"/>
    </row>
    <row r="165" ht="15.75" customHeight="1">
      <c r="A165" s="10" t="s">
        <v>5984</v>
      </c>
      <c r="B165" s="12" t="s">
        <v>6897</v>
      </c>
      <c r="C165" s="10" t="s">
        <v>6903</v>
      </c>
      <c r="D165" s="11" t="str">
        <f t="shared" si="1"/>
        <v>Abrir anúncio ↗</v>
      </c>
      <c r="E165" s="10" t="s">
        <v>6157</v>
      </c>
      <c r="F165" s="10" t="s">
        <v>29</v>
      </c>
      <c r="G165" s="12"/>
    </row>
    <row r="166" ht="15.75" customHeight="1">
      <c r="A166" s="10" t="s">
        <v>5984</v>
      </c>
      <c r="B166" s="12" t="s">
        <v>5994</v>
      </c>
      <c r="C166" s="10" t="s">
        <v>5992</v>
      </c>
      <c r="D166" s="11" t="str">
        <f t="shared" si="1"/>
        <v>Abrir anúncio ↗</v>
      </c>
      <c r="E166" s="10" t="s">
        <v>6171</v>
      </c>
      <c r="F166" s="10" t="s">
        <v>29</v>
      </c>
      <c r="G166" s="12"/>
    </row>
    <row r="167" ht="15.75" customHeight="1">
      <c r="A167" s="10" t="s">
        <v>5984</v>
      </c>
      <c r="B167" s="12" t="s">
        <v>5994</v>
      </c>
      <c r="C167" s="10" t="s">
        <v>6859</v>
      </c>
      <c r="D167" s="11" t="str">
        <f t="shared" si="1"/>
        <v>Abrir anúncio ↗</v>
      </c>
      <c r="E167" s="10" t="s">
        <v>6171</v>
      </c>
      <c r="F167" s="10" t="s">
        <v>29</v>
      </c>
      <c r="G167" s="12"/>
    </row>
    <row r="168" ht="15.75" customHeight="1">
      <c r="A168" s="10" t="s">
        <v>5984</v>
      </c>
      <c r="B168" s="12" t="s">
        <v>6489</v>
      </c>
      <c r="C168" s="10" t="s">
        <v>6912</v>
      </c>
      <c r="D168" s="11" t="str">
        <f t="shared" si="1"/>
        <v>Abrir anúncio ↗</v>
      </c>
      <c r="E168" s="10" t="s">
        <v>6157</v>
      </c>
      <c r="F168" s="10" t="s">
        <v>29</v>
      </c>
      <c r="G168" s="12"/>
    </row>
    <row r="169" ht="15.75" customHeight="1">
      <c r="A169" s="10" t="s">
        <v>5984</v>
      </c>
      <c r="B169" s="12" t="s">
        <v>6489</v>
      </c>
      <c r="C169" s="10" t="s">
        <v>6487</v>
      </c>
      <c r="D169" s="11" t="str">
        <f t="shared" si="1"/>
        <v>Abrir anúncio ↗</v>
      </c>
      <c r="E169" s="10" t="s">
        <v>6157</v>
      </c>
      <c r="F169" s="10" t="s">
        <v>29</v>
      </c>
      <c r="G169" s="12"/>
    </row>
    <row r="170" ht="15.75" customHeight="1">
      <c r="A170" s="10" t="s">
        <v>5984</v>
      </c>
      <c r="B170" s="12" t="s">
        <v>4925</v>
      </c>
      <c r="C170" s="10" t="s">
        <v>5215</v>
      </c>
      <c r="D170" s="11" t="str">
        <f t="shared" si="1"/>
        <v>Abrir anúncio ↗</v>
      </c>
      <c r="E170" s="10" t="s">
        <v>6171</v>
      </c>
      <c r="F170" s="10" t="s">
        <v>29</v>
      </c>
      <c r="G170" s="12"/>
    </row>
    <row r="171" ht="15.75" customHeight="1">
      <c r="A171" s="10" t="s">
        <v>5984</v>
      </c>
      <c r="B171" s="12" t="s">
        <v>4925</v>
      </c>
      <c r="C171" s="10" t="s">
        <v>4923</v>
      </c>
      <c r="D171" s="11" t="str">
        <f t="shared" si="1"/>
        <v>Abrir anúncio ↗</v>
      </c>
      <c r="E171" s="10" t="s">
        <v>6171</v>
      </c>
      <c r="F171" s="10" t="s">
        <v>29</v>
      </c>
      <c r="G171" s="12"/>
    </row>
    <row r="172" ht="15.75" customHeight="1">
      <c r="A172" s="10" t="s">
        <v>5984</v>
      </c>
      <c r="B172" s="12" t="s">
        <v>6924</v>
      </c>
      <c r="C172" s="10" t="s">
        <v>6925</v>
      </c>
      <c r="D172" s="11" t="str">
        <f t="shared" si="1"/>
        <v>Abrir anúncio ↗</v>
      </c>
      <c r="E172" s="10" t="s">
        <v>6157</v>
      </c>
      <c r="F172" s="10" t="s">
        <v>29</v>
      </c>
      <c r="G172" s="12"/>
    </row>
    <row r="173" ht="15.75" customHeight="1">
      <c r="A173" s="10" t="s">
        <v>5984</v>
      </c>
      <c r="B173" s="12" t="s">
        <v>6924</v>
      </c>
      <c r="C173" s="10" t="s">
        <v>6929</v>
      </c>
      <c r="D173" s="11" t="str">
        <f t="shared" si="1"/>
        <v>Abrir anúncio ↗</v>
      </c>
      <c r="E173" s="10" t="s">
        <v>6157</v>
      </c>
      <c r="F173" s="10" t="s">
        <v>29</v>
      </c>
      <c r="G173" s="12"/>
    </row>
    <row r="174" ht="15.75" customHeight="1">
      <c r="A174" s="10" t="s">
        <v>5984</v>
      </c>
      <c r="B174" s="12" t="s">
        <v>1830</v>
      </c>
      <c r="C174" s="10" t="s">
        <v>1845</v>
      </c>
      <c r="D174" s="11" t="str">
        <f t="shared" si="1"/>
        <v>Abrir anúncio ↗</v>
      </c>
      <c r="E174" s="10" t="s">
        <v>6171</v>
      </c>
      <c r="F174" s="10" t="s">
        <v>29</v>
      </c>
      <c r="G174" s="12"/>
    </row>
    <row r="175" ht="15.75" customHeight="1">
      <c r="A175" s="10" t="s">
        <v>5984</v>
      </c>
      <c r="B175" s="12" t="s">
        <v>1830</v>
      </c>
      <c r="C175" s="10" t="s">
        <v>1829</v>
      </c>
      <c r="D175" s="11" t="str">
        <f t="shared" si="1"/>
        <v>Abrir anúncio ↗</v>
      </c>
      <c r="E175" s="10" t="s">
        <v>6171</v>
      </c>
      <c r="F175" s="10" t="s">
        <v>29</v>
      </c>
      <c r="G175" s="12"/>
    </row>
    <row r="176" ht="15.75" customHeight="1">
      <c r="A176" s="10" t="s">
        <v>5984</v>
      </c>
      <c r="B176" s="12" t="s">
        <v>3941</v>
      </c>
      <c r="C176" s="10" t="s">
        <v>3939</v>
      </c>
      <c r="D176" s="11" t="str">
        <f t="shared" si="1"/>
        <v>Abrir anúncio ↗</v>
      </c>
      <c r="E176" s="10" t="s">
        <v>6157</v>
      </c>
      <c r="F176" s="10" t="s">
        <v>29</v>
      </c>
      <c r="G176" s="12"/>
    </row>
    <row r="177" ht="15.75" customHeight="1">
      <c r="A177" s="10" t="s">
        <v>5984</v>
      </c>
      <c r="B177" s="12" t="s">
        <v>3941</v>
      </c>
      <c r="C177" s="10" t="s">
        <v>6942</v>
      </c>
      <c r="D177" s="11" t="str">
        <f t="shared" si="1"/>
        <v>Abrir anúncio ↗</v>
      </c>
      <c r="E177" s="10" t="s">
        <v>6157</v>
      </c>
      <c r="F177" s="10" t="s">
        <v>29</v>
      </c>
      <c r="G177" s="12"/>
    </row>
    <row r="178" ht="15.75" customHeight="1">
      <c r="A178" s="10" t="s">
        <v>5984</v>
      </c>
      <c r="B178" s="12" t="s">
        <v>6946</v>
      </c>
      <c r="C178" s="10" t="s">
        <v>6948</v>
      </c>
      <c r="D178" s="11" t="str">
        <f t="shared" si="1"/>
        <v>Abrir anúncio ↗</v>
      </c>
      <c r="E178" s="10" t="s">
        <v>6157</v>
      </c>
      <c r="F178" s="10" t="s">
        <v>29</v>
      </c>
      <c r="G178" s="12"/>
    </row>
    <row r="179" ht="15.75" customHeight="1">
      <c r="A179" s="10" t="s">
        <v>5984</v>
      </c>
      <c r="B179" s="12" t="s">
        <v>6946</v>
      </c>
      <c r="C179" s="10" t="s">
        <v>6952</v>
      </c>
      <c r="D179" s="11" t="str">
        <f t="shared" si="1"/>
        <v>Abrir anúncio ↗</v>
      </c>
      <c r="E179" s="10" t="s">
        <v>6157</v>
      </c>
      <c r="F179" s="10" t="s">
        <v>29</v>
      </c>
      <c r="G179" s="12"/>
    </row>
    <row r="180" ht="15.75" customHeight="1">
      <c r="A180" s="10" t="s">
        <v>5984</v>
      </c>
      <c r="B180" s="12" t="s">
        <v>6695</v>
      </c>
      <c r="C180" s="10" t="s">
        <v>6957</v>
      </c>
      <c r="D180" s="11" t="str">
        <f t="shared" si="1"/>
        <v>Abrir anúncio ↗</v>
      </c>
      <c r="E180" s="10" t="s">
        <v>6157</v>
      </c>
      <c r="F180" s="10" t="s">
        <v>29</v>
      </c>
      <c r="G180" s="12"/>
    </row>
    <row r="181" ht="15.75" customHeight="1">
      <c r="A181" s="10" t="s">
        <v>5984</v>
      </c>
      <c r="B181" s="12" t="s">
        <v>6695</v>
      </c>
      <c r="C181" s="10" t="s">
        <v>6692</v>
      </c>
      <c r="D181" s="11" t="str">
        <f t="shared" si="1"/>
        <v>Abrir anúncio ↗</v>
      </c>
      <c r="E181" s="10" t="s">
        <v>6157</v>
      </c>
      <c r="F181" s="10" t="s">
        <v>29</v>
      </c>
      <c r="G181" s="12"/>
    </row>
    <row r="182" ht="15.75" customHeight="1">
      <c r="A182" s="10" t="s">
        <v>5984</v>
      </c>
      <c r="B182" s="12" t="s">
        <v>2486</v>
      </c>
      <c r="C182" s="10" t="s">
        <v>5417</v>
      </c>
      <c r="D182" s="11" t="str">
        <f t="shared" si="1"/>
        <v>Abrir anúncio ↗</v>
      </c>
      <c r="E182" s="10" t="s">
        <v>6171</v>
      </c>
      <c r="F182" s="10" t="s">
        <v>29</v>
      </c>
      <c r="G182" s="12"/>
    </row>
    <row r="183" ht="15.75" customHeight="1">
      <c r="A183" s="10" t="s">
        <v>5984</v>
      </c>
      <c r="B183" s="12" t="s">
        <v>2486</v>
      </c>
      <c r="C183" s="10" t="s">
        <v>2483</v>
      </c>
      <c r="D183" s="11" t="str">
        <f t="shared" si="1"/>
        <v>Abrir anúncio ↗</v>
      </c>
      <c r="E183" s="10" t="s">
        <v>6171</v>
      </c>
      <c r="F183" s="10" t="s">
        <v>29</v>
      </c>
      <c r="G183" s="12"/>
    </row>
    <row r="184" ht="15.75" customHeight="1">
      <c r="A184" s="10" t="s">
        <v>5984</v>
      </c>
      <c r="B184" s="12" t="s">
        <v>5811</v>
      </c>
      <c r="C184" s="10" t="s">
        <v>5808</v>
      </c>
      <c r="D184" s="11" t="str">
        <f t="shared" si="1"/>
        <v>Abrir anúncio ↗</v>
      </c>
      <c r="E184" s="10" t="s">
        <v>6239</v>
      </c>
      <c r="F184" s="10" t="s">
        <v>29</v>
      </c>
      <c r="G184" s="12"/>
    </row>
    <row r="185" ht="15.75" customHeight="1">
      <c r="A185" s="10" t="s">
        <v>5984</v>
      </c>
      <c r="B185" s="12" t="s">
        <v>5811</v>
      </c>
      <c r="C185" s="10" t="s">
        <v>5851</v>
      </c>
      <c r="D185" s="11" t="str">
        <f t="shared" si="1"/>
        <v>Abrir anúncio ↗</v>
      </c>
      <c r="E185" s="10" t="s">
        <v>6239</v>
      </c>
      <c r="F185" s="10" t="s">
        <v>29</v>
      </c>
      <c r="G185" s="12"/>
    </row>
    <row r="186" ht="15.75" customHeight="1">
      <c r="A186" s="10" t="s">
        <v>5984</v>
      </c>
      <c r="B186" s="12" t="s">
        <v>6975</v>
      </c>
      <c r="C186" s="10" t="s">
        <v>6976</v>
      </c>
      <c r="D186" s="11" t="str">
        <f t="shared" si="1"/>
        <v>Abrir anúncio ↗</v>
      </c>
      <c r="E186" s="10" t="s">
        <v>6157</v>
      </c>
      <c r="F186" s="10" t="s">
        <v>29</v>
      </c>
      <c r="G186" s="12"/>
    </row>
    <row r="187" ht="15.75" customHeight="1">
      <c r="A187" s="10" t="s">
        <v>5984</v>
      </c>
      <c r="B187" s="12" t="s">
        <v>6975</v>
      </c>
      <c r="C187" s="10" t="s">
        <v>6982</v>
      </c>
      <c r="D187" s="11" t="str">
        <f t="shared" si="1"/>
        <v>Abrir anúncio ↗</v>
      </c>
      <c r="E187" s="10" t="s">
        <v>6157</v>
      </c>
      <c r="F187" s="10" t="s">
        <v>29</v>
      </c>
      <c r="G187" s="12"/>
    </row>
    <row r="188" ht="15.75" customHeight="1">
      <c r="A188" s="10" t="s">
        <v>5984</v>
      </c>
      <c r="B188" s="12" t="s">
        <v>216</v>
      </c>
      <c r="C188" s="10" t="s">
        <v>214</v>
      </c>
      <c r="D188" s="11" t="str">
        <f t="shared" si="1"/>
        <v>Abrir anúncio ↗</v>
      </c>
      <c r="E188" s="10" t="s">
        <v>6171</v>
      </c>
      <c r="F188" s="10" t="s">
        <v>29</v>
      </c>
      <c r="G188" s="12"/>
    </row>
    <row r="189" ht="15.75" customHeight="1">
      <c r="A189" s="10" t="s">
        <v>5984</v>
      </c>
      <c r="B189" s="12" t="s">
        <v>216</v>
      </c>
      <c r="C189" s="10" t="s">
        <v>2161</v>
      </c>
      <c r="D189" s="11" t="str">
        <f t="shared" si="1"/>
        <v>Abrir anúncio ↗</v>
      </c>
      <c r="E189" s="10" t="s">
        <v>6171</v>
      </c>
      <c r="F189" s="10" t="s">
        <v>29</v>
      </c>
      <c r="G189" s="12"/>
    </row>
    <row r="190" ht="15.75" customHeight="1">
      <c r="A190" s="10" t="s">
        <v>5984</v>
      </c>
      <c r="B190" s="12" t="s">
        <v>5625</v>
      </c>
      <c r="C190" s="10" t="s">
        <v>5623</v>
      </c>
      <c r="D190" s="11" t="str">
        <f t="shared" si="1"/>
        <v>Abrir anúncio ↗</v>
      </c>
      <c r="E190" s="10" t="s">
        <v>6171</v>
      </c>
      <c r="F190" s="10" t="s">
        <v>29</v>
      </c>
      <c r="G190" s="12"/>
    </row>
    <row r="191" ht="15.75" customHeight="1">
      <c r="A191" s="10" t="s">
        <v>5984</v>
      </c>
      <c r="B191" s="12" t="s">
        <v>5625</v>
      </c>
      <c r="C191" s="10" t="s">
        <v>6995</v>
      </c>
      <c r="D191" s="11" t="str">
        <f t="shared" si="1"/>
        <v>Abrir anúncio ↗</v>
      </c>
      <c r="E191" s="10" t="s">
        <v>6171</v>
      </c>
      <c r="F191" s="10" t="s">
        <v>29</v>
      </c>
      <c r="G191" s="12"/>
    </row>
    <row r="192" ht="15.75" customHeight="1">
      <c r="A192" s="10" t="s">
        <v>5984</v>
      </c>
      <c r="B192" s="12" t="s">
        <v>6999</v>
      </c>
      <c r="C192" s="10" t="s">
        <v>7000</v>
      </c>
      <c r="D192" s="11" t="str">
        <f t="shared" si="1"/>
        <v>Abrir anúncio ↗</v>
      </c>
      <c r="E192" s="10" t="s">
        <v>6157</v>
      </c>
      <c r="F192" s="10" t="s">
        <v>29</v>
      </c>
      <c r="G192" s="12"/>
    </row>
    <row r="193" ht="15.75" customHeight="1">
      <c r="A193" s="10" t="s">
        <v>5984</v>
      </c>
      <c r="B193" s="12" t="s">
        <v>6999</v>
      </c>
      <c r="C193" s="10" t="s">
        <v>7004</v>
      </c>
      <c r="D193" s="11" t="str">
        <f t="shared" si="1"/>
        <v>Abrir anúncio ↗</v>
      </c>
      <c r="E193" s="10" t="s">
        <v>6157</v>
      </c>
      <c r="F193" s="10" t="s">
        <v>29</v>
      </c>
      <c r="G193" s="12"/>
    </row>
    <row r="194" ht="15.75" customHeight="1">
      <c r="A194" s="10" t="s">
        <v>5984</v>
      </c>
      <c r="B194" s="12" t="s">
        <v>7006</v>
      </c>
      <c r="C194" s="10" t="s">
        <v>7008</v>
      </c>
      <c r="D194" s="11" t="str">
        <f t="shared" si="1"/>
        <v>Abrir anúncio ↗</v>
      </c>
      <c r="E194" s="10" t="s">
        <v>6157</v>
      </c>
      <c r="F194" s="10" t="s">
        <v>29</v>
      </c>
      <c r="G194" s="12"/>
    </row>
    <row r="195" ht="15.75" customHeight="1">
      <c r="A195" s="10" t="s">
        <v>5984</v>
      </c>
      <c r="B195" s="12" t="s">
        <v>7006</v>
      </c>
      <c r="C195" s="10" t="s">
        <v>7011</v>
      </c>
      <c r="D195" s="11" t="str">
        <f t="shared" si="1"/>
        <v>Abrir anúncio ↗</v>
      </c>
      <c r="E195" s="10" t="s">
        <v>6157</v>
      </c>
      <c r="F195" s="10" t="s">
        <v>29</v>
      </c>
      <c r="G195" s="12"/>
    </row>
    <row r="196" ht="15.75" customHeight="1">
      <c r="A196" s="10" t="s">
        <v>5984</v>
      </c>
      <c r="B196" s="12" t="s">
        <v>6128</v>
      </c>
      <c r="C196" s="10" t="s">
        <v>6127</v>
      </c>
      <c r="D196" s="11" t="str">
        <f t="shared" si="1"/>
        <v>Abrir anúncio ↗</v>
      </c>
      <c r="E196" s="10" t="s">
        <v>6171</v>
      </c>
      <c r="F196" s="10" t="s">
        <v>29</v>
      </c>
      <c r="G196" s="12"/>
    </row>
    <row r="197" ht="15.75" customHeight="1">
      <c r="A197" s="10" t="s">
        <v>5984</v>
      </c>
      <c r="B197" s="12" t="s">
        <v>6128</v>
      </c>
      <c r="C197" s="10" t="s">
        <v>6706</v>
      </c>
      <c r="D197" s="11" t="str">
        <f t="shared" si="1"/>
        <v>Abrir anúncio ↗</v>
      </c>
      <c r="E197" s="10" t="s">
        <v>6171</v>
      </c>
      <c r="F197" s="10" t="s">
        <v>29</v>
      </c>
      <c r="G197" s="12"/>
    </row>
    <row r="198" ht="15.75" customHeight="1">
      <c r="A198" s="10" t="s">
        <v>5984</v>
      </c>
      <c r="B198" s="12" t="s">
        <v>7019</v>
      </c>
      <c r="C198" s="10" t="s">
        <v>7020</v>
      </c>
      <c r="D198" s="11" t="str">
        <f t="shared" si="1"/>
        <v>Abrir anúncio ↗</v>
      </c>
      <c r="E198" s="10" t="s">
        <v>6157</v>
      </c>
      <c r="F198" s="10" t="s">
        <v>29</v>
      </c>
      <c r="G198" s="12"/>
    </row>
    <row r="199" ht="15.75" customHeight="1">
      <c r="A199" s="10" t="s">
        <v>5984</v>
      </c>
      <c r="B199" s="12" t="s">
        <v>7019</v>
      </c>
      <c r="C199" s="10" t="s">
        <v>7025</v>
      </c>
      <c r="D199" s="11" t="str">
        <f t="shared" si="1"/>
        <v>Abrir anúncio ↗</v>
      </c>
      <c r="E199" s="10" t="s">
        <v>6157</v>
      </c>
      <c r="F199" s="10" t="s">
        <v>29</v>
      </c>
      <c r="G199" s="12"/>
    </row>
    <row r="200" ht="15.75" customHeight="1">
      <c r="A200" s="10" t="s">
        <v>5984</v>
      </c>
      <c r="B200" s="12" t="s">
        <v>3459</v>
      </c>
      <c r="C200" s="10" t="s">
        <v>7030</v>
      </c>
      <c r="D200" s="11" t="str">
        <f t="shared" si="1"/>
        <v>Abrir anúncio ↗</v>
      </c>
      <c r="E200" s="10" t="s">
        <v>6171</v>
      </c>
      <c r="F200" s="10" t="s">
        <v>29</v>
      </c>
      <c r="G200" s="12"/>
    </row>
    <row r="201" ht="15.75" customHeight="1">
      <c r="A201" s="10" t="s">
        <v>5984</v>
      </c>
      <c r="B201" s="12" t="s">
        <v>3459</v>
      </c>
      <c r="C201" s="10" t="s">
        <v>3458</v>
      </c>
      <c r="D201" s="11" t="str">
        <f t="shared" si="1"/>
        <v>Abrir anúncio ↗</v>
      </c>
      <c r="E201" s="10" t="s">
        <v>6171</v>
      </c>
      <c r="F201" s="10" t="s">
        <v>29</v>
      </c>
      <c r="G201" s="12"/>
    </row>
    <row r="202" ht="15.75" customHeight="1">
      <c r="A202" s="10" t="s">
        <v>5984</v>
      </c>
      <c r="B202" s="12" t="s">
        <v>3141</v>
      </c>
      <c r="C202" s="10" t="s">
        <v>3138</v>
      </c>
      <c r="D202" s="11" t="str">
        <f t="shared" si="1"/>
        <v>Abrir anúncio ↗</v>
      </c>
      <c r="E202" s="10" t="s">
        <v>6157</v>
      </c>
      <c r="F202" s="10" t="s">
        <v>29</v>
      </c>
      <c r="G202" s="12"/>
    </row>
    <row r="203" ht="15.75" customHeight="1">
      <c r="A203" s="10" t="s">
        <v>5984</v>
      </c>
      <c r="B203" s="12" t="s">
        <v>3141</v>
      </c>
      <c r="C203" s="10" t="s">
        <v>7039</v>
      </c>
      <c r="D203" s="11" t="str">
        <f t="shared" si="1"/>
        <v>Abrir anúncio ↗</v>
      </c>
      <c r="E203" s="10" t="s">
        <v>6157</v>
      </c>
      <c r="F203" s="10" t="s">
        <v>29</v>
      </c>
      <c r="G203" s="12"/>
    </row>
    <row r="204" ht="15.75" customHeight="1">
      <c r="A204" s="10" t="s">
        <v>5984</v>
      </c>
      <c r="B204" s="12" t="s">
        <v>6318</v>
      </c>
      <c r="C204" s="10" t="s">
        <v>6317</v>
      </c>
      <c r="D204" s="11" t="str">
        <f t="shared" si="1"/>
        <v>Abrir anúncio ↗</v>
      </c>
      <c r="E204" s="10" t="s">
        <v>6171</v>
      </c>
      <c r="F204" s="10" t="s">
        <v>29</v>
      </c>
      <c r="G204" s="12"/>
    </row>
    <row r="205" ht="15.75" customHeight="1">
      <c r="A205" s="10" t="s">
        <v>5984</v>
      </c>
      <c r="B205" s="12" t="s">
        <v>6318</v>
      </c>
      <c r="C205" s="10" t="s">
        <v>7044</v>
      </c>
      <c r="D205" s="11" t="str">
        <f t="shared" si="1"/>
        <v>Abrir anúncio ↗</v>
      </c>
      <c r="E205" s="10" t="s">
        <v>6171</v>
      </c>
      <c r="F205" s="10" t="s">
        <v>29</v>
      </c>
      <c r="G205" s="12"/>
    </row>
    <row r="206" ht="15.75" customHeight="1">
      <c r="A206" s="10" t="s">
        <v>5984</v>
      </c>
      <c r="B206" s="12" t="s">
        <v>3927</v>
      </c>
      <c r="C206" s="10" t="s">
        <v>3926</v>
      </c>
      <c r="D206" s="11" t="str">
        <f t="shared" si="1"/>
        <v>Abrir anúncio ↗</v>
      </c>
      <c r="E206" s="10" t="s">
        <v>6171</v>
      </c>
      <c r="F206" s="10" t="s">
        <v>29</v>
      </c>
      <c r="G206" s="12"/>
    </row>
    <row r="207" ht="15.75" customHeight="1">
      <c r="A207" s="10" t="s">
        <v>5984</v>
      </c>
      <c r="B207" s="12" t="s">
        <v>3927</v>
      </c>
      <c r="C207" s="10" t="s">
        <v>6007</v>
      </c>
      <c r="D207" s="11" t="str">
        <f t="shared" si="1"/>
        <v>Abrir anúncio ↗</v>
      </c>
      <c r="E207" s="10" t="s">
        <v>6171</v>
      </c>
      <c r="F207" s="10" t="s">
        <v>29</v>
      </c>
      <c r="G207" s="12"/>
    </row>
    <row r="208" ht="15.75" customHeight="1">
      <c r="A208" s="10" t="s">
        <v>5984</v>
      </c>
      <c r="B208" s="12" t="s">
        <v>5791</v>
      </c>
      <c r="C208" s="10" t="s">
        <v>5789</v>
      </c>
      <c r="D208" s="11" t="str">
        <f t="shared" si="1"/>
        <v>Abrir anúncio ↗</v>
      </c>
      <c r="E208" s="10" t="s">
        <v>6157</v>
      </c>
      <c r="F208" s="10" t="s">
        <v>29</v>
      </c>
      <c r="G208" s="12"/>
    </row>
    <row r="209" ht="15.75" customHeight="1">
      <c r="A209" s="10" t="s">
        <v>5984</v>
      </c>
      <c r="B209" s="12" t="s">
        <v>5791</v>
      </c>
      <c r="C209" s="10" t="s">
        <v>7057</v>
      </c>
      <c r="D209" s="11" t="str">
        <f t="shared" si="1"/>
        <v>Abrir anúncio ↗</v>
      </c>
      <c r="E209" s="10" t="s">
        <v>6157</v>
      </c>
      <c r="F209" s="10" t="s">
        <v>29</v>
      </c>
      <c r="G209" s="12"/>
    </row>
    <row r="210" ht="15.75" customHeight="1">
      <c r="A210" s="10" t="s">
        <v>5984</v>
      </c>
      <c r="B210" s="12" t="s">
        <v>4014</v>
      </c>
      <c r="C210" s="10" t="s">
        <v>5295</v>
      </c>
      <c r="D210" s="11" t="str">
        <f t="shared" si="1"/>
        <v>Abrir anúncio ↗</v>
      </c>
      <c r="E210" s="10" t="s">
        <v>6171</v>
      </c>
      <c r="F210" s="10" t="s">
        <v>29</v>
      </c>
      <c r="G210" s="12"/>
    </row>
    <row r="211" ht="15.75" customHeight="1">
      <c r="A211" s="10" t="s">
        <v>5984</v>
      </c>
      <c r="B211" s="12" t="s">
        <v>4014</v>
      </c>
      <c r="C211" s="10" t="s">
        <v>4013</v>
      </c>
      <c r="D211" s="11" t="str">
        <f t="shared" si="1"/>
        <v>Abrir anúncio ↗</v>
      </c>
      <c r="E211" s="10" t="s">
        <v>6171</v>
      </c>
      <c r="F211" s="10" t="s">
        <v>29</v>
      </c>
      <c r="G211" s="12"/>
    </row>
    <row r="212" ht="15.75" customHeight="1">
      <c r="A212" s="10" t="s">
        <v>5984</v>
      </c>
      <c r="B212" s="12" t="s">
        <v>1232</v>
      </c>
      <c r="C212" s="10" t="s">
        <v>1231</v>
      </c>
      <c r="D212" s="11" t="str">
        <f t="shared" si="1"/>
        <v>Abrir anúncio ↗</v>
      </c>
      <c r="E212" s="10" t="s">
        <v>6171</v>
      </c>
      <c r="F212" s="10" t="s">
        <v>29</v>
      </c>
      <c r="G212" s="12"/>
    </row>
    <row r="213" ht="15.75" customHeight="1">
      <c r="A213" s="10" t="s">
        <v>5984</v>
      </c>
      <c r="B213" s="12" t="s">
        <v>1232</v>
      </c>
      <c r="C213" s="10" t="s">
        <v>5150</v>
      </c>
      <c r="D213" s="11" t="str">
        <f t="shared" si="1"/>
        <v>Abrir anúncio ↗</v>
      </c>
      <c r="E213" s="10" t="s">
        <v>6171</v>
      </c>
      <c r="F213" s="10" t="s">
        <v>29</v>
      </c>
      <c r="G213" s="12"/>
    </row>
    <row r="214" ht="15.75" customHeight="1">
      <c r="A214" s="10" t="s">
        <v>5984</v>
      </c>
      <c r="B214" s="12" t="s">
        <v>5937</v>
      </c>
      <c r="C214" s="10" t="s">
        <v>7072</v>
      </c>
      <c r="D214" s="11" t="str">
        <f t="shared" si="1"/>
        <v>Abrir anúncio ↗</v>
      </c>
      <c r="E214" s="10" t="s">
        <v>6171</v>
      </c>
      <c r="F214" s="10" t="s">
        <v>29</v>
      </c>
      <c r="G214" s="12"/>
    </row>
    <row r="215" ht="15.75" customHeight="1">
      <c r="A215" s="10" t="s">
        <v>5984</v>
      </c>
      <c r="B215" s="12" t="s">
        <v>5937</v>
      </c>
      <c r="C215" s="10" t="s">
        <v>5936</v>
      </c>
      <c r="D215" s="11" t="str">
        <f t="shared" si="1"/>
        <v>Abrir anúncio ↗</v>
      </c>
      <c r="E215" s="10" t="s">
        <v>6171</v>
      </c>
      <c r="F215" s="10" t="s">
        <v>29</v>
      </c>
      <c r="G215" s="12"/>
    </row>
    <row r="216" ht="15.75" customHeight="1">
      <c r="A216" s="10" t="s">
        <v>5984</v>
      </c>
      <c r="B216" s="12" t="s">
        <v>2285</v>
      </c>
      <c r="C216" s="10" t="s">
        <v>2282</v>
      </c>
      <c r="D216" s="11" t="str">
        <f t="shared" si="1"/>
        <v>Abrir anúncio ↗</v>
      </c>
      <c r="E216" s="10" t="s">
        <v>6157</v>
      </c>
      <c r="F216" s="10" t="s">
        <v>29</v>
      </c>
      <c r="G216" s="12"/>
    </row>
    <row r="217" ht="15.75" customHeight="1">
      <c r="A217" s="10" t="s">
        <v>5984</v>
      </c>
      <c r="B217" s="12" t="s">
        <v>2285</v>
      </c>
      <c r="C217" s="10" t="s">
        <v>7081</v>
      </c>
      <c r="D217" s="11" t="str">
        <f t="shared" si="1"/>
        <v>Abrir anúncio ↗</v>
      </c>
      <c r="E217" s="10" t="s">
        <v>6157</v>
      </c>
      <c r="F217" s="10" t="s">
        <v>29</v>
      </c>
      <c r="G217" s="12"/>
    </row>
    <row r="218" ht="15.75" customHeight="1">
      <c r="A218" s="10" t="s">
        <v>5984</v>
      </c>
      <c r="B218" s="12" t="s">
        <v>6916</v>
      </c>
      <c r="C218" s="10" t="s">
        <v>7084</v>
      </c>
      <c r="D218" s="11" t="str">
        <f t="shared" si="1"/>
        <v>Abrir anúncio ↗</v>
      </c>
      <c r="E218" s="10" t="s">
        <v>6171</v>
      </c>
      <c r="F218" s="10" t="s">
        <v>29</v>
      </c>
      <c r="G218" s="12"/>
    </row>
    <row r="219" ht="15.75" customHeight="1">
      <c r="A219" s="10" t="s">
        <v>5984</v>
      </c>
      <c r="B219" s="12" t="s">
        <v>6916</v>
      </c>
      <c r="C219" s="10" t="s">
        <v>6914</v>
      </c>
      <c r="D219" s="11" t="str">
        <f t="shared" si="1"/>
        <v>Abrir anúncio ↗</v>
      </c>
      <c r="E219" s="10" t="s">
        <v>6171</v>
      </c>
      <c r="F219" s="10" t="s">
        <v>29</v>
      </c>
      <c r="G219" s="12"/>
    </row>
    <row r="220" ht="15.75" customHeight="1">
      <c r="A220" s="10" t="s">
        <v>5984</v>
      </c>
      <c r="B220" s="12" t="s">
        <v>4906</v>
      </c>
      <c r="C220" s="10" t="s">
        <v>5048</v>
      </c>
      <c r="D220" s="11" t="str">
        <f t="shared" si="1"/>
        <v>Abrir anúncio ↗</v>
      </c>
      <c r="E220" s="10" t="s">
        <v>6171</v>
      </c>
      <c r="F220" s="10" t="s">
        <v>29</v>
      </c>
      <c r="G220" s="12"/>
    </row>
    <row r="221" ht="15.75" customHeight="1">
      <c r="A221" s="10" t="s">
        <v>5984</v>
      </c>
      <c r="B221" s="12" t="s">
        <v>4906</v>
      </c>
      <c r="C221" s="10" t="s">
        <v>4904</v>
      </c>
      <c r="D221" s="11" t="str">
        <f t="shared" si="1"/>
        <v>Abrir anúncio ↗</v>
      </c>
      <c r="E221" s="10" t="s">
        <v>6171</v>
      </c>
      <c r="F221" s="10" t="s">
        <v>29</v>
      </c>
      <c r="G221" s="12"/>
    </row>
    <row r="222" ht="15.75" customHeight="1">
      <c r="A222" s="10" t="s">
        <v>5984</v>
      </c>
      <c r="B222" s="12" t="s">
        <v>544</v>
      </c>
      <c r="C222" s="10" t="s">
        <v>541</v>
      </c>
      <c r="D222" s="11" t="str">
        <f t="shared" si="1"/>
        <v>Abrir anúncio ↗</v>
      </c>
      <c r="E222" s="10" t="s">
        <v>6171</v>
      </c>
      <c r="F222" s="10" t="s">
        <v>29</v>
      </c>
      <c r="G222" s="12"/>
    </row>
    <row r="223" ht="15.75" customHeight="1">
      <c r="A223" s="10" t="s">
        <v>5984</v>
      </c>
      <c r="B223" s="12" t="s">
        <v>544</v>
      </c>
      <c r="C223" s="10" t="s">
        <v>754</v>
      </c>
      <c r="D223" s="11" t="str">
        <f t="shared" si="1"/>
        <v>Abrir anúncio ↗</v>
      </c>
      <c r="E223" s="10" t="s">
        <v>6171</v>
      </c>
      <c r="F223" s="10" t="s">
        <v>29</v>
      </c>
      <c r="G223" s="12"/>
    </row>
    <row r="224" ht="15.75" customHeight="1">
      <c r="A224" s="10" t="s">
        <v>5984</v>
      </c>
      <c r="B224" s="12" t="s">
        <v>3505</v>
      </c>
      <c r="C224" s="10" t="s">
        <v>3503</v>
      </c>
      <c r="D224" s="11" t="str">
        <f t="shared" si="1"/>
        <v>Abrir anúncio ↗</v>
      </c>
      <c r="E224" s="10" t="s">
        <v>6157</v>
      </c>
      <c r="F224" s="10" t="s">
        <v>29</v>
      </c>
      <c r="G224" s="12"/>
    </row>
    <row r="225" ht="15.75" customHeight="1">
      <c r="A225" s="10" t="s">
        <v>5984</v>
      </c>
      <c r="B225" s="12" t="s">
        <v>3505</v>
      </c>
      <c r="C225" s="10" t="s">
        <v>5607</v>
      </c>
      <c r="D225" s="11" t="str">
        <f t="shared" si="1"/>
        <v>Abrir anúncio ↗</v>
      </c>
      <c r="E225" s="10" t="s">
        <v>6157</v>
      </c>
      <c r="F225" s="10" t="s">
        <v>86</v>
      </c>
      <c r="G225" s="12"/>
    </row>
    <row r="226" ht="15.75" customHeight="1">
      <c r="A226" s="10" t="s">
        <v>5984</v>
      </c>
      <c r="B226" s="12" t="s">
        <v>7105</v>
      </c>
      <c r="C226" s="10" t="s">
        <v>7107</v>
      </c>
      <c r="D226" s="11" t="str">
        <f t="shared" si="1"/>
        <v>Abrir anúncio ↗</v>
      </c>
      <c r="E226" s="10" t="s">
        <v>6171</v>
      </c>
      <c r="F226" s="10" t="s">
        <v>29</v>
      </c>
      <c r="G226" s="12"/>
    </row>
    <row r="227" ht="15.75" customHeight="1">
      <c r="A227" s="10" t="s">
        <v>5984</v>
      </c>
      <c r="B227" s="12" t="s">
        <v>7105</v>
      </c>
      <c r="C227" s="10" t="s">
        <v>7110</v>
      </c>
      <c r="D227" s="11" t="str">
        <f t="shared" si="1"/>
        <v>Abrir anúncio ↗</v>
      </c>
      <c r="E227" s="10" t="s">
        <v>6171</v>
      </c>
      <c r="F227" s="10" t="s">
        <v>29</v>
      </c>
      <c r="G227" s="12"/>
    </row>
    <row r="228" ht="15.75" customHeight="1">
      <c r="A228" s="10" t="s">
        <v>5984</v>
      </c>
      <c r="B228" s="12" t="s">
        <v>6662</v>
      </c>
      <c r="C228" s="10" t="s">
        <v>7114</v>
      </c>
      <c r="D228" s="11" t="str">
        <f t="shared" si="1"/>
        <v>Abrir anúncio ↗</v>
      </c>
      <c r="E228" s="10" t="s">
        <v>6171</v>
      </c>
      <c r="F228" s="10" t="s">
        <v>29</v>
      </c>
      <c r="G228" s="12"/>
    </row>
    <row r="229" ht="15.75" customHeight="1">
      <c r="A229" s="10" t="s">
        <v>5984</v>
      </c>
      <c r="B229" s="12" t="s">
        <v>6662</v>
      </c>
      <c r="C229" s="10" t="s">
        <v>6660</v>
      </c>
      <c r="D229" s="11" t="str">
        <f t="shared" si="1"/>
        <v>Abrir anúncio ↗</v>
      </c>
      <c r="E229" s="10" t="s">
        <v>6171</v>
      </c>
      <c r="F229" s="10" t="s">
        <v>29</v>
      </c>
      <c r="G229" s="12"/>
    </row>
    <row r="230" ht="15.75" customHeight="1">
      <c r="A230" s="10" t="s">
        <v>5984</v>
      </c>
      <c r="B230" s="12" t="s">
        <v>1418</v>
      </c>
      <c r="C230" s="10" t="s">
        <v>2742</v>
      </c>
      <c r="D230" s="11" t="str">
        <f t="shared" si="1"/>
        <v>Abrir anúncio ↗</v>
      </c>
      <c r="E230" s="10" t="s">
        <v>6171</v>
      </c>
      <c r="F230" s="10" t="s">
        <v>29</v>
      </c>
      <c r="G230" s="12"/>
    </row>
    <row r="231" ht="15.75" customHeight="1">
      <c r="A231" s="10" t="s">
        <v>5984</v>
      </c>
      <c r="B231" s="12" t="s">
        <v>1418</v>
      </c>
      <c r="C231" s="10" t="s">
        <v>1415</v>
      </c>
      <c r="D231" s="11" t="str">
        <f t="shared" si="1"/>
        <v>Abrir anúncio ↗</v>
      </c>
      <c r="E231" s="10" t="s">
        <v>6171</v>
      </c>
      <c r="F231" s="10" t="s">
        <v>29</v>
      </c>
      <c r="G231" s="12"/>
    </row>
    <row r="232" ht="15.75" customHeight="1">
      <c r="A232" s="10" t="s">
        <v>5984</v>
      </c>
      <c r="B232" s="12" t="s">
        <v>7126</v>
      </c>
      <c r="C232" s="10" t="s">
        <v>7128</v>
      </c>
      <c r="D232" s="11" t="str">
        <f t="shared" si="1"/>
        <v>Abrir anúncio ↗</v>
      </c>
      <c r="E232" s="10" t="s">
        <v>6157</v>
      </c>
      <c r="F232" s="10" t="s">
        <v>29</v>
      </c>
      <c r="G232" s="12"/>
    </row>
    <row r="233" ht="15.75" customHeight="1">
      <c r="A233" s="10" t="s">
        <v>5984</v>
      </c>
      <c r="B233" s="12" t="s">
        <v>7126</v>
      </c>
      <c r="C233" s="10" t="s">
        <v>7129</v>
      </c>
      <c r="D233" s="11" t="str">
        <f t="shared" si="1"/>
        <v>Abrir anúncio ↗</v>
      </c>
      <c r="E233" s="10" t="s">
        <v>6157</v>
      </c>
      <c r="F233" s="10" t="s">
        <v>29</v>
      </c>
      <c r="G233" s="12"/>
    </row>
    <row r="234" ht="15.75" customHeight="1">
      <c r="A234" s="10" t="s">
        <v>5984</v>
      </c>
      <c r="B234" s="12" t="s">
        <v>7134</v>
      </c>
      <c r="C234" s="10" t="s">
        <v>7135</v>
      </c>
      <c r="D234" s="11" t="str">
        <f t="shared" si="1"/>
        <v>Abrir anúncio ↗</v>
      </c>
      <c r="E234" s="10" t="s">
        <v>6157</v>
      </c>
      <c r="F234" s="10" t="s">
        <v>29</v>
      </c>
      <c r="G234" s="12"/>
    </row>
    <row r="235" ht="15.75" customHeight="1">
      <c r="A235" s="10" t="s">
        <v>5984</v>
      </c>
      <c r="B235" s="12" t="s">
        <v>7134</v>
      </c>
      <c r="C235" s="10" t="s">
        <v>7139</v>
      </c>
      <c r="D235" s="11" t="str">
        <f t="shared" si="1"/>
        <v>Abrir anúncio ↗</v>
      </c>
      <c r="E235" s="10" t="s">
        <v>6157</v>
      </c>
      <c r="F235" s="10" t="s">
        <v>29</v>
      </c>
      <c r="G235" s="12"/>
    </row>
    <row r="236" ht="15.75" customHeight="1">
      <c r="A236" s="10" t="s">
        <v>5984</v>
      </c>
      <c r="B236" s="12" t="s">
        <v>2295</v>
      </c>
      <c r="C236" s="10" t="s">
        <v>2292</v>
      </c>
      <c r="D236" s="11" t="str">
        <f t="shared" si="1"/>
        <v>Abrir anúncio ↗</v>
      </c>
      <c r="E236" s="10" t="s">
        <v>6157</v>
      </c>
      <c r="F236" s="10" t="s">
        <v>29</v>
      </c>
      <c r="G236" s="12"/>
    </row>
    <row r="237" ht="15.75" customHeight="1">
      <c r="A237" s="10" t="s">
        <v>5984</v>
      </c>
      <c r="B237" s="12" t="s">
        <v>2295</v>
      </c>
      <c r="C237" s="10" t="s">
        <v>7146</v>
      </c>
      <c r="D237" s="11" t="str">
        <f t="shared" si="1"/>
        <v>Abrir anúncio ↗</v>
      </c>
      <c r="E237" s="10" t="s">
        <v>6157</v>
      </c>
      <c r="F237" s="10" t="s">
        <v>86</v>
      </c>
      <c r="G237" s="12"/>
    </row>
    <row r="238" ht="15.75" customHeight="1">
      <c r="A238" s="10" t="s">
        <v>5984</v>
      </c>
      <c r="B238" s="12" t="s">
        <v>752</v>
      </c>
      <c r="C238" s="10" t="s">
        <v>750</v>
      </c>
      <c r="D238" s="11" t="str">
        <f t="shared" si="1"/>
        <v>Abrir anúncio ↗</v>
      </c>
      <c r="E238" s="10" t="s">
        <v>6171</v>
      </c>
      <c r="F238" s="10" t="s">
        <v>29</v>
      </c>
      <c r="G238" s="12"/>
    </row>
    <row r="239" ht="15.75" customHeight="1">
      <c r="A239" s="10" t="s">
        <v>5984</v>
      </c>
      <c r="B239" s="12" t="s">
        <v>752</v>
      </c>
      <c r="C239" s="10" t="s">
        <v>6211</v>
      </c>
      <c r="D239" s="11" t="str">
        <f t="shared" si="1"/>
        <v>Abrir anúncio ↗</v>
      </c>
      <c r="E239" s="10" t="s">
        <v>6171</v>
      </c>
      <c r="F239" s="10" t="s">
        <v>29</v>
      </c>
      <c r="G239" s="12"/>
    </row>
    <row r="240" ht="15.75" customHeight="1">
      <c r="A240" s="10" t="s">
        <v>5984</v>
      </c>
      <c r="B240" s="12" t="s">
        <v>7156</v>
      </c>
      <c r="C240" s="10" t="s">
        <v>7157</v>
      </c>
      <c r="D240" s="11" t="str">
        <f t="shared" si="1"/>
        <v>Abrir anúncio ↗</v>
      </c>
      <c r="E240" s="10" t="s">
        <v>6157</v>
      </c>
      <c r="F240" s="10" t="s">
        <v>29</v>
      </c>
      <c r="G240" s="12"/>
    </row>
    <row r="241" ht="15.75" customHeight="1">
      <c r="A241" s="10" t="s">
        <v>5984</v>
      </c>
      <c r="B241" s="12" t="s">
        <v>7156</v>
      </c>
      <c r="C241" s="10" t="s">
        <v>7161</v>
      </c>
      <c r="D241" s="11" t="str">
        <f t="shared" si="1"/>
        <v>Abrir anúncio ↗</v>
      </c>
      <c r="E241" s="10" t="s">
        <v>6157</v>
      </c>
      <c r="F241" s="10" t="s">
        <v>29</v>
      </c>
      <c r="G241" s="12"/>
    </row>
    <row r="242" ht="15.75" customHeight="1">
      <c r="A242" s="10" t="s">
        <v>5984</v>
      </c>
      <c r="B242" s="12" t="s">
        <v>7165</v>
      </c>
      <c r="C242" s="10" t="s">
        <v>7167</v>
      </c>
      <c r="D242" s="11" t="str">
        <f t="shared" si="1"/>
        <v>Abrir anúncio ↗</v>
      </c>
      <c r="E242" s="10" t="s">
        <v>6157</v>
      </c>
      <c r="F242" s="10" t="s">
        <v>29</v>
      </c>
      <c r="G242" s="12"/>
    </row>
    <row r="243" ht="15.75" customHeight="1">
      <c r="A243" s="10" t="s">
        <v>5984</v>
      </c>
      <c r="B243" s="12" t="s">
        <v>7165</v>
      </c>
      <c r="C243" s="10" t="s">
        <v>7170</v>
      </c>
      <c r="D243" s="11" t="str">
        <f t="shared" si="1"/>
        <v>Abrir anúncio ↗</v>
      </c>
      <c r="E243" s="10" t="s">
        <v>6157</v>
      </c>
      <c r="F243" s="10" t="s">
        <v>29</v>
      </c>
      <c r="G243" s="12"/>
    </row>
    <row r="244" ht="15.75" customHeight="1">
      <c r="A244" s="10" t="s">
        <v>5984</v>
      </c>
      <c r="B244" s="12" t="s">
        <v>875</v>
      </c>
      <c r="C244" s="10" t="s">
        <v>6036</v>
      </c>
      <c r="D244" s="11" t="str">
        <f t="shared" si="1"/>
        <v>Abrir anúncio ↗</v>
      </c>
      <c r="E244" s="10" t="s">
        <v>6171</v>
      </c>
      <c r="F244" s="10" t="s">
        <v>29</v>
      </c>
      <c r="G244" s="12"/>
    </row>
    <row r="245" ht="15.75" customHeight="1">
      <c r="A245" s="10" t="s">
        <v>5984</v>
      </c>
      <c r="B245" s="12" t="s">
        <v>875</v>
      </c>
      <c r="C245" s="10" t="s">
        <v>874</v>
      </c>
      <c r="D245" s="11" t="str">
        <f t="shared" si="1"/>
        <v>Abrir anúncio ↗</v>
      </c>
      <c r="E245" s="10" t="s">
        <v>6171</v>
      </c>
      <c r="F245" s="10" t="s">
        <v>29</v>
      </c>
      <c r="G245" s="12"/>
    </row>
    <row r="246" ht="15.75" customHeight="1">
      <c r="A246" s="10" t="s">
        <v>5984</v>
      </c>
      <c r="B246" s="12" t="s">
        <v>6132</v>
      </c>
      <c r="C246" s="10" t="s">
        <v>6130</v>
      </c>
      <c r="D246" s="11" t="str">
        <f t="shared" si="1"/>
        <v>Abrir anúncio ↗</v>
      </c>
      <c r="E246" s="10" t="s">
        <v>6171</v>
      </c>
      <c r="F246" s="10" t="s">
        <v>29</v>
      </c>
      <c r="G246" s="12"/>
    </row>
    <row r="247" ht="15.75" customHeight="1">
      <c r="A247" s="10" t="s">
        <v>5984</v>
      </c>
      <c r="B247" s="12" t="s">
        <v>6132</v>
      </c>
      <c r="C247" s="10" t="s">
        <v>6723</v>
      </c>
      <c r="D247" s="11" t="str">
        <f t="shared" si="1"/>
        <v>Abrir anúncio ↗</v>
      </c>
      <c r="E247" s="10" t="s">
        <v>6171</v>
      </c>
      <c r="F247" s="10" t="s">
        <v>29</v>
      </c>
      <c r="G247" s="12"/>
    </row>
    <row r="248" ht="15.75" customHeight="1">
      <c r="A248" s="10" t="s">
        <v>5984</v>
      </c>
      <c r="B248" s="12" t="s">
        <v>7185</v>
      </c>
      <c r="C248" s="10" t="s">
        <v>7187</v>
      </c>
      <c r="D248" s="11" t="str">
        <f t="shared" si="1"/>
        <v>Abrir anúncio ↗</v>
      </c>
      <c r="E248" s="10" t="s">
        <v>6157</v>
      </c>
      <c r="F248" s="10" t="s">
        <v>29</v>
      </c>
      <c r="G248" s="12"/>
    </row>
    <row r="249" ht="15.75" customHeight="1">
      <c r="A249" s="10" t="s">
        <v>5984</v>
      </c>
      <c r="B249" s="12" t="s">
        <v>7185</v>
      </c>
      <c r="C249" s="10" t="s">
        <v>7191</v>
      </c>
      <c r="D249" s="11" t="str">
        <f t="shared" si="1"/>
        <v>Abrir anúncio ↗</v>
      </c>
      <c r="E249" s="10" t="s">
        <v>6157</v>
      </c>
      <c r="F249" s="10" t="s">
        <v>29</v>
      </c>
      <c r="G249" s="12"/>
    </row>
    <row r="250" ht="15.75" customHeight="1">
      <c r="A250" s="10" t="s">
        <v>5984</v>
      </c>
      <c r="B250" s="12" t="s">
        <v>7194</v>
      </c>
      <c r="C250" s="10" t="s">
        <v>7195</v>
      </c>
      <c r="D250" s="11" t="str">
        <f t="shared" si="1"/>
        <v>Abrir anúncio ↗</v>
      </c>
      <c r="E250" s="10" t="s">
        <v>6157</v>
      </c>
      <c r="F250" s="10" t="s">
        <v>29</v>
      </c>
      <c r="G250" s="12"/>
    </row>
    <row r="251" ht="15.75" customHeight="1">
      <c r="A251" s="10" t="s">
        <v>5984</v>
      </c>
      <c r="B251" s="12" t="s">
        <v>7194</v>
      </c>
      <c r="C251" s="10" t="s">
        <v>7199</v>
      </c>
      <c r="D251" s="11" t="str">
        <f t="shared" si="1"/>
        <v>Abrir anúncio ↗</v>
      </c>
      <c r="E251" s="10" t="s">
        <v>6157</v>
      </c>
      <c r="F251" s="10" t="s">
        <v>29</v>
      </c>
      <c r="G251" s="12"/>
    </row>
    <row r="252" ht="15.75" customHeight="1">
      <c r="A252" s="10" t="s">
        <v>5984</v>
      </c>
      <c r="B252" s="12" t="s">
        <v>7202</v>
      </c>
      <c r="C252" s="10" t="s">
        <v>7203</v>
      </c>
      <c r="D252" s="11" t="str">
        <f t="shared" si="1"/>
        <v>Abrir anúncio ↗</v>
      </c>
      <c r="E252" s="10" t="s">
        <v>6157</v>
      </c>
      <c r="F252" s="10" t="s">
        <v>29</v>
      </c>
      <c r="G252" s="12"/>
    </row>
    <row r="253" ht="15.75" customHeight="1">
      <c r="A253" s="10" t="s">
        <v>5984</v>
      </c>
      <c r="B253" s="12" t="s">
        <v>7202</v>
      </c>
      <c r="C253" s="10" t="s">
        <v>7206</v>
      </c>
      <c r="D253" s="11" t="str">
        <f t="shared" si="1"/>
        <v>Abrir anúncio ↗</v>
      </c>
      <c r="E253" s="10" t="s">
        <v>6157</v>
      </c>
      <c r="F253" s="10" t="s">
        <v>29</v>
      </c>
      <c r="G253" s="12"/>
    </row>
    <row r="254" ht="15.75" customHeight="1">
      <c r="A254" s="10" t="s">
        <v>5984</v>
      </c>
      <c r="B254" s="12" t="s">
        <v>7209</v>
      </c>
      <c r="C254" s="10" t="s">
        <v>7210</v>
      </c>
      <c r="D254" s="11" t="str">
        <f t="shared" si="1"/>
        <v>Abrir anúncio ↗</v>
      </c>
      <c r="E254" s="10" t="s">
        <v>6157</v>
      </c>
      <c r="F254" s="10" t="s">
        <v>29</v>
      </c>
      <c r="G254" s="12"/>
    </row>
    <row r="255" ht="15.75" customHeight="1">
      <c r="A255" s="10" t="s">
        <v>5984</v>
      </c>
      <c r="B255" s="12" t="s">
        <v>7209</v>
      </c>
      <c r="C255" s="10" t="s">
        <v>7214</v>
      </c>
      <c r="D255" s="11" t="str">
        <f t="shared" si="1"/>
        <v>Abrir anúncio ↗</v>
      </c>
      <c r="E255" s="10" t="s">
        <v>6157</v>
      </c>
      <c r="F255" s="10" t="s">
        <v>29</v>
      </c>
      <c r="G255" s="12"/>
    </row>
    <row r="256" ht="15.75" customHeight="1">
      <c r="A256" s="10" t="s">
        <v>5984</v>
      </c>
      <c r="B256" s="12" t="s">
        <v>7217</v>
      </c>
      <c r="C256" s="10" t="s">
        <v>7219</v>
      </c>
      <c r="D256" s="11" t="str">
        <f t="shared" si="1"/>
        <v>Abrir anúncio ↗</v>
      </c>
      <c r="E256" s="10" t="s">
        <v>6157</v>
      </c>
      <c r="F256" s="10" t="s">
        <v>29</v>
      </c>
      <c r="G256" s="12"/>
    </row>
    <row r="257" ht="15.75" customHeight="1">
      <c r="A257" s="10" t="s">
        <v>5984</v>
      </c>
      <c r="B257" s="12" t="s">
        <v>7217</v>
      </c>
      <c r="C257" s="10" t="s">
        <v>7223</v>
      </c>
      <c r="D257" s="11" t="str">
        <f t="shared" si="1"/>
        <v>Abrir anúncio ↗</v>
      </c>
      <c r="E257" s="10" t="s">
        <v>6157</v>
      </c>
      <c r="F257" s="10" t="s">
        <v>29</v>
      </c>
      <c r="G257" s="12"/>
    </row>
    <row r="258" ht="15.75" customHeight="1">
      <c r="A258" s="10" t="s">
        <v>5984</v>
      </c>
      <c r="B258" s="12" t="s">
        <v>2806</v>
      </c>
      <c r="C258" s="10" t="s">
        <v>2805</v>
      </c>
      <c r="D258" s="11" t="str">
        <f t="shared" si="1"/>
        <v>Abrir anúncio ↗</v>
      </c>
      <c r="E258" s="10" t="s">
        <v>6157</v>
      </c>
      <c r="F258" s="10" t="s">
        <v>29</v>
      </c>
      <c r="G258" s="12"/>
    </row>
    <row r="259" ht="15.75" customHeight="1">
      <c r="A259" s="10" t="s">
        <v>5984</v>
      </c>
      <c r="B259" s="12" t="s">
        <v>2806</v>
      </c>
      <c r="C259" s="10" t="s">
        <v>7231</v>
      </c>
      <c r="D259" s="11" t="str">
        <f t="shared" si="1"/>
        <v>Abrir anúncio ↗</v>
      </c>
      <c r="E259" s="10" t="s">
        <v>6157</v>
      </c>
      <c r="F259" s="10" t="s">
        <v>29</v>
      </c>
      <c r="G259" s="12"/>
    </row>
    <row r="260" ht="15.75" customHeight="1">
      <c r="A260" s="10" t="s">
        <v>5984</v>
      </c>
      <c r="B260" s="12" t="s">
        <v>7233</v>
      </c>
      <c r="C260" s="10" t="s">
        <v>7236</v>
      </c>
      <c r="D260" s="11" t="str">
        <f t="shared" si="1"/>
        <v>Abrir anúncio ↗</v>
      </c>
      <c r="E260" s="10" t="s">
        <v>6157</v>
      </c>
      <c r="F260" s="10" t="s">
        <v>29</v>
      </c>
      <c r="G260" s="12"/>
    </row>
    <row r="261" ht="15.75" customHeight="1">
      <c r="A261" s="10" t="s">
        <v>5984</v>
      </c>
      <c r="B261" s="12" t="s">
        <v>7233</v>
      </c>
      <c r="C261" s="10" t="s">
        <v>7237</v>
      </c>
      <c r="D261" s="11" t="str">
        <f t="shared" si="1"/>
        <v>Abrir anúncio ↗</v>
      </c>
      <c r="E261" s="10" t="s">
        <v>6157</v>
      </c>
      <c r="F261" s="10" t="s">
        <v>29</v>
      </c>
      <c r="G261" s="12"/>
    </row>
    <row r="262" ht="15.75" customHeight="1">
      <c r="A262" s="10" t="s">
        <v>5984</v>
      </c>
      <c r="B262" s="12" t="s">
        <v>1412</v>
      </c>
      <c r="C262" s="10" t="s">
        <v>1553</v>
      </c>
      <c r="D262" s="11" t="str">
        <f t="shared" si="1"/>
        <v>Abrir anúncio ↗</v>
      </c>
      <c r="E262" s="10" t="s">
        <v>6171</v>
      </c>
      <c r="F262" s="10" t="s">
        <v>29</v>
      </c>
      <c r="G262" s="12"/>
    </row>
    <row r="263" ht="15.75" customHeight="1">
      <c r="A263" s="10" t="s">
        <v>5984</v>
      </c>
      <c r="B263" s="12" t="s">
        <v>1412</v>
      </c>
      <c r="C263" s="10" t="s">
        <v>1410</v>
      </c>
      <c r="D263" s="11" t="str">
        <f t="shared" si="1"/>
        <v>Abrir anúncio ↗</v>
      </c>
      <c r="E263" s="10" t="s">
        <v>6171</v>
      </c>
      <c r="F263" s="10" t="s">
        <v>29</v>
      </c>
      <c r="G263" s="12"/>
    </row>
    <row r="264" ht="15.75" customHeight="1">
      <c r="A264" s="10" t="s">
        <v>5984</v>
      </c>
      <c r="B264" s="12" t="s">
        <v>4194</v>
      </c>
      <c r="C264" s="10" t="s">
        <v>4191</v>
      </c>
      <c r="D264" s="11" t="str">
        <f t="shared" si="1"/>
        <v>Abrir anúncio ↗</v>
      </c>
      <c r="E264" s="10" t="s">
        <v>6171</v>
      </c>
      <c r="F264" s="10" t="s">
        <v>29</v>
      </c>
      <c r="G264" s="12"/>
    </row>
    <row r="265" ht="15.75" customHeight="1">
      <c r="A265" s="10" t="s">
        <v>5984</v>
      </c>
      <c r="B265" s="12" t="s">
        <v>4194</v>
      </c>
      <c r="C265" s="10" t="s">
        <v>6097</v>
      </c>
      <c r="D265" s="11" t="str">
        <f t="shared" si="1"/>
        <v>Abrir anúncio ↗</v>
      </c>
      <c r="E265" s="10" t="s">
        <v>6171</v>
      </c>
      <c r="F265" s="10" t="s">
        <v>29</v>
      </c>
      <c r="G265" s="12"/>
    </row>
    <row r="266" ht="15.75" customHeight="1">
      <c r="A266" s="10" t="s">
        <v>5984</v>
      </c>
      <c r="B266" s="12" t="s">
        <v>1835</v>
      </c>
      <c r="C266" s="10" t="s">
        <v>1849</v>
      </c>
      <c r="D266" s="11" t="str">
        <f t="shared" si="1"/>
        <v>Abrir anúncio ↗</v>
      </c>
      <c r="E266" s="10" t="s">
        <v>6171</v>
      </c>
      <c r="F266" s="10" t="s">
        <v>29</v>
      </c>
      <c r="G266" s="12"/>
    </row>
    <row r="267" ht="15.75" customHeight="1">
      <c r="A267" s="10" t="s">
        <v>5984</v>
      </c>
      <c r="B267" s="12" t="s">
        <v>1835</v>
      </c>
      <c r="C267" s="10" t="s">
        <v>1834</v>
      </c>
      <c r="D267" s="11" t="str">
        <f t="shared" si="1"/>
        <v>Abrir anúncio ↗</v>
      </c>
      <c r="E267" s="10" t="s">
        <v>6171</v>
      </c>
      <c r="F267" s="10" t="s">
        <v>29</v>
      </c>
      <c r="G267" s="12"/>
    </row>
    <row r="268" ht="15.75" customHeight="1">
      <c r="A268" s="10" t="s">
        <v>5984</v>
      </c>
      <c r="B268" s="12" t="s">
        <v>7253</v>
      </c>
      <c r="C268" s="10" t="s">
        <v>7254</v>
      </c>
      <c r="D268" s="11" t="str">
        <f t="shared" si="1"/>
        <v>Abrir anúncio ↗</v>
      </c>
      <c r="E268" s="10" t="s">
        <v>6157</v>
      </c>
      <c r="F268" s="10" t="s">
        <v>29</v>
      </c>
      <c r="G268" s="12"/>
    </row>
    <row r="269" ht="15.75" customHeight="1">
      <c r="A269" s="10" t="s">
        <v>5984</v>
      </c>
      <c r="B269" s="12" t="s">
        <v>7253</v>
      </c>
      <c r="C269" s="10" t="s">
        <v>7257</v>
      </c>
      <c r="D269" s="11" t="str">
        <f t="shared" si="1"/>
        <v>Abrir anúncio ↗</v>
      </c>
      <c r="E269" s="10" t="s">
        <v>6157</v>
      </c>
      <c r="F269" s="10" t="s">
        <v>29</v>
      </c>
      <c r="G269" s="12"/>
    </row>
    <row r="270" ht="15.75" customHeight="1">
      <c r="A270" s="10" t="s">
        <v>5984</v>
      </c>
      <c r="B270" s="12" t="s">
        <v>7260</v>
      </c>
      <c r="C270" s="10" t="s">
        <v>7262</v>
      </c>
      <c r="D270" s="11" t="str">
        <f t="shared" si="1"/>
        <v>Abrir anúncio ↗</v>
      </c>
      <c r="E270" s="10" t="s">
        <v>6157</v>
      </c>
      <c r="F270" s="10" t="s">
        <v>29</v>
      </c>
      <c r="G270" s="12"/>
    </row>
    <row r="271" ht="15.75" customHeight="1">
      <c r="A271" s="10" t="s">
        <v>5984</v>
      </c>
      <c r="B271" s="12" t="s">
        <v>7260</v>
      </c>
      <c r="C271" s="10" t="s">
        <v>7264</v>
      </c>
      <c r="D271" s="11" t="str">
        <f t="shared" si="1"/>
        <v>Abrir anúncio ↗</v>
      </c>
      <c r="E271" s="10" t="s">
        <v>6157</v>
      </c>
      <c r="F271" s="10" t="s">
        <v>29</v>
      </c>
      <c r="G271" s="12"/>
    </row>
    <row r="272" ht="15.75" customHeight="1">
      <c r="A272" s="10" t="s">
        <v>5984</v>
      </c>
      <c r="B272" s="12" t="s">
        <v>3181</v>
      </c>
      <c r="C272" s="10" t="s">
        <v>5153</v>
      </c>
      <c r="D272" s="11" t="str">
        <f t="shared" si="1"/>
        <v>Abrir anúncio ↗</v>
      </c>
      <c r="E272" s="10" t="s">
        <v>6171</v>
      </c>
      <c r="F272" s="10" t="s">
        <v>29</v>
      </c>
      <c r="G272" s="12"/>
    </row>
    <row r="273" ht="15.75" customHeight="1">
      <c r="A273" s="10" t="s">
        <v>5984</v>
      </c>
      <c r="B273" s="12" t="s">
        <v>3181</v>
      </c>
      <c r="C273" s="10" t="s">
        <v>3180</v>
      </c>
      <c r="D273" s="11" t="str">
        <f t="shared" si="1"/>
        <v>Abrir anúncio ↗</v>
      </c>
      <c r="E273" s="10" t="s">
        <v>6171</v>
      </c>
      <c r="F273" s="10" t="s">
        <v>29</v>
      </c>
      <c r="G273" s="12"/>
    </row>
    <row r="274" ht="15.75" customHeight="1">
      <c r="A274" s="10" t="s">
        <v>5984</v>
      </c>
      <c r="B274" s="12" t="s">
        <v>5359</v>
      </c>
      <c r="C274" s="10" t="s">
        <v>5358</v>
      </c>
      <c r="D274" s="11" t="str">
        <f t="shared" si="1"/>
        <v>Abrir anúncio ↗</v>
      </c>
      <c r="E274" s="10" t="s">
        <v>6171</v>
      </c>
      <c r="F274" s="10" t="s">
        <v>29</v>
      </c>
      <c r="G274" s="12"/>
    </row>
    <row r="275" ht="15.75" customHeight="1">
      <c r="A275" s="10" t="s">
        <v>5984</v>
      </c>
      <c r="B275" s="12" t="s">
        <v>5359</v>
      </c>
      <c r="C275" s="10" t="s">
        <v>6775</v>
      </c>
      <c r="D275" s="11" t="str">
        <f t="shared" si="1"/>
        <v>Abrir anúncio ↗</v>
      </c>
      <c r="E275" s="10" t="s">
        <v>6171</v>
      </c>
      <c r="F275" s="10" t="s">
        <v>29</v>
      </c>
      <c r="G275" s="12"/>
    </row>
    <row r="276" ht="15.75" customHeight="1">
      <c r="A276" s="10" t="s">
        <v>5984</v>
      </c>
      <c r="B276" s="12" t="s">
        <v>6012</v>
      </c>
      <c r="C276" s="10" t="s">
        <v>6009</v>
      </c>
      <c r="D276" s="11" t="str">
        <f t="shared" si="1"/>
        <v>Abrir anúncio ↗</v>
      </c>
      <c r="E276" s="10" t="s">
        <v>6171</v>
      </c>
      <c r="F276" s="10" t="s">
        <v>29</v>
      </c>
      <c r="G276" s="12"/>
    </row>
    <row r="277" ht="15.75" customHeight="1">
      <c r="A277" s="10" t="s">
        <v>5984</v>
      </c>
      <c r="B277" s="12" t="s">
        <v>6012</v>
      </c>
      <c r="C277" s="10" t="s">
        <v>6763</v>
      </c>
      <c r="D277" s="11" t="str">
        <f t="shared" si="1"/>
        <v>Abrir anúncio ↗</v>
      </c>
      <c r="E277" s="10" t="s">
        <v>6171</v>
      </c>
      <c r="F277" s="10" t="s">
        <v>29</v>
      </c>
      <c r="G277" s="12"/>
    </row>
    <row r="278" ht="15.75" customHeight="1">
      <c r="A278" s="10" t="s">
        <v>5984</v>
      </c>
      <c r="B278" s="12" t="s">
        <v>7283</v>
      </c>
      <c r="C278" s="10" t="s">
        <v>7284</v>
      </c>
      <c r="D278" s="11" t="str">
        <f t="shared" si="1"/>
        <v>Abrir anúncio ↗</v>
      </c>
      <c r="E278" s="10" t="s">
        <v>6157</v>
      </c>
      <c r="F278" s="10" t="s">
        <v>29</v>
      </c>
      <c r="G278" s="12"/>
    </row>
    <row r="279" ht="15.75" customHeight="1">
      <c r="A279" s="10" t="s">
        <v>5984</v>
      </c>
      <c r="B279" s="12" t="s">
        <v>7283</v>
      </c>
      <c r="C279" s="10" t="s">
        <v>7287</v>
      </c>
      <c r="D279" s="11" t="str">
        <f t="shared" si="1"/>
        <v>Abrir anúncio ↗</v>
      </c>
      <c r="E279" s="10" t="s">
        <v>6157</v>
      </c>
      <c r="F279" s="10" t="s">
        <v>29</v>
      </c>
      <c r="G279" s="12"/>
    </row>
    <row r="280" ht="15.75" customHeight="1">
      <c r="A280" s="10" t="s">
        <v>5984</v>
      </c>
      <c r="B280" s="12" t="s">
        <v>6177</v>
      </c>
      <c r="C280" s="10" t="s">
        <v>7291</v>
      </c>
      <c r="D280" s="11" t="str">
        <f t="shared" si="1"/>
        <v>Abrir anúncio ↗</v>
      </c>
      <c r="E280" s="10" t="s">
        <v>6171</v>
      </c>
      <c r="F280" s="10" t="s">
        <v>29</v>
      </c>
      <c r="G280" s="12"/>
    </row>
    <row r="281" ht="15.75" customHeight="1">
      <c r="A281" s="10" t="s">
        <v>5984</v>
      </c>
      <c r="B281" s="12" t="s">
        <v>6177</v>
      </c>
      <c r="C281" s="10" t="s">
        <v>6176</v>
      </c>
      <c r="D281" s="11" t="str">
        <f t="shared" si="1"/>
        <v>Abrir anúncio ↗</v>
      </c>
      <c r="E281" s="10" t="s">
        <v>6171</v>
      </c>
      <c r="F281" s="10" t="s">
        <v>29</v>
      </c>
      <c r="G281" s="12"/>
    </row>
    <row r="282" ht="15.75" customHeight="1">
      <c r="A282" s="10" t="s">
        <v>5984</v>
      </c>
      <c r="B282" s="12" t="s">
        <v>7295</v>
      </c>
      <c r="C282" s="10" t="s">
        <v>7296</v>
      </c>
      <c r="D282" s="11" t="str">
        <f t="shared" si="1"/>
        <v>Abrir anúncio ↗</v>
      </c>
      <c r="E282" s="10" t="s">
        <v>6157</v>
      </c>
      <c r="F282" s="10" t="s">
        <v>29</v>
      </c>
      <c r="G282" s="12"/>
    </row>
    <row r="283" ht="15.75" customHeight="1">
      <c r="A283" s="10" t="s">
        <v>5984</v>
      </c>
      <c r="B283" s="12" t="s">
        <v>7295</v>
      </c>
      <c r="C283" s="10" t="s">
        <v>7299</v>
      </c>
      <c r="D283" s="11" t="str">
        <f t="shared" si="1"/>
        <v>Abrir anúncio ↗</v>
      </c>
      <c r="E283" s="10" t="s">
        <v>6157</v>
      </c>
      <c r="F283" s="10" t="s">
        <v>29</v>
      </c>
      <c r="G283" s="12"/>
    </row>
    <row r="284" ht="15.75" customHeight="1">
      <c r="A284" s="10" t="s">
        <v>5984</v>
      </c>
      <c r="B284" s="12" t="s">
        <v>2874</v>
      </c>
      <c r="C284" s="10" t="s">
        <v>2871</v>
      </c>
      <c r="D284" s="11" t="str">
        <f t="shared" si="1"/>
        <v>Abrir anúncio ↗</v>
      </c>
      <c r="E284" s="10" t="s">
        <v>6157</v>
      </c>
      <c r="F284" s="10" t="s">
        <v>29</v>
      </c>
      <c r="G284" s="12"/>
    </row>
    <row r="285" ht="15.75" customHeight="1">
      <c r="A285" s="10" t="s">
        <v>5984</v>
      </c>
      <c r="B285" s="12" t="s">
        <v>2874</v>
      </c>
      <c r="C285" s="10" t="s">
        <v>7306</v>
      </c>
      <c r="D285" s="11" t="str">
        <f t="shared" si="1"/>
        <v>Abrir anúncio ↗</v>
      </c>
      <c r="E285" s="10" t="s">
        <v>6157</v>
      </c>
      <c r="F285" s="10" t="s">
        <v>29</v>
      </c>
      <c r="G285" s="12"/>
    </row>
    <row r="286" ht="15.75" customHeight="1">
      <c r="A286" s="10" t="s">
        <v>5984</v>
      </c>
      <c r="B286" s="12" t="s">
        <v>2962</v>
      </c>
      <c r="C286" s="10" t="s">
        <v>2961</v>
      </c>
      <c r="D286" s="11" t="str">
        <f t="shared" si="1"/>
        <v>Abrir anúncio ↗</v>
      </c>
      <c r="E286" s="10" t="s">
        <v>6157</v>
      </c>
      <c r="F286" s="10" t="s">
        <v>29</v>
      </c>
      <c r="G286" s="12"/>
    </row>
    <row r="287" ht="15.75" customHeight="1">
      <c r="A287" s="10" t="s">
        <v>5984</v>
      </c>
      <c r="B287" s="12" t="s">
        <v>2962</v>
      </c>
      <c r="C287" s="10" t="s">
        <v>7311</v>
      </c>
      <c r="D287" s="11" t="str">
        <f t="shared" si="1"/>
        <v>Abrir anúncio ↗</v>
      </c>
      <c r="E287" s="10" t="s">
        <v>6157</v>
      </c>
      <c r="F287" s="10" t="s">
        <v>29</v>
      </c>
      <c r="G287" s="12"/>
    </row>
    <row r="288" ht="15.75" customHeight="1">
      <c r="A288" s="10" t="s">
        <v>5984</v>
      </c>
      <c r="B288" s="12" t="s">
        <v>164</v>
      </c>
      <c r="C288" s="10" t="s">
        <v>152</v>
      </c>
      <c r="D288" s="11" t="str">
        <f t="shared" si="1"/>
        <v>Abrir anúncio ↗</v>
      </c>
      <c r="E288" s="10" t="s">
        <v>6184</v>
      </c>
      <c r="F288" s="10" t="s">
        <v>29</v>
      </c>
      <c r="G288" s="12"/>
    </row>
    <row r="289" ht="15.75" customHeight="1">
      <c r="A289" s="10" t="s">
        <v>5984</v>
      </c>
      <c r="B289" s="12" t="s">
        <v>164</v>
      </c>
      <c r="C289" s="10" t="s">
        <v>7320</v>
      </c>
      <c r="D289" s="11" t="str">
        <f t="shared" si="1"/>
        <v>Abrir anúncio ↗</v>
      </c>
      <c r="E289" s="10" t="s">
        <v>6184</v>
      </c>
      <c r="F289" s="10" t="s">
        <v>29</v>
      </c>
      <c r="G289" s="12"/>
    </row>
    <row r="290" ht="15.75" customHeight="1">
      <c r="A290" s="10" t="s">
        <v>5984</v>
      </c>
      <c r="B290" s="12" t="s">
        <v>7321</v>
      </c>
      <c r="C290" s="10" t="s">
        <v>7323</v>
      </c>
      <c r="D290" s="11" t="str">
        <f t="shared" si="1"/>
        <v>Abrir anúncio ↗</v>
      </c>
      <c r="E290" s="10" t="s">
        <v>6157</v>
      </c>
      <c r="F290" s="10" t="s">
        <v>29</v>
      </c>
      <c r="G290" s="12"/>
    </row>
    <row r="291" ht="15.75" customHeight="1">
      <c r="A291" s="10" t="s">
        <v>5984</v>
      </c>
      <c r="B291" s="12" t="s">
        <v>7321</v>
      </c>
      <c r="C291" s="10" t="s">
        <v>7328</v>
      </c>
      <c r="D291" s="11" t="str">
        <f t="shared" si="1"/>
        <v>Abrir anúncio ↗</v>
      </c>
      <c r="E291" s="10" t="s">
        <v>6157</v>
      </c>
      <c r="F291" s="10" t="s">
        <v>29</v>
      </c>
      <c r="G291" s="12"/>
    </row>
    <row r="292" ht="15.75" customHeight="1">
      <c r="A292" s="10" t="s">
        <v>5984</v>
      </c>
      <c r="B292" s="12" t="s">
        <v>3882</v>
      </c>
      <c r="C292" s="10" t="s">
        <v>3881</v>
      </c>
      <c r="D292" s="11" t="str">
        <f t="shared" si="1"/>
        <v>Abrir anúncio ↗</v>
      </c>
      <c r="E292" s="10" t="s">
        <v>6171</v>
      </c>
      <c r="F292" s="10" t="s">
        <v>29</v>
      </c>
      <c r="G292" s="12"/>
    </row>
    <row r="293" ht="15.75" customHeight="1">
      <c r="A293" s="10" t="s">
        <v>5984</v>
      </c>
      <c r="B293" s="12" t="s">
        <v>3882</v>
      </c>
      <c r="C293" s="10" t="s">
        <v>5347</v>
      </c>
      <c r="D293" s="11" t="str">
        <f t="shared" si="1"/>
        <v>Abrir anúncio ↗</v>
      </c>
      <c r="E293" s="10" t="s">
        <v>6171</v>
      </c>
      <c r="F293" s="10" t="s">
        <v>29</v>
      </c>
      <c r="G293" s="12"/>
    </row>
    <row r="294" ht="15.75" customHeight="1">
      <c r="A294" s="10" t="s">
        <v>5984</v>
      </c>
      <c r="B294" s="12" t="s">
        <v>6680</v>
      </c>
      <c r="C294" s="10" t="s">
        <v>7337</v>
      </c>
      <c r="D294" s="11" t="str">
        <f t="shared" si="1"/>
        <v>Abrir anúncio ↗</v>
      </c>
      <c r="E294" s="10" t="s">
        <v>6171</v>
      </c>
      <c r="F294" s="10" t="s">
        <v>29</v>
      </c>
      <c r="G294" s="12"/>
    </row>
    <row r="295" ht="15.75" customHeight="1">
      <c r="A295" s="10" t="s">
        <v>5984</v>
      </c>
      <c r="B295" s="12" t="s">
        <v>6680</v>
      </c>
      <c r="C295" s="10" t="s">
        <v>6678</v>
      </c>
      <c r="D295" s="11" t="str">
        <f t="shared" si="1"/>
        <v>Abrir anúncio ↗</v>
      </c>
      <c r="E295" s="10" t="s">
        <v>6171</v>
      </c>
      <c r="F295" s="10" t="s">
        <v>29</v>
      </c>
      <c r="G295" s="12"/>
    </row>
    <row r="296" ht="15.75" customHeight="1">
      <c r="A296" s="10" t="s">
        <v>5984</v>
      </c>
      <c r="B296" s="12" t="s">
        <v>7341</v>
      </c>
      <c r="C296" s="10" t="s">
        <v>7342</v>
      </c>
      <c r="D296" s="11" t="str">
        <f t="shared" si="1"/>
        <v>Abrir anúncio ↗</v>
      </c>
      <c r="E296" s="10" t="s">
        <v>6171</v>
      </c>
      <c r="F296" s="10" t="s">
        <v>29</v>
      </c>
      <c r="G296" s="12"/>
    </row>
    <row r="297" ht="15.75" customHeight="1">
      <c r="A297" s="10" t="s">
        <v>5984</v>
      </c>
      <c r="B297" s="12" t="s">
        <v>7341</v>
      </c>
      <c r="C297" s="10" t="s">
        <v>7346</v>
      </c>
      <c r="D297" s="11" t="str">
        <f t="shared" si="1"/>
        <v>Abrir anúncio ↗</v>
      </c>
      <c r="E297" s="10" t="s">
        <v>6171</v>
      </c>
      <c r="F297" s="10" t="s">
        <v>29</v>
      </c>
      <c r="G297" s="12"/>
    </row>
    <row r="298" ht="15.75" customHeight="1">
      <c r="A298" s="10" t="s">
        <v>5984</v>
      </c>
      <c r="B298" s="12" t="s">
        <v>3558</v>
      </c>
      <c r="C298" s="10" t="s">
        <v>7349</v>
      </c>
      <c r="D298" s="11" t="str">
        <f t="shared" si="1"/>
        <v>Abrir anúncio ↗</v>
      </c>
      <c r="E298" s="10" t="s">
        <v>6171</v>
      </c>
      <c r="F298" s="10" t="s">
        <v>29</v>
      </c>
      <c r="G298" s="12"/>
    </row>
    <row r="299" ht="15.75" customHeight="1">
      <c r="A299" s="10" t="s">
        <v>5984</v>
      </c>
      <c r="B299" s="12" t="s">
        <v>3558</v>
      </c>
      <c r="C299" s="10" t="s">
        <v>3556</v>
      </c>
      <c r="D299" s="11" t="str">
        <f t="shared" si="1"/>
        <v>Abrir anúncio ↗</v>
      </c>
      <c r="E299" s="10" t="s">
        <v>6171</v>
      </c>
      <c r="F299" s="10" t="s">
        <v>29</v>
      </c>
      <c r="G299" s="12"/>
    </row>
    <row r="300" ht="15.75" customHeight="1">
      <c r="A300" s="10" t="s">
        <v>5984</v>
      </c>
      <c r="B300" s="12" t="s">
        <v>5552</v>
      </c>
      <c r="C300" s="10" t="s">
        <v>5904</v>
      </c>
      <c r="D300" s="11" t="str">
        <f t="shared" si="1"/>
        <v>Abrir anúncio ↗</v>
      </c>
      <c r="E300" s="10" t="s">
        <v>6203</v>
      </c>
      <c r="F300" s="10" t="s">
        <v>29</v>
      </c>
      <c r="G300" s="12"/>
    </row>
    <row r="301" ht="15.75" customHeight="1">
      <c r="A301" s="10" t="s">
        <v>5984</v>
      </c>
      <c r="B301" s="12" t="s">
        <v>5552</v>
      </c>
      <c r="C301" s="10" t="s">
        <v>5550</v>
      </c>
      <c r="D301" s="11" t="str">
        <f t="shared" si="1"/>
        <v>Abrir anúncio ↗</v>
      </c>
      <c r="E301" s="10" t="s">
        <v>6203</v>
      </c>
      <c r="F301" s="10" t="s">
        <v>29</v>
      </c>
      <c r="G301" s="12"/>
    </row>
    <row r="302" ht="15.75" customHeight="1">
      <c r="A302" s="10" t="s">
        <v>5984</v>
      </c>
      <c r="B302" s="12" t="s">
        <v>416</v>
      </c>
      <c r="C302" s="10" t="s">
        <v>414</v>
      </c>
      <c r="D302" s="11" t="str">
        <f t="shared" si="1"/>
        <v>Abrir anúncio ↗</v>
      </c>
      <c r="E302" s="10" t="s">
        <v>6157</v>
      </c>
      <c r="F302" s="10" t="s">
        <v>29</v>
      </c>
      <c r="G302" s="12"/>
    </row>
    <row r="303" ht="15.75" customHeight="1">
      <c r="A303" s="10" t="s">
        <v>5984</v>
      </c>
      <c r="B303" s="12" t="s">
        <v>416</v>
      </c>
      <c r="C303" s="10" t="s">
        <v>3947</v>
      </c>
      <c r="D303" s="11" t="str">
        <f t="shared" si="1"/>
        <v>Abrir anúncio ↗</v>
      </c>
      <c r="E303" s="10" t="s">
        <v>6157</v>
      </c>
      <c r="F303" s="10" t="s">
        <v>29</v>
      </c>
      <c r="G303" s="12"/>
    </row>
    <row r="304" ht="15.75" customHeight="1">
      <c r="A304" s="10" t="s">
        <v>5984</v>
      </c>
      <c r="B304" s="12" t="s">
        <v>7366</v>
      </c>
      <c r="C304" s="10" t="s">
        <v>7367</v>
      </c>
      <c r="D304" s="11" t="str">
        <f t="shared" si="1"/>
        <v>Abrir anúncio ↗</v>
      </c>
      <c r="E304" s="10" t="s">
        <v>6157</v>
      </c>
      <c r="F304" s="10" t="s">
        <v>29</v>
      </c>
      <c r="G304" s="12"/>
    </row>
    <row r="305" ht="15.75" customHeight="1">
      <c r="A305" s="10" t="s">
        <v>5984</v>
      </c>
      <c r="B305" s="12" t="s">
        <v>7366</v>
      </c>
      <c r="C305" s="10" t="s">
        <v>7372</v>
      </c>
      <c r="D305" s="11" t="str">
        <f t="shared" si="1"/>
        <v>Abrir anúncio ↗</v>
      </c>
      <c r="E305" s="10" t="s">
        <v>6157</v>
      </c>
      <c r="F305" s="10" t="s">
        <v>29</v>
      </c>
      <c r="G305" s="12"/>
    </row>
    <row r="306" ht="15.75" customHeight="1">
      <c r="A306" s="10" t="s">
        <v>5984</v>
      </c>
      <c r="B306" s="12" t="s">
        <v>7376</v>
      </c>
      <c r="C306" s="10" t="s">
        <v>7377</v>
      </c>
      <c r="D306" s="11" t="str">
        <f t="shared" si="1"/>
        <v>Abrir anúncio ↗</v>
      </c>
      <c r="E306" s="10" t="s">
        <v>6157</v>
      </c>
      <c r="F306" s="10" t="s">
        <v>29</v>
      </c>
      <c r="G306" s="12"/>
    </row>
    <row r="307" ht="15.75" customHeight="1">
      <c r="A307" s="10" t="s">
        <v>5984</v>
      </c>
      <c r="B307" s="12" t="s">
        <v>7376</v>
      </c>
      <c r="C307" s="10" t="s">
        <v>7381</v>
      </c>
      <c r="D307" s="11" t="str">
        <f t="shared" si="1"/>
        <v>Abrir anúncio ↗</v>
      </c>
      <c r="E307" s="10" t="s">
        <v>6157</v>
      </c>
      <c r="F307" s="10" t="s">
        <v>29</v>
      </c>
      <c r="G307" s="12"/>
    </row>
    <row r="308" ht="15.75" customHeight="1">
      <c r="A308" s="10" t="s">
        <v>5984</v>
      </c>
      <c r="B308" s="12" t="s">
        <v>91</v>
      </c>
      <c r="C308" s="10" t="s">
        <v>89</v>
      </c>
      <c r="D308" s="11" t="str">
        <f t="shared" si="1"/>
        <v>Abrir anúncio ↗</v>
      </c>
      <c r="E308" s="10" t="s">
        <v>6171</v>
      </c>
      <c r="F308" s="10" t="s">
        <v>29</v>
      </c>
      <c r="G308" s="12"/>
    </row>
    <row r="309" ht="15.75" customHeight="1">
      <c r="A309" s="10" t="s">
        <v>5984</v>
      </c>
      <c r="B309" s="12" t="s">
        <v>91</v>
      </c>
      <c r="C309" s="10" t="s">
        <v>777</v>
      </c>
      <c r="D309" s="11" t="str">
        <f t="shared" si="1"/>
        <v>Abrir anúncio ↗</v>
      </c>
      <c r="E309" s="10" t="s">
        <v>6171</v>
      </c>
      <c r="F309" s="10" t="s">
        <v>29</v>
      </c>
      <c r="G309" s="12"/>
    </row>
    <row r="310" ht="15.75" customHeight="1">
      <c r="A310" s="10" t="s">
        <v>5984</v>
      </c>
      <c r="B310" s="12" t="s">
        <v>4483</v>
      </c>
      <c r="C310" s="10" t="s">
        <v>5614</v>
      </c>
      <c r="D310" s="11" t="str">
        <f t="shared" si="1"/>
        <v>Abrir anúncio ↗</v>
      </c>
      <c r="E310" s="10" t="s">
        <v>6171</v>
      </c>
      <c r="F310" s="10" t="s">
        <v>29</v>
      </c>
      <c r="G310" s="12"/>
    </row>
    <row r="311" ht="15.75" customHeight="1">
      <c r="A311" s="10" t="s">
        <v>5984</v>
      </c>
      <c r="B311" s="12" t="s">
        <v>4483</v>
      </c>
      <c r="C311" s="10" t="s">
        <v>4481</v>
      </c>
      <c r="D311" s="11" t="str">
        <f t="shared" si="1"/>
        <v>Abrir anúncio ↗</v>
      </c>
      <c r="E311" s="10" t="s">
        <v>6171</v>
      </c>
      <c r="F311" s="10" t="s">
        <v>29</v>
      </c>
      <c r="G311" s="12"/>
    </row>
    <row r="312" ht="15.75" customHeight="1">
      <c r="A312" s="10" t="s">
        <v>5984</v>
      </c>
      <c r="B312" s="12" t="s">
        <v>7396</v>
      </c>
      <c r="C312" s="10" t="s">
        <v>7398</v>
      </c>
      <c r="D312" s="11" t="str">
        <f t="shared" si="1"/>
        <v>Abrir anúncio ↗</v>
      </c>
      <c r="E312" s="10" t="s">
        <v>6157</v>
      </c>
      <c r="F312" s="10" t="s">
        <v>29</v>
      </c>
      <c r="G312" s="12"/>
    </row>
    <row r="313" ht="15.75" customHeight="1">
      <c r="A313" s="10" t="s">
        <v>5984</v>
      </c>
      <c r="B313" s="12" t="s">
        <v>7396</v>
      </c>
      <c r="C313" s="10" t="s">
        <v>7401</v>
      </c>
      <c r="D313" s="11" t="str">
        <f t="shared" si="1"/>
        <v>Abrir anúncio ↗</v>
      </c>
      <c r="E313" s="10" t="s">
        <v>6157</v>
      </c>
      <c r="F313" s="10" t="s">
        <v>29</v>
      </c>
      <c r="G313" s="12"/>
    </row>
    <row r="314" ht="15.75" customHeight="1">
      <c r="A314" s="10" t="s">
        <v>5984</v>
      </c>
      <c r="B314" s="12" t="s">
        <v>547</v>
      </c>
      <c r="C314" s="10" t="s">
        <v>815</v>
      </c>
      <c r="D314" s="11" t="str">
        <f t="shared" si="1"/>
        <v>Abrir anúncio ↗</v>
      </c>
      <c r="E314" s="10" t="s">
        <v>6171</v>
      </c>
      <c r="F314" s="10" t="s">
        <v>29</v>
      </c>
      <c r="G314" s="12"/>
    </row>
    <row r="315" ht="15.75" customHeight="1">
      <c r="A315" s="10" t="s">
        <v>5984</v>
      </c>
      <c r="B315" s="12" t="s">
        <v>547</v>
      </c>
      <c r="C315" s="10" t="s">
        <v>546</v>
      </c>
      <c r="D315" s="11" t="str">
        <f t="shared" si="1"/>
        <v>Abrir anúncio ↗</v>
      </c>
      <c r="E315" s="10" t="s">
        <v>6171</v>
      </c>
      <c r="F315" s="10" t="s">
        <v>29</v>
      </c>
      <c r="G315" s="12"/>
    </row>
    <row r="316" ht="15.75" customHeight="1">
      <c r="A316" s="10" t="s">
        <v>5984</v>
      </c>
      <c r="B316" s="12" t="s">
        <v>6501</v>
      </c>
      <c r="C316" s="10" t="s">
        <v>6771</v>
      </c>
      <c r="D316" s="11" t="str">
        <f t="shared" si="1"/>
        <v>Abrir anúncio ↗</v>
      </c>
      <c r="E316" s="10" t="s">
        <v>6171</v>
      </c>
      <c r="F316" s="10" t="s">
        <v>29</v>
      </c>
      <c r="G316" s="12"/>
    </row>
    <row r="317" ht="15.75" customHeight="1">
      <c r="A317" s="10" t="s">
        <v>5984</v>
      </c>
      <c r="B317" s="12" t="s">
        <v>6501</v>
      </c>
      <c r="C317" s="10" t="s">
        <v>6500</v>
      </c>
      <c r="D317" s="11" t="str">
        <f t="shared" si="1"/>
        <v>Abrir anúncio ↗</v>
      </c>
      <c r="E317" s="10" t="s">
        <v>6171</v>
      </c>
      <c r="F317" s="10" t="s">
        <v>29</v>
      </c>
      <c r="G317" s="12"/>
    </row>
    <row r="318" ht="15.75" customHeight="1">
      <c r="A318" s="10" t="s">
        <v>5984</v>
      </c>
      <c r="B318" s="12" t="s">
        <v>5587</v>
      </c>
      <c r="C318" s="10" t="s">
        <v>6802</v>
      </c>
      <c r="D318" s="11" t="str">
        <f t="shared" si="1"/>
        <v>Abrir anúncio ↗</v>
      </c>
      <c r="E318" s="10" t="s">
        <v>6171</v>
      </c>
      <c r="F318" s="10" t="s">
        <v>29</v>
      </c>
      <c r="G318" s="12"/>
    </row>
    <row r="319" ht="15.75" customHeight="1">
      <c r="A319" s="10" t="s">
        <v>5984</v>
      </c>
      <c r="B319" s="12" t="s">
        <v>5587</v>
      </c>
      <c r="C319" s="10" t="s">
        <v>5583</v>
      </c>
      <c r="D319" s="11" t="str">
        <f t="shared" si="1"/>
        <v>Abrir anúncio ↗</v>
      </c>
      <c r="E319" s="10" t="s">
        <v>6171</v>
      </c>
      <c r="F319" s="10" t="s">
        <v>29</v>
      </c>
      <c r="G319" s="12"/>
    </row>
    <row r="320" ht="15.75" customHeight="1">
      <c r="A320" s="10" t="s">
        <v>5984</v>
      </c>
      <c r="B320" s="12" t="s">
        <v>7423</v>
      </c>
      <c r="C320" s="10" t="s">
        <v>7424</v>
      </c>
      <c r="D320" s="11" t="str">
        <f t="shared" si="1"/>
        <v>Abrir anúncio ↗</v>
      </c>
      <c r="E320" s="10" t="s">
        <v>6157</v>
      </c>
      <c r="F320" s="10" t="s">
        <v>29</v>
      </c>
      <c r="G320" s="12"/>
    </row>
    <row r="321" ht="15.75" customHeight="1">
      <c r="A321" s="10" t="s">
        <v>5984</v>
      </c>
      <c r="B321" s="12" t="s">
        <v>7423</v>
      </c>
      <c r="C321" s="10" t="s">
        <v>7428</v>
      </c>
      <c r="D321" s="11" t="str">
        <f t="shared" si="1"/>
        <v>Abrir anúncio ↗</v>
      </c>
      <c r="E321" s="10" t="s">
        <v>6157</v>
      </c>
      <c r="F321" s="10" t="s">
        <v>29</v>
      </c>
      <c r="G321" s="12"/>
    </row>
    <row r="322" ht="15.75" customHeight="1">
      <c r="A322" s="10" t="s">
        <v>5984</v>
      </c>
      <c r="B322" s="12" t="s">
        <v>7430</v>
      </c>
      <c r="C322" s="10" t="s">
        <v>7431</v>
      </c>
      <c r="D322" s="11" t="str">
        <f t="shared" si="1"/>
        <v>Abrir anúncio ↗</v>
      </c>
      <c r="E322" s="10" t="s">
        <v>6157</v>
      </c>
      <c r="F322" s="10" t="s">
        <v>29</v>
      </c>
      <c r="G322" s="12"/>
    </row>
    <row r="323" ht="15.75" customHeight="1">
      <c r="A323" s="10" t="s">
        <v>5984</v>
      </c>
      <c r="B323" s="12" t="s">
        <v>7430</v>
      </c>
      <c r="C323" s="10" t="s">
        <v>7436</v>
      </c>
      <c r="D323" s="11" t="str">
        <f t="shared" si="1"/>
        <v>Abrir anúncio ↗</v>
      </c>
      <c r="E323" s="10" t="s">
        <v>6157</v>
      </c>
      <c r="F323" s="10" t="s">
        <v>29</v>
      </c>
      <c r="G323" s="12"/>
    </row>
    <row r="324" ht="15.75" customHeight="1">
      <c r="A324" s="10" t="s">
        <v>5984</v>
      </c>
      <c r="B324" s="12" t="s">
        <v>4061</v>
      </c>
      <c r="C324" s="10" t="s">
        <v>4060</v>
      </c>
      <c r="D324" s="11" t="str">
        <f t="shared" si="1"/>
        <v>Abrir anúncio ↗</v>
      </c>
      <c r="E324" s="10" t="s">
        <v>6171</v>
      </c>
      <c r="F324" s="10" t="s">
        <v>29</v>
      </c>
      <c r="G324" s="12"/>
    </row>
    <row r="325" ht="15.75" customHeight="1">
      <c r="A325" s="10" t="s">
        <v>5984</v>
      </c>
      <c r="B325" s="12" t="s">
        <v>4061</v>
      </c>
      <c r="C325" s="10" t="s">
        <v>7417</v>
      </c>
      <c r="D325" s="11" t="str">
        <f t="shared" si="1"/>
        <v>Abrir anúncio ↗</v>
      </c>
      <c r="E325" s="10" t="s">
        <v>6171</v>
      </c>
      <c r="F325" s="10" t="s">
        <v>29</v>
      </c>
      <c r="G325" s="12"/>
    </row>
    <row r="326" ht="15.75" customHeight="1">
      <c r="A326" s="10" t="s">
        <v>5984</v>
      </c>
      <c r="B326" s="12" t="s">
        <v>4126</v>
      </c>
      <c r="C326" s="10" t="s">
        <v>4124</v>
      </c>
      <c r="D326" s="11" t="str">
        <f t="shared" si="1"/>
        <v>Abrir anúncio ↗</v>
      </c>
      <c r="E326" s="10" t="s">
        <v>6171</v>
      </c>
      <c r="F326" s="10" t="s">
        <v>29</v>
      </c>
      <c r="G326" s="12"/>
    </row>
    <row r="327" ht="15.75" customHeight="1">
      <c r="A327" s="10" t="s">
        <v>5984</v>
      </c>
      <c r="B327" s="12" t="s">
        <v>4126</v>
      </c>
      <c r="C327" s="10" t="s">
        <v>4910</v>
      </c>
      <c r="D327" s="11" t="str">
        <f t="shared" si="1"/>
        <v>Abrir anúncio ↗</v>
      </c>
      <c r="E327" s="10" t="s">
        <v>6171</v>
      </c>
      <c r="F327" s="10" t="s">
        <v>86</v>
      </c>
      <c r="G327" s="12"/>
    </row>
    <row r="328" ht="15.75" customHeight="1">
      <c r="A328" s="10" t="s">
        <v>5984</v>
      </c>
      <c r="B328" s="12" t="s">
        <v>1717</v>
      </c>
      <c r="C328" s="10" t="s">
        <v>1861</v>
      </c>
      <c r="D328" s="11" t="str">
        <f t="shared" si="1"/>
        <v>Abrir anúncio ↗</v>
      </c>
      <c r="E328" s="10" t="s">
        <v>6171</v>
      </c>
      <c r="F328" s="10" t="s">
        <v>29</v>
      </c>
      <c r="G328" s="12"/>
    </row>
    <row r="329" ht="15.75" customHeight="1">
      <c r="A329" s="10" t="s">
        <v>5984</v>
      </c>
      <c r="B329" s="12" t="s">
        <v>1717</v>
      </c>
      <c r="C329" s="10" t="s">
        <v>1714</v>
      </c>
      <c r="D329" s="11" t="str">
        <f t="shared" si="1"/>
        <v>Abrir anúncio ↗</v>
      </c>
      <c r="E329" s="10" t="s">
        <v>6171</v>
      </c>
      <c r="F329" s="10" t="s">
        <v>29</v>
      </c>
      <c r="G329" s="12"/>
    </row>
    <row r="330" ht="15.75" customHeight="1">
      <c r="A330" s="10" t="s">
        <v>5984</v>
      </c>
      <c r="B330" s="12" t="s">
        <v>1399</v>
      </c>
      <c r="C330" s="10" t="s">
        <v>1876</v>
      </c>
      <c r="D330" s="11" t="str">
        <f t="shared" si="1"/>
        <v>Abrir anúncio ↗</v>
      </c>
      <c r="E330" s="10" t="s">
        <v>6171</v>
      </c>
      <c r="F330" s="10" t="s">
        <v>29</v>
      </c>
      <c r="G330" s="12"/>
    </row>
    <row r="331" ht="15.75" customHeight="1">
      <c r="A331" s="10" t="s">
        <v>5984</v>
      </c>
      <c r="B331" s="12" t="s">
        <v>1399</v>
      </c>
      <c r="C331" s="10" t="s">
        <v>1397</v>
      </c>
      <c r="D331" s="11" t="str">
        <f t="shared" si="1"/>
        <v>Abrir anúncio ↗</v>
      </c>
      <c r="E331" s="10" t="s">
        <v>6171</v>
      </c>
      <c r="F331" s="10" t="s">
        <v>29</v>
      </c>
      <c r="G331" s="12"/>
    </row>
    <row r="332" ht="15.75" customHeight="1">
      <c r="A332" s="10" t="s">
        <v>5984</v>
      </c>
      <c r="B332" s="12" t="s">
        <v>1971</v>
      </c>
      <c r="C332" s="10" t="s">
        <v>1970</v>
      </c>
      <c r="D332" s="11" t="str">
        <f t="shared" si="1"/>
        <v>Abrir anúncio ↗</v>
      </c>
      <c r="E332" s="10" t="s">
        <v>6171</v>
      </c>
      <c r="F332" s="10" t="s">
        <v>29</v>
      </c>
      <c r="G332" s="12"/>
    </row>
    <row r="333" ht="15.75" customHeight="1">
      <c r="A333" s="10" t="s">
        <v>5984</v>
      </c>
      <c r="B333" s="12" t="s">
        <v>1971</v>
      </c>
      <c r="C333" s="10" t="s">
        <v>6303</v>
      </c>
      <c r="D333" s="11" t="str">
        <f t="shared" si="1"/>
        <v>Abrir anúncio ↗</v>
      </c>
      <c r="E333" s="10" t="s">
        <v>6171</v>
      </c>
      <c r="F333" s="10" t="s">
        <v>29</v>
      </c>
      <c r="G333" s="12"/>
    </row>
    <row r="334" ht="15.75" customHeight="1">
      <c r="A334" s="10" t="s">
        <v>5984</v>
      </c>
      <c r="B334" s="12" t="s">
        <v>307</v>
      </c>
      <c r="C334" s="10" t="s">
        <v>305</v>
      </c>
      <c r="D334" s="11" t="str">
        <f t="shared" si="1"/>
        <v>Abrir anúncio ↗</v>
      </c>
      <c r="E334" s="10" t="s">
        <v>6157</v>
      </c>
      <c r="F334" s="10" t="s">
        <v>29</v>
      </c>
      <c r="G334" s="12"/>
    </row>
    <row r="335" ht="15.75" customHeight="1">
      <c r="A335" s="10" t="s">
        <v>5984</v>
      </c>
      <c r="B335" s="12" t="s">
        <v>307</v>
      </c>
      <c r="C335" s="10" t="s">
        <v>4482</v>
      </c>
      <c r="D335" s="11" t="str">
        <f t="shared" si="1"/>
        <v>Abrir anúncio ↗</v>
      </c>
      <c r="E335" s="10" t="s">
        <v>6157</v>
      </c>
      <c r="F335" s="10" t="s">
        <v>29</v>
      </c>
      <c r="G335" s="12"/>
    </row>
    <row r="336" ht="15.75" customHeight="1">
      <c r="A336" s="10" t="s">
        <v>5984</v>
      </c>
      <c r="B336" s="12" t="s">
        <v>4762</v>
      </c>
      <c r="C336" s="10" t="s">
        <v>5371</v>
      </c>
      <c r="D336" s="11" t="str">
        <f t="shared" si="1"/>
        <v>Abrir anúncio ↗</v>
      </c>
      <c r="E336" s="10" t="s">
        <v>6171</v>
      </c>
      <c r="F336" s="10" t="s">
        <v>29</v>
      </c>
      <c r="G336" s="12"/>
    </row>
    <row r="337" ht="15.75" customHeight="1">
      <c r="A337" s="10" t="s">
        <v>5984</v>
      </c>
      <c r="B337" s="12" t="s">
        <v>4762</v>
      </c>
      <c r="C337" s="10" t="s">
        <v>4761</v>
      </c>
      <c r="D337" s="11" t="str">
        <f t="shared" si="1"/>
        <v>Abrir anúncio ↗</v>
      </c>
      <c r="E337" s="10" t="s">
        <v>6171</v>
      </c>
      <c r="F337" s="10" t="s">
        <v>29</v>
      </c>
      <c r="G337" s="12"/>
    </row>
    <row r="338" ht="15.75" customHeight="1">
      <c r="A338" s="10" t="s">
        <v>5984</v>
      </c>
      <c r="B338" s="12" t="s">
        <v>443</v>
      </c>
      <c r="C338" s="10" t="s">
        <v>852</v>
      </c>
      <c r="D338" s="11" t="str">
        <f t="shared" si="1"/>
        <v>Abrir anúncio ↗</v>
      </c>
      <c r="E338" s="10" t="s">
        <v>6171</v>
      </c>
      <c r="F338" s="10" t="s">
        <v>29</v>
      </c>
      <c r="G338" s="12"/>
    </row>
    <row r="339" ht="15.75" customHeight="1">
      <c r="A339" s="10" t="s">
        <v>5984</v>
      </c>
      <c r="B339" s="12" t="s">
        <v>443</v>
      </c>
      <c r="C339" s="10" t="s">
        <v>442</v>
      </c>
      <c r="D339" s="11" t="str">
        <f t="shared" si="1"/>
        <v>Abrir anúncio ↗</v>
      </c>
      <c r="E339" s="10" t="s">
        <v>6171</v>
      </c>
      <c r="F339" s="10" t="s">
        <v>29</v>
      </c>
      <c r="G339" s="12"/>
    </row>
    <row r="340" ht="15.75" customHeight="1">
      <c r="A340" s="10" t="s">
        <v>5984</v>
      </c>
      <c r="B340" s="12" t="s">
        <v>5112</v>
      </c>
      <c r="C340" s="10" t="s">
        <v>6728</v>
      </c>
      <c r="D340" s="11" t="str">
        <f t="shared" si="1"/>
        <v>Abrir anúncio ↗</v>
      </c>
      <c r="E340" s="10" t="s">
        <v>6171</v>
      </c>
      <c r="F340" s="10" t="s">
        <v>29</v>
      </c>
      <c r="G340" s="12"/>
    </row>
    <row r="341" ht="15.75" customHeight="1">
      <c r="A341" s="10" t="s">
        <v>5984</v>
      </c>
      <c r="B341" s="12" t="s">
        <v>5112</v>
      </c>
      <c r="C341" s="10" t="s">
        <v>5109</v>
      </c>
      <c r="D341" s="11" t="str">
        <f t="shared" si="1"/>
        <v>Abrir anúncio ↗</v>
      </c>
      <c r="E341" s="10" t="s">
        <v>6171</v>
      </c>
      <c r="F341" s="10" t="s">
        <v>29</v>
      </c>
      <c r="G341" s="12"/>
    </row>
    <row r="342" ht="15.75" customHeight="1">
      <c r="A342" s="10" t="s">
        <v>5984</v>
      </c>
      <c r="B342" s="12" t="s">
        <v>922</v>
      </c>
      <c r="C342" s="10" t="s">
        <v>921</v>
      </c>
      <c r="D342" s="11" t="str">
        <f t="shared" si="1"/>
        <v>Abrir anúncio ↗</v>
      </c>
      <c r="E342" s="10" t="s">
        <v>6171</v>
      </c>
      <c r="F342" s="10" t="s">
        <v>29</v>
      </c>
      <c r="G342" s="12"/>
    </row>
    <row r="343" ht="15.75" customHeight="1">
      <c r="A343" s="10" t="s">
        <v>5984</v>
      </c>
      <c r="B343" s="12" t="s">
        <v>922</v>
      </c>
      <c r="C343" s="10" t="s">
        <v>5831</v>
      </c>
      <c r="D343" s="11" t="str">
        <f t="shared" si="1"/>
        <v>Abrir anúncio ↗</v>
      </c>
      <c r="E343" s="10" t="s">
        <v>6171</v>
      </c>
      <c r="F343" s="10" t="s">
        <v>29</v>
      </c>
      <c r="G343" s="12"/>
    </row>
    <row r="344" ht="15.75" customHeight="1">
      <c r="A344" s="10" t="s">
        <v>5984</v>
      </c>
      <c r="B344" s="12" t="s">
        <v>1098</v>
      </c>
      <c r="C344" s="10" t="s">
        <v>1097</v>
      </c>
      <c r="D344" s="11" t="str">
        <f t="shared" si="1"/>
        <v>Abrir anúncio ↗</v>
      </c>
      <c r="E344" s="10" t="s">
        <v>6171</v>
      </c>
      <c r="F344" s="10" t="s">
        <v>29</v>
      </c>
      <c r="G344" s="12"/>
    </row>
    <row r="345" ht="15.75" customHeight="1">
      <c r="A345" s="10" t="s">
        <v>5984</v>
      </c>
      <c r="B345" s="12" t="s">
        <v>1098</v>
      </c>
      <c r="C345" s="10" t="s">
        <v>1699</v>
      </c>
      <c r="D345" s="11" t="str">
        <f t="shared" si="1"/>
        <v>Abrir anúncio ↗</v>
      </c>
      <c r="E345" s="10" t="s">
        <v>6171</v>
      </c>
      <c r="F345" s="10" t="s">
        <v>29</v>
      </c>
      <c r="G345" s="12"/>
    </row>
    <row r="346" ht="15.75" customHeight="1">
      <c r="A346" s="10" t="s">
        <v>5984</v>
      </c>
      <c r="B346" s="12" t="s">
        <v>7507</v>
      </c>
      <c r="C346" s="10" t="s">
        <v>7508</v>
      </c>
      <c r="D346" s="11" t="str">
        <f t="shared" si="1"/>
        <v>Abrir anúncio ↗</v>
      </c>
      <c r="E346" s="10" t="s">
        <v>6157</v>
      </c>
      <c r="F346" s="10" t="s">
        <v>29</v>
      </c>
      <c r="G346" s="12"/>
    </row>
    <row r="347" ht="15.75" customHeight="1">
      <c r="A347" s="10" t="s">
        <v>5984</v>
      </c>
      <c r="B347" s="12" t="s">
        <v>7507</v>
      </c>
      <c r="C347" s="10" t="s">
        <v>7509</v>
      </c>
      <c r="D347" s="11" t="str">
        <f t="shared" si="1"/>
        <v>Abrir anúncio ↗</v>
      </c>
      <c r="E347" s="10" t="s">
        <v>6157</v>
      </c>
      <c r="F347" s="10" t="s">
        <v>29</v>
      </c>
      <c r="G347" s="12"/>
    </row>
    <row r="348" ht="15.75" customHeight="1">
      <c r="A348" s="10" t="s">
        <v>5984</v>
      </c>
      <c r="B348" s="12" t="s">
        <v>4700</v>
      </c>
      <c r="C348" s="10" t="s">
        <v>4699</v>
      </c>
      <c r="D348" s="11" t="str">
        <f t="shared" si="1"/>
        <v>Abrir anúncio ↗</v>
      </c>
      <c r="E348" s="10" t="s">
        <v>6171</v>
      </c>
      <c r="F348" s="10" t="s">
        <v>29</v>
      </c>
      <c r="G348" s="12"/>
    </row>
    <row r="349" ht="15.75" customHeight="1">
      <c r="A349" s="10" t="s">
        <v>5984</v>
      </c>
      <c r="B349" s="12" t="s">
        <v>4700</v>
      </c>
      <c r="C349" s="10" t="s">
        <v>7330</v>
      </c>
      <c r="D349" s="11" t="str">
        <f t="shared" si="1"/>
        <v>Abrir anúncio ↗</v>
      </c>
      <c r="E349" s="10" t="s">
        <v>6171</v>
      </c>
      <c r="F349" s="10" t="s">
        <v>29</v>
      </c>
      <c r="G349" s="12"/>
    </row>
    <row r="350" ht="15.75" customHeight="1">
      <c r="A350" s="10" t="s">
        <v>5984</v>
      </c>
      <c r="B350" s="12" t="s">
        <v>7516</v>
      </c>
      <c r="C350" s="10" t="s">
        <v>7517</v>
      </c>
      <c r="D350" s="11" t="str">
        <f t="shared" si="1"/>
        <v>Abrir anúncio ↗</v>
      </c>
      <c r="E350" s="10" t="s">
        <v>6157</v>
      </c>
      <c r="F350" s="10" t="s">
        <v>29</v>
      </c>
      <c r="G350" s="12"/>
    </row>
    <row r="351" ht="15.75" customHeight="1">
      <c r="A351" s="10" t="s">
        <v>5984</v>
      </c>
      <c r="B351" s="12" t="s">
        <v>7516</v>
      </c>
      <c r="C351" s="10" t="s">
        <v>7521</v>
      </c>
      <c r="D351" s="11" t="str">
        <f t="shared" si="1"/>
        <v>Abrir anúncio ↗</v>
      </c>
      <c r="E351" s="10" t="s">
        <v>6157</v>
      </c>
      <c r="F351" s="10" t="s">
        <v>29</v>
      </c>
      <c r="G351" s="12"/>
    </row>
    <row r="352" ht="15.75" customHeight="1">
      <c r="A352" s="10" t="s">
        <v>5984</v>
      </c>
      <c r="B352" s="12" t="s">
        <v>7524</v>
      </c>
      <c r="C352" s="10" t="s">
        <v>7525</v>
      </c>
      <c r="D352" s="11" t="str">
        <f t="shared" si="1"/>
        <v>Abrir anúncio ↗</v>
      </c>
      <c r="E352" s="10" t="s">
        <v>6157</v>
      </c>
      <c r="F352" s="10" t="s">
        <v>29</v>
      </c>
      <c r="G352" s="12"/>
    </row>
    <row r="353" ht="15.75" customHeight="1">
      <c r="A353" s="10" t="s">
        <v>5984</v>
      </c>
      <c r="B353" s="12" t="s">
        <v>7524</v>
      </c>
      <c r="C353" s="10" t="s">
        <v>7528</v>
      </c>
      <c r="D353" s="11" t="str">
        <f t="shared" si="1"/>
        <v>Abrir anúncio ↗</v>
      </c>
      <c r="E353" s="10" t="s">
        <v>6157</v>
      </c>
      <c r="F353" s="10" t="s">
        <v>29</v>
      </c>
      <c r="G353" s="12"/>
    </row>
    <row r="354" ht="15.75" customHeight="1">
      <c r="A354" s="10" t="s">
        <v>5984</v>
      </c>
      <c r="B354" s="12" t="s">
        <v>7532</v>
      </c>
      <c r="C354" s="10" t="s">
        <v>7533</v>
      </c>
      <c r="D354" s="11" t="str">
        <f t="shared" si="1"/>
        <v>Abrir anúncio ↗</v>
      </c>
      <c r="E354" s="10" t="s">
        <v>6157</v>
      </c>
      <c r="F354" s="10" t="s">
        <v>29</v>
      </c>
      <c r="G354" s="12"/>
    </row>
    <row r="355" ht="15.75" customHeight="1">
      <c r="A355" s="10" t="s">
        <v>5984</v>
      </c>
      <c r="B355" s="12" t="s">
        <v>7532</v>
      </c>
      <c r="C355" s="10" t="s">
        <v>7537</v>
      </c>
      <c r="D355" s="11" t="str">
        <f t="shared" si="1"/>
        <v>Abrir anúncio ↗</v>
      </c>
      <c r="E355" s="10" t="s">
        <v>6157</v>
      </c>
      <c r="F355" s="10" t="s">
        <v>29</v>
      </c>
      <c r="G355" s="12"/>
    </row>
    <row r="356" ht="15.75" customHeight="1">
      <c r="A356" s="10" t="s">
        <v>5984</v>
      </c>
      <c r="B356" s="12" t="s">
        <v>424</v>
      </c>
      <c r="C356" s="10" t="s">
        <v>421</v>
      </c>
      <c r="D356" s="11" t="str">
        <f t="shared" si="1"/>
        <v>Abrir anúncio ↗</v>
      </c>
      <c r="E356" s="10" t="s">
        <v>6157</v>
      </c>
      <c r="F356" s="10" t="s">
        <v>29</v>
      </c>
      <c r="G356" s="12"/>
    </row>
    <row r="357" ht="15.75" customHeight="1">
      <c r="A357" s="10" t="s">
        <v>5984</v>
      </c>
      <c r="B357" s="12" t="s">
        <v>424</v>
      </c>
      <c r="C357" s="10" t="s">
        <v>5798</v>
      </c>
      <c r="D357" s="11" t="str">
        <f t="shared" si="1"/>
        <v>Abrir anúncio ↗</v>
      </c>
      <c r="E357" s="10" t="s">
        <v>6157</v>
      </c>
      <c r="F357" s="10" t="s">
        <v>29</v>
      </c>
      <c r="G357" s="12"/>
    </row>
    <row r="358" ht="15.75" customHeight="1">
      <c r="A358" s="10" t="s">
        <v>5984</v>
      </c>
      <c r="B358" s="12" t="s">
        <v>7543</v>
      </c>
      <c r="C358" s="10" t="s">
        <v>7545</v>
      </c>
      <c r="D358" s="11" t="str">
        <f t="shared" si="1"/>
        <v>Abrir anúncio ↗</v>
      </c>
      <c r="E358" s="10" t="s">
        <v>6157</v>
      </c>
      <c r="F358" s="10" t="s">
        <v>29</v>
      </c>
      <c r="G358" s="12"/>
    </row>
    <row r="359" ht="15.75" customHeight="1">
      <c r="A359" s="10" t="s">
        <v>5984</v>
      </c>
      <c r="B359" s="12" t="s">
        <v>7543</v>
      </c>
      <c r="C359" s="10" t="s">
        <v>7547</v>
      </c>
      <c r="D359" s="11" t="str">
        <f t="shared" si="1"/>
        <v>Abrir anúncio ↗</v>
      </c>
      <c r="E359" s="10" t="s">
        <v>6157</v>
      </c>
      <c r="F359" s="10" t="s">
        <v>29</v>
      </c>
      <c r="G359" s="12"/>
    </row>
    <row r="360" ht="15.75" customHeight="1">
      <c r="A360" s="10" t="s">
        <v>5984</v>
      </c>
      <c r="B360" s="12" t="s">
        <v>7551</v>
      </c>
      <c r="C360" s="10" t="s">
        <v>7552</v>
      </c>
      <c r="D360" s="11" t="str">
        <f t="shared" si="1"/>
        <v>Abrir anúncio ↗</v>
      </c>
      <c r="E360" s="10" t="s">
        <v>6157</v>
      </c>
      <c r="F360" s="10" t="s">
        <v>29</v>
      </c>
      <c r="G360" s="12"/>
    </row>
    <row r="361" ht="15.75" customHeight="1">
      <c r="A361" s="10" t="s">
        <v>5984</v>
      </c>
      <c r="B361" s="12" t="s">
        <v>7551</v>
      </c>
      <c r="C361" s="10" t="s">
        <v>7554</v>
      </c>
      <c r="D361" s="11" t="str">
        <f t="shared" si="1"/>
        <v>Abrir anúncio ↗</v>
      </c>
      <c r="E361" s="10" t="s">
        <v>6157</v>
      </c>
      <c r="F361" s="10" t="s">
        <v>29</v>
      </c>
      <c r="G361" s="12"/>
    </row>
    <row r="362" ht="15.75" customHeight="1">
      <c r="A362" s="10" t="s">
        <v>5984</v>
      </c>
      <c r="B362" s="12" t="s">
        <v>4040</v>
      </c>
      <c r="C362" s="10" t="s">
        <v>5086</v>
      </c>
      <c r="D362" s="11" t="str">
        <f t="shared" si="1"/>
        <v>Abrir anúncio ↗</v>
      </c>
      <c r="E362" s="10" t="s">
        <v>6171</v>
      </c>
      <c r="F362" s="10" t="s">
        <v>29</v>
      </c>
      <c r="G362" s="12"/>
    </row>
    <row r="363" ht="15.75" customHeight="1">
      <c r="A363" s="10" t="s">
        <v>5984</v>
      </c>
      <c r="B363" s="12" t="s">
        <v>4040</v>
      </c>
      <c r="C363" s="10" t="s">
        <v>4039</v>
      </c>
      <c r="D363" s="11" t="str">
        <f t="shared" si="1"/>
        <v>Abrir anúncio ↗</v>
      </c>
      <c r="E363" s="10" t="s">
        <v>6171</v>
      </c>
      <c r="F363" s="10" t="s">
        <v>29</v>
      </c>
      <c r="G363" s="12"/>
    </row>
    <row r="364" ht="15.75" customHeight="1">
      <c r="A364" s="10" t="s">
        <v>5984</v>
      </c>
      <c r="B364" s="12" t="s">
        <v>210</v>
      </c>
      <c r="C364" s="10" t="s">
        <v>207</v>
      </c>
      <c r="D364" s="11" t="str">
        <f t="shared" si="1"/>
        <v>Abrir anúncio ↗</v>
      </c>
      <c r="E364" s="10" t="s">
        <v>6171</v>
      </c>
      <c r="F364" s="10" t="s">
        <v>29</v>
      </c>
      <c r="G364" s="12"/>
    </row>
    <row r="365" ht="15.75" customHeight="1">
      <c r="A365" s="10" t="s">
        <v>5984</v>
      </c>
      <c r="B365" s="12" t="s">
        <v>210</v>
      </c>
      <c r="C365" s="10" t="s">
        <v>1210</v>
      </c>
      <c r="D365" s="11" t="str">
        <f t="shared" si="1"/>
        <v>Abrir anúncio ↗</v>
      </c>
      <c r="E365" s="10" t="s">
        <v>6171</v>
      </c>
      <c r="F365" s="10" t="s">
        <v>29</v>
      </c>
      <c r="G365" s="12"/>
    </row>
    <row r="366" ht="15.75" customHeight="1">
      <c r="A366" s="10" t="s">
        <v>5984</v>
      </c>
      <c r="B366" s="12" t="s">
        <v>2913</v>
      </c>
      <c r="C366" s="10" t="s">
        <v>2911</v>
      </c>
      <c r="D366" s="11" t="str">
        <f t="shared" si="1"/>
        <v>Abrir anúncio ↗</v>
      </c>
      <c r="E366" s="10" t="s">
        <v>6157</v>
      </c>
      <c r="F366" s="10" t="s">
        <v>29</v>
      </c>
      <c r="G366" s="12"/>
    </row>
    <row r="367" ht="15.75" customHeight="1">
      <c r="A367" s="10" t="s">
        <v>5984</v>
      </c>
      <c r="B367" s="12" t="s">
        <v>2913</v>
      </c>
      <c r="C367" s="10" t="s">
        <v>7567</v>
      </c>
      <c r="D367" s="11" t="str">
        <f t="shared" si="1"/>
        <v>Abrir anúncio ↗</v>
      </c>
      <c r="E367" s="10" t="s">
        <v>6157</v>
      </c>
      <c r="F367" s="10" t="s">
        <v>29</v>
      </c>
      <c r="G367" s="12"/>
    </row>
    <row r="368" ht="15.75" customHeight="1">
      <c r="A368" s="10" t="s">
        <v>5984</v>
      </c>
      <c r="B368" s="12" t="s">
        <v>3083</v>
      </c>
      <c r="C368" s="10" t="s">
        <v>3079</v>
      </c>
      <c r="D368" s="11" t="str">
        <f t="shared" si="1"/>
        <v>Abrir anúncio ↗</v>
      </c>
      <c r="E368" s="10" t="s">
        <v>6157</v>
      </c>
      <c r="F368" s="10" t="s">
        <v>29</v>
      </c>
      <c r="G368" s="12"/>
    </row>
    <row r="369" ht="15.75" customHeight="1">
      <c r="A369" s="10" t="s">
        <v>5984</v>
      </c>
      <c r="B369" s="12" t="s">
        <v>3083</v>
      </c>
      <c r="C369" s="10" t="s">
        <v>7572</v>
      </c>
      <c r="D369" s="11" t="str">
        <f t="shared" si="1"/>
        <v>Abrir anúncio ↗</v>
      </c>
      <c r="E369" s="10" t="s">
        <v>6157</v>
      </c>
      <c r="F369" s="10" t="s">
        <v>29</v>
      </c>
      <c r="G369" s="12"/>
    </row>
    <row r="370" ht="15.75" customHeight="1">
      <c r="A370" s="10" t="s">
        <v>5984</v>
      </c>
      <c r="B370" s="12" t="s">
        <v>364</v>
      </c>
      <c r="C370" s="10" t="s">
        <v>362</v>
      </c>
      <c r="D370" s="11" t="str">
        <f t="shared" si="1"/>
        <v>Abrir anúncio ↗</v>
      </c>
      <c r="E370" s="10" t="s">
        <v>6171</v>
      </c>
      <c r="F370" s="10" t="s">
        <v>29</v>
      </c>
      <c r="G370" s="12"/>
    </row>
    <row r="371" ht="15.75" customHeight="1">
      <c r="A371" s="10" t="s">
        <v>5984</v>
      </c>
      <c r="B371" s="12" t="s">
        <v>364</v>
      </c>
      <c r="C371" s="10" t="s">
        <v>1914</v>
      </c>
      <c r="D371" s="11" t="str">
        <f t="shared" si="1"/>
        <v>Abrir anúncio ↗</v>
      </c>
      <c r="E371" s="10" t="s">
        <v>6171</v>
      </c>
      <c r="F371" s="10" t="s">
        <v>29</v>
      </c>
      <c r="G371" s="12"/>
    </row>
    <row r="372" ht="15.75" customHeight="1">
      <c r="A372" s="10" t="s">
        <v>5984</v>
      </c>
      <c r="B372" s="12" t="s">
        <v>1899</v>
      </c>
      <c r="C372" s="10" t="s">
        <v>5905</v>
      </c>
      <c r="D372" s="11" t="str">
        <f t="shared" si="1"/>
        <v>Abrir anúncio ↗</v>
      </c>
      <c r="E372" s="10" t="s">
        <v>6171</v>
      </c>
      <c r="F372" s="10" t="s">
        <v>29</v>
      </c>
      <c r="G372" s="12"/>
    </row>
    <row r="373" ht="15.75" customHeight="1">
      <c r="A373" s="10" t="s">
        <v>5984</v>
      </c>
      <c r="B373" s="12" t="s">
        <v>1899</v>
      </c>
      <c r="C373" s="10" t="s">
        <v>1898</v>
      </c>
      <c r="D373" s="11" t="str">
        <f t="shared" si="1"/>
        <v>Abrir anúncio ↗</v>
      </c>
      <c r="E373" s="10" t="s">
        <v>6171</v>
      </c>
      <c r="F373" s="10" t="s">
        <v>29</v>
      </c>
      <c r="G373" s="12"/>
    </row>
    <row r="374" ht="15.75" customHeight="1">
      <c r="A374" s="10" t="s">
        <v>5984</v>
      </c>
      <c r="B374" s="12" t="s">
        <v>554</v>
      </c>
      <c r="C374" s="10" t="s">
        <v>553</v>
      </c>
      <c r="D374" s="11" t="str">
        <f t="shared" si="1"/>
        <v>Abrir anúncio ↗</v>
      </c>
      <c r="E374" s="10" t="s">
        <v>6171</v>
      </c>
      <c r="F374" s="10" t="s">
        <v>29</v>
      </c>
      <c r="G374" s="12"/>
    </row>
    <row r="375" ht="15.75" customHeight="1">
      <c r="A375" s="10" t="s">
        <v>5984</v>
      </c>
      <c r="B375" s="12" t="s">
        <v>554</v>
      </c>
      <c r="C375" s="10" t="s">
        <v>1908</v>
      </c>
      <c r="D375" s="11" t="str">
        <f t="shared" si="1"/>
        <v>Abrir anúncio ↗</v>
      </c>
      <c r="E375" s="10" t="s">
        <v>6171</v>
      </c>
      <c r="F375" s="10" t="s">
        <v>29</v>
      </c>
      <c r="G375" s="12"/>
    </row>
    <row r="376" ht="15.75" customHeight="1">
      <c r="A376" s="10" t="s">
        <v>5984</v>
      </c>
      <c r="B376" s="12" t="s">
        <v>7588</v>
      </c>
      <c r="C376" s="10" t="s">
        <v>7590</v>
      </c>
      <c r="D376" s="11" t="str">
        <f t="shared" si="1"/>
        <v>Abrir anúncio ↗</v>
      </c>
      <c r="E376" s="10" t="s">
        <v>6157</v>
      </c>
      <c r="F376" s="10" t="s">
        <v>29</v>
      </c>
      <c r="G376" s="12"/>
    </row>
    <row r="377" ht="15.75" customHeight="1">
      <c r="A377" s="10" t="s">
        <v>5984</v>
      </c>
      <c r="B377" s="12" t="s">
        <v>7588</v>
      </c>
      <c r="C377" s="10" t="s">
        <v>7592</v>
      </c>
      <c r="D377" s="11" t="str">
        <f t="shared" si="1"/>
        <v>Abrir anúncio ↗</v>
      </c>
      <c r="E377" s="10" t="s">
        <v>6157</v>
      </c>
      <c r="F377" s="10" t="s">
        <v>29</v>
      </c>
      <c r="G377" s="12"/>
    </row>
    <row r="378" ht="15.75" customHeight="1">
      <c r="A378" s="10" t="s">
        <v>5984</v>
      </c>
      <c r="B378" s="12" t="s">
        <v>7595</v>
      </c>
      <c r="C378" s="10" t="s">
        <v>7596</v>
      </c>
      <c r="D378" s="11" t="str">
        <f t="shared" si="1"/>
        <v>Abrir anúncio ↗</v>
      </c>
      <c r="E378" s="10" t="s">
        <v>6157</v>
      </c>
      <c r="F378" s="10" t="s">
        <v>29</v>
      </c>
      <c r="G378" s="12"/>
    </row>
    <row r="379" ht="15.75" customHeight="1">
      <c r="A379" s="10" t="s">
        <v>5984</v>
      </c>
      <c r="B379" s="12" t="s">
        <v>7595</v>
      </c>
      <c r="C379" s="10" t="s">
        <v>7600</v>
      </c>
      <c r="D379" s="11" t="str">
        <f t="shared" si="1"/>
        <v>Abrir anúncio ↗</v>
      </c>
      <c r="E379" s="10" t="s">
        <v>6157</v>
      </c>
      <c r="F379" s="10" t="s">
        <v>29</v>
      </c>
      <c r="G379" s="12"/>
    </row>
    <row r="380" ht="15.75" customHeight="1">
      <c r="A380" s="10" t="s">
        <v>5984</v>
      </c>
      <c r="B380" s="12" t="s">
        <v>1130</v>
      </c>
      <c r="C380" s="10" t="s">
        <v>1128</v>
      </c>
      <c r="D380" s="11" t="str">
        <f t="shared" si="1"/>
        <v>Abrir anúncio ↗</v>
      </c>
      <c r="E380" s="10" t="s">
        <v>6171</v>
      </c>
      <c r="F380" s="10" t="s">
        <v>29</v>
      </c>
      <c r="G380" s="12"/>
    </row>
    <row r="381" ht="15.75" customHeight="1">
      <c r="A381" s="10" t="s">
        <v>5984</v>
      </c>
      <c r="B381" s="12" t="s">
        <v>1130</v>
      </c>
      <c r="C381" s="10" t="s">
        <v>5961</v>
      </c>
      <c r="D381" s="11" t="str">
        <f t="shared" si="1"/>
        <v>Abrir anúncio ↗</v>
      </c>
      <c r="E381" s="10" t="s">
        <v>6171</v>
      </c>
      <c r="F381" s="10" t="s">
        <v>29</v>
      </c>
      <c r="G381" s="12"/>
    </row>
    <row r="382" ht="15.75" customHeight="1">
      <c r="A382" s="10" t="s">
        <v>5984</v>
      </c>
      <c r="B382" s="12" t="s">
        <v>1289</v>
      </c>
      <c r="C382" s="10" t="s">
        <v>1310</v>
      </c>
      <c r="D382" s="11" t="str">
        <f t="shared" si="1"/>
        <v>Abrir anúncio ↗</v>
      </c>
      <c r="E382" s="10" t="s">
        <v>6171</v>
      </c>
      <c r="F382" s="10" t="s">
        <v>29</v>
      </c>
      <c r="G382" s="12"/>
    </row>
    <row r="383" ht="15.75" customHeight="1">
      <c r="A383" s="10" t="s">
        <v>5984</v>
      </c>
      <c r="B383" s="12" t="s">
        <v>1289</v>
      </c>
      <c r="C383" s="10" t="s">
        <v>1288</v>
      </c>
      <c r="D383" s="11" t="str">
        <f t="shared" si="1"/>
        <v>Abrir anúncio ↗</v>
      </c>
      <c r="E383" s="10" t="s">
        <v>6171</v>
      </c>
      <c r="F383" s="10" t="s">
        <v>29</v>
      </c>
      <c r="G383" s="12"/>
    </row>
    <row r="384" ht="15.75" customHeight="1">
      <c r="A384" s="10" t="s">
        <v>5984</v>
      </c>
      <c r="B384" s="12" t="s">
        <v>7220</v>
      </c>
      <c r="C384" s="10" t="s">
        <v>7218</v>
      </c>
      <c r="D384" s="11" t="str">
        <f t="shared" si="1"/>
        <v>Abrir anúncio ↗</v>
      </c>
      <c r="E384" s="10" t="s">
        <v>6171</v>
      </c>
      <c r="F384" s="10" t="s">
        <v>29</v>
      </c>
      <c r="G384" s="12"/>
    </row>
    <row r="385" ht="15.75" customHeight="1">
      <c r="A385" s="10" t="s">
        <v>5984</v>
      </c>
      <c r="B385" s="12" t="s">
        <v>7220</v>
      </c>
      <c r="C385" s="10" t="s">
        <v>7378</v>
      </c>
      <c r="D385" s="11" t="str">
        <f t="shared" si="1"/>
        <v>Abrir anúncio ↗</v>
      </c>
      <c r="E385" s="10" t="s">
        <v>6171</v>
      </c>
      <c r="F385" s="10" t="s">
        <v>29</v>
      </c>
      <c r="G385" s="12"/>
    </row>
    <row r="386" ht="15.75" customHeight="1">
      <c r="A386" s="10" t="s">
        <v>5984</v>
      </c>
      <c r="B386" s="12" t="s">
        <v>4519</v>
      </c>
      <c r="C386" s="10" t="s">
        <v>7361</v>
      </c>
      <c r="D386" s="11" t="str">
        <f t="shared" si="1"/>
        <v>Abrir anúncio ↗</v>
      </c>
      <c r="E386" s="10" t="s">
        <v>6157</v>
      </c>
      <c r="F386" s="10" t="s">
        <v>29</v>
      </c>
      <c r="G386" s="12"/>
    </row>
    <row r="387" ht="15.75" customHeight="1">
      <c r="A387" s="10" t="s">
        <v>5984</v>
      </c>
      <c r="B387" s="12" t="s">
        <v>4519</v>
      </c>
      <c r="C387" s="10" t="s">
        <v>4516</v>
      </c>
      <c r="D387" s="11" t="str">
        <f t="shared" si="1"/>
        <v>Abrir anúncio ↗</v>
      </c>
      <c r="E387" s="10" t="s">
        <v>6157</v>
      </c>
      <c r="F387" s="10" t="s">
        <v>86</v>
      </c>
      <c r="G387" s="12"/>
    </row>
    <row r="388" ht="15.75" customHeight="1">
      <c r="A388" s="10" t="s">
        <v>5984</v>
      </c>
      <c r="B388" s="12" t="s">
        <v>2544</v>
      </c>
      <c r="C388" s="10" t="s">
        <v>2936</v>
      </c>
      <c r="D388" s="11" t="str">
        <f t="shared" si="1"/>
        <v>Abrir anúncio ↗</v>
      </c>
      <c r="E388" s="10" t="s">
        <v>6171</v>
      </c>
      <c r="F388" s="10" t="s">
        <v>29</v>
      </c>
      <c r="G388" s="12"/>
    </row>
    <row r="389" ht="15.75" customHeight="1">
      <c r="A389" s="10" t="s">
        <v>5984</v>
      </c>
      <c r="B389" s="12" t="s">
        <v>2544</v>
      </c>
      <c r="C389" s="10" t="s">
        <v>2542</v>
      </c>
      <c r="D389" s="11" t="str">
        <f t="shared" si="1"/>
        <v>Abrir anúncio ↗</v>
      </c>
      <c r="E389" s="10" t="s">
        <v>6171</v>
      </c>
      <c r="F389" s="10" t="s">
        <v>29</v>
      </c>
      <c r="G389" s="12"/>
    </row>
    <row r="390" ht="15.75" customHeight="1">
      <c r="A390" s="10" t="s">
        <v>5984</v>
      </c>
      <c r="B390" s="12" t="s">
        <v>7620</v>
      </c>
      <c r="C390" s="10" t="s">
        <v>7621</v>
      </c>
      <c r="D390" s="11" t="str">
        <f t="shared" si="1"/>
        <v>Abrir anúncio ↗</v>
      </c>
      <c r="E390" s="10" t="s">
        <v>6157</v>
      </c>
      <c r="F390" s="10" t="s">
        <v>29</v>
      </c>
      <c r="G390" s="12"/>
    </row>
    <row r="391" ht="15.75" customHeight="1">
      <c r="A391" s="10" t="s">
        <v>5984</v>
      </c>
      <c r="B391" s="12" t="s">
        <v>7620</v>
      </c>
      <c r="C391" s="10" t="s">
        <v>7624</v>
      </c>
      <c r="D391" s="11" t="str">
        <f t="shared" si="1"/>
        <v>Abrir anúncio ↗</v>
      </c>
      <c r="E391" s="10" t="s">
        <v>6157</v>
      </c>
      <c r="F391" s="10" t="s">
        <v>29</v>
      </c>
      <c r="G391" s="12"/>
    </row>
    <row r="392" ht="15.75" customHeight="1">
      <c r="A392" s="10" t="s">
        <v>5984</v>
      </c>
      <c r="B392" s="12" t="s">
        <v>7629</v>
      </c>
      <c r="C392" s="10" t="s">
        <v>7630</v>
      </c>
      <c r="D392" s="11" t="str">
        <f t="shared" si="1"/>
        <v>Abrir anúncio ↗</v>
      </c>
      <c r="E392" s="10" t="s">
        <v>6157</v>
      </c>
      <c r="F392" s="10" t="s">
        <v>29</v>
      </c>
      <c r="G392" s="12"/>
    </row>
    <row r="393" ht="15.75" customHeight="1">
      <c r="A393" s="10" t="s">
        <v>5984</v>
      </c>
      <c r="B393" s="12" t="s">
        <v>7629</v>
      </c>
      <c r="C393" s="10" t="s">
        <v>7634</v>
      </c>
      <c r="D393" s="11" t="str">
        <f t="shared" si="1"/>
        <v>Abrir anúncio ↗</v>
      </c>
      <c r="E393" s="10" t="s">
        <v>6157</v>
      </c>
      <c r="F393" s="10" t="s">
        <v>29</v>
      </c>
      <c r="G393" s="12"/>
    </row>
    <row r="394" ht="15.75" customHeight="1">
      <c r="A394" s="10" t="s">
        <v>5984</v>
      </c>
      <c r="B394" s="12" t="s">
        <v>7635</v>
      </c>
      <c r="C394" s="10" t="s">
        <v>7636</v>
      </c>
      <c r="D394" s="11" t="str">
        <f t="shared" si="1"/>
        <v>Abrir anúncio ↗</v>
      </c>
      <c r="E394" s="10" t="s">
        <v>6157</v>
      </c>
      <c r="F394" s="10" t="s">
        <v>29</v>
      </c>
      <c r="G394" s="12"/>
    </row>
    <row r="395" ht="15.75" customHeight="1">
      <c r="A395" s="10" t="s">
        <v>5984</v>
      </c>
      <c r="B395" s="12" t="s">
        <v>7635</v>
      </c>
      <c r="C395" s="10" t="s">
        <v>7639</v>
      </c>
      <c r="D395" s="11" t="str">
        <f t="shared" si="1"/>
        <v>Abrir anúncio ↗</v>
      </c>
      <c r="E395" s="10" t="s">
        <v>6157</v>
      </c>
      <c r="F395" s="10" t="s">
        <v>29</v>
      </c>
      <c r="G395" s="12"/>
    </row>
    <row r="396" ht="15.75" customHeight="1">
      <c r="A396" s="10" t="s">
        <v>5984</v>
      </c>
      <c r="B396" s="12" t="s">
        <v>2898</v>
      </c>
      <c r="C396" s="10" t="s">
        <v>2896</v>
      </c>
      <c r="D396" s="11" t="str">
        <f t="shared" si="1"/>
        <v>Abrir anúncio ↗</v>
      </c>
      <c r="E396" s="10" t="s">
        <v>6157</v>
      </c>
      <c r="F396" s="10" t="s">
        <v>29</v>
      </c>
      <c r="G396" s="12"/>
    </row>
    <row r="397" ht="15.75" customHeight="1">
      <c r="A397" s="10" t="s">
        <v>5984</v>
      </c>
      <c r="B397" s="12" t="s">
        <v>2898</v>
      </c>
      <c r="C397" s="10" t="s">
        <v>7645</v>
      </c>
      <c r="D397" s="11" t="str">
        <f t="shared" si="1"/>
        <v>Abrir anúncio ↗</v>
      </c>
      <c r="E397" s="10" t="s">
        <v>6157</v>
      </c>
      <c r="F397" s="10" t="s">
        <v>29</v>
      </c>
      <c r="G397" s="12"/>
    </row>
    <row r="398" ht="15.75" customHeight="1">
      <c r="A398" s="10" t="s">
        <v>5984</v>
      </c>
      <c r="B398" s="12" t="s">
        <v>2947</v>
      </c>
      <c r="C398" s="10" t="s">
        <v>2945</v>
      </c>
      <c r="D398" s="11" t="str">
        <f t="shared" si="1"/>
        <v>Abrir anúncio ↗</v>
      </c>
      <c r="E398" s="10" t="s">
        <v>6157</v>
      </c>
      <c r="F398" s="10" t="s">
        <v>29</v>
      </c>
      <c r="G398" s="12"/>
    </row>
    <row r="399" ht="15.75" customHeight="1">
      <c r="A399" s="10" t="s">
        <v>5984</v>
      </c>
      <c r="B399" s="12" t="s">
        <v>2947</v>
      </c>
      <c r="C399" s="10" t="s">
        <v>7652</v>
      </c>
      <c r="D399" s="11" t="str">
        <f t="shared" si="1"/>
        <v>Abrir anúncio ↗</v>
      </c>
      <c r="E399" s="10" t="s">
        <v>6157</v>
      </c>
      <c r="F399" s="10" t="s">
        <v>29</v>
      </c>
      <c r="G399" s="12"/>
    </row>
    <row r="400" ht="15.75" customHeight="1">
      <c r="A400" s="10" t="s">
        <v>5984</v>
      </c>
      <c r="B400" s="12" t="s">
        <v>463</v>
      </c>
      <c r="C400" s="10" t="s">
        <v>461</v>
      </c>
      <c r="D400" s="11" t="str">
        <f t="shared" si="1"/>
        <v>Abrir anúncio ↗</v>
      </c>
      <c r="E400" s="10" t="s">
        <v>6171</v>
      </c>
      <c r="F400" s="10" t="s">
        <v>29</v>
      </c>
      <c r="G400" s="12"/>
    </row>
    <row r="401" ht="15.75" customHeight="1">
      <c r="A401" s="10" t="s">
        <v>5984</v>
      </c>
      <c r="B401" s="12" t="s">
        <v>463</v>
      </c>
      <c r="C401" s="10" t="s">
        <v>1814</v>
      </c>
      <c r="D401" s="11" t="str">
        <f t="shared" si="1"/>
        <v>Abrir anúncio ↗</v>
      </c>
      <c r="E401" s="10" t="s">
        <v>6171</v>
      </c>
      <c r="F401" s="10" t="s">
        <v>29</v>
      </c>
      <c r="G401" s="12"/>
    </row>
    <row r="402" ht="15.75" customHeight="1">
      <c r="A402" s="10" t="s">
        <v>5984</v>
      </c>
      <c r="B402" s="12" t="s">
        <v>763</v>
      </c>
      <c r="C402" s="10" t="s">
        <v>761</v>
      </c>
      <c r="D402" s="11" t="str">
        <f t="shared" si="1"/>
        <v>Abrir anúncio ↗</v>
      </c>
      <c r="E402" s="10" t="s">
        <v>6171</v>
      </c>
      <c r="F402" s="10" t="s">
        <v>29</v>
      </c>
      <c r="G402" s="12"/>
    </row>
    <row r="403" ht="15.75" customHeight="1">
      <c r="A403" s="10" t="s">
        <v>5984</v>
      </c>
      <c r="B403" s="12" t="s">
        <v>763</v>
      </c>
      <c r="C403" s="10" t="s">
        <v>6068</v>
      </c>
      <c r="D403" s="11" t="str">
        <f t="shared" si="1"/>
        <v>Abrir anúncio ↗</v>
      </c>
      <c r="E403" s="10" t="s">
        <v>6171</v>
      </c>
      <c r="F403" s="10" t="s">
        <v>29</v>
      </c>
      <c r="G403" s="12"/>
    </row>
    <row r="404" ht="15.75" customHeight="1">
      <c r="A404" s="10" t="s">
        <v>5984</v>
      </c>
      <c r="B404" s="12" t="s">
        <v>6647</v>
      </c>
      <c r="C404" s="10" t="s">
        <v>6714</v>
      </c>
      <c r="D404" s="11" t="str">
        <f t="shared" si="1"/>
        <v>Abrir anúncio ↗</v>
      </c>
      <c r="E404" s="10" t="s">
        <v>6171</v>
      </c>
      <c r="F404" s="10" t="s">
        <v>29</v>
      </c>
      <c r="G404" s="12"/>
    </row>
    <row r="405" ht="15.75" customHeight="1">
      <c r="A405" s="10" t="s">
        <v>5984</v>
      </c>
      <c r="B405" s="12" t="s">
        <v>6647</v>
      </c>
      <c r="C405" s="10" t="s">
        <v>6646</v>
      </c>
      <c r="D405" s="11" t="str">
        <f t="shared" si="1"/>
        <v>Abrir anúncio ↗</v>
      </c>
      <c r="E405" s="10" t="s">
        <v>6171</v>
      </c>
      <c r="F405" s="10" t="s">
        <v>29</v>
      </c>
      <c r="G405" s="12"/>
    </row>
    <row r="406" ht="15.75" customHeight="1">
      <c r="A406" s="10" t="s">
        <v>5984</v>
      </c>
      <c r="B406" s="12" t="s">
        <v>4320</v>
      </c>
      <c r="C406" s="10" t="s">
        <v>4342</v>
      </c>
      <c r="D406" s="11" t="str">
        <f t="shared" si="1"/>
        <v>Abrir anúncio ↗</v>
      </c>
      <c r="E406" s="10" t="s">
        <v>6157</v>
      </c>
      <c r="F406" s="10" t="s">
        <v>29</v>
      </c>
      <c r="G406" s="12"/>
    </row>
    <row r="407" ht="15.75" customHeight="1">
      <c r="A407" s="10" t="s">
        <v>5984</v>
      </c>
      <c r="B407" s="12" t="s">
        <v>4320</v>
      </c>
      <c r="C407" s="10" t="s">
        <v>4318</v>
      </c>
      <c r="D407" s="11" t="str">
        <f t="shared" si="1"/>
        <v>Abrir anúncio ↗</v>
      </c>
      <c r="E407" s="10" t="s">
        <v>6157</v>
      </c>
      <c r="F407" s="10" t="s">
        <v>29</v>
      </c>
      <c r="G407" s="12"/>
    </row>
    <row r="408" ht="15.75" customHeight="1">
      <c r="A408" s="10" t="s">
        <v>5984</v>
      </c>
      <c r="B408" s="12" t="s">
        <v>7679</v>
      </c>
      <c r="C408" s="10" t="s">
        <v>7680</v>
      </c>
      <c r="D408" s="11" t="str">
        <f t="shared" si="1"/>
        <v>Abrir anúncio ↗</v>
      </c>
      <c r="E408" s="10" t="s">
        <v>6157</v>
      </c>
      <c r="F408" s="10" t="s">
        <v>29</v>
      </c>
      <c r="G408" s="12"/>
    </row>
    <row r="409" ht="15.75" customHeight="1">
      <c r="A409" s="10" t="s">
        <v>5984</v>
      </c>
      <c r="B409" s="12" t="s">
        <v>7679</v>
      </c>
      <c r="C409" s="10" t="s">
        <v>7684</v>
      </c>
      <c r="D409" s="11" t="str">
        <f t="shared" si="1"/>
        <v>Abrir anúncio ↗</v>
      </c>
      <c r="E409" s="10" t="s">
        <v>6157</v>
      </c>
      <c r="F409" s="10" t="s">
        <v>29</v>
      </c>
      <c r="G409" s="12"/>
    </row>
    <row r="410" ht="15.75" customHeight="1">
      <c r="A410" s="10" t="s">
        <v>5984</v>
      </c>
      <c r="B410" s="12" t="s">
        <v>118</v>
      </c>
      <c r="C410" s="10" t="s">
        <v>7690</v>
      </c>
      <c r="D410" s="11" t="str">
        <f t="shared" si="1"/>
        <v>Abrir anúncio ↗</v>
      </c>
      <c r="E410" s="10" t="s">
        <v>6157</v>
      </c>
      <c r="F410" s="10" t="s">
        <v>29</v>
      </c>
      <c r="G410" s="12"/>
    </row>
    <row r="411" ht="15.75" customHeight="1">
      <c r="A411" s="10" t="s">
        <v>5984</v>
      </c>
      <c r="B411" s="12" t="s">
        <v>118</v>
      </c>
      <c r="C411" s="10" t="s">
        <v>117</v>
      </c>
      <c r="D411" s="11" t="str">
        <f t="shared" si="1"/>
        <v>Abrir anúncio ↗</v>
      </c>
      <c r="E411" s="10" t="s">
        <v>6157</v>
      </c>
      <c r="F411" s="10" t="s">
        <v>29</v>
      </c>
      <c r="G411" s="12"/>
    </row>
    <row r="412" ht="15.75" customHeight="1">
      <c r="A412" s="10" t="s">
        <v>5984</v>
      </c>
      <c r="B412" s="12" t="s">
        <v>1340</v>
      </c>
      <c r="C412" s="10" t="s">
        <v>1337</v>
      </c>
      <c r="D412" s="11" t="str">
        <f t="shared" si="1"/>
        <v>Abrir anúncio ↗</v>
      </c>
      <c r="E412" s="10" t="s">
        <v>6171</v>
      </c>
      <c r="F412" s="10" t="s">
        <v>29</v>
      </c>
      <c r="G412" s="12"/>
    </row>
    <row r="413" ht="15.75" customHeight="1">
      <c r="A413" s="10" t="s">
        <v>5984</v>
      </c>
      <c r="B413" s="12" t="s">
        <v>1340</v>
      </c>
      <c r="C413" s="10" t="s">
        <v>5921</v>
      </c>
      <c r="D413" s="11" t="str">
        <f t="shared" si="1"/>
        <v>Abrir anúncio ↗</v>
      </c>
      <c r="E413" s="10" t="s">
        <v>6171</v>
      </c>
      <c r="F413" s="10" t="s">
        <v>29</v>
      </c>
      <c r="G413" s="12"/>
    </row>
    <row r="414" ht="15.75" customHeight="1">
      <c r="A414" s="10" t="s">
        <v>5984</v>
      </c>
      <c r="B414" s="12" t="s">
        <v>1584</v>
      </c>
      <c r="C414" s="10" t="s">
        <v>1582</v>
      </c>
      <c r="D414" s="11" t="str">
        <f t="shared" si="1"/>
        <v>Abrir anúncio ↗</v>
      </c>
      <c r="E414" s="10" t="s">
        <v>6171</v>
      </c>
      <c r="F414" s="10" t="s">
        <v>29</v>
      </c>
      <c r="G414" s="12"/>
    </row>
    <row r="415" ht="15.75" customHeight="1">
      <c r="A415" s="10" t="s">
        <v>5984</v>
      </c>
      <c r="B415" s="12" t="s">
        <v>1584</v>
      </c>
      <c r="C415" s="10" t="s">
        <v>6081</v>
      </c>
      <c r="D415" s="11" t="str">
        <f t="shared" si="1"/>
        <v>Abrir anúncio ↗</v>
      </c>
      <c r="E415" s="10" t="s">
        <v>6171</v>
      </c>
      <c r="F415" s="10" t="s">
        <v>29</v>
      </c>
      <c r="G415" s="12"/>
    </row>
    <row r="416" ht="15.75" customHeight="1">
      <c r="A416" s="10" t="s">
        <v>5984</v>
      </c>
      <c r="B416" s="12" t="s">
        <v>78</v>
      </c>
      <c r="C416" s="10" t="s">
        <v>7289</v>
      </c>
      <c r="D416" s="11" t="str">
        <f t="shared" si="1"/>
        <v>Abrir anúncio ↗</v>
      </c>
      <c r="E416" s="10" t="s">
        <v>6157</v>
      </c>
      <c r="F416" s="10" t="s">
        <v>29</v>
      </c>
      <c r="G416" s="12"/>
    </row>
    <row r="417" ht="15.75" customHeight="1">
      <c r="A417" s="10" t="s">
        <v>5984</v>
      </c>
      <c r="B417" s="12" t="s">
        <v>78</v>
      </c>
      <c r="C417" s="10" t="s">
        <v>77</v>
      </c>
      <c r="D417" s="11" t="str">
        <f t="shared" si="1"/>
        <v>Abrir anúncio ↗</v>
      </c>
      <c r="E417" s="10" t="s">
        <v>6157</v>
      </c>
      <c r="F417" s="10" t="s">
        <v>29</v>
      </c>
      <c r="G417" s="12"/>
    </row>
    <row r="418" ht="15.75" customHeight="1">
      <c r="A418" s="10" t="s">
        <v>5984</v>
      </c>
      <c r="B418" s="12" t="s">
        <v>664</v>
      </c>
      <c r="C418" s="10" t="s">
        <v>2011</v>
      </c>
      <c r="D418" s="11" t="str">
        <f t="shared" si="1"/>
        <v>Abrir anúncio ↗</v>
      </c>
      <c r="E418" s="10" t="s">
        <v>6171</v>
      </c>
      <c r="F418" s="10" t="s">
        <v>29</v>
      </c>
      <c r="G418" s="12"/>
    </row>
    <row r="419" ht="15.75" customHeight="1">
      <c r="A419" s="10" t="s">
        <v>5984</v>
      </c>
      <c r="B419" s="12" t="s">
        <v>664</v>
      </c>
      <c r="C419" s="10" t="s">
        <v>662</v>
      </c>
      <c r="D419" s="11" t="str">
        <f t="shared" si="1"/>
        <v>Abrir anúncio ↗</v>
      </c>
      <c r="E419" s="10" t="s">
        <v>6171</v>
      </c>
      <c r="F419" s="10" t="s">
        <v>29</v>
      </c>
      <c r="G419" s="12"/>
    </row>
    <row r="420" ht="15.75" customHeight="1">
      <c r="A420" s="10" t="s">
        <v>5984</v>
      </c>
      <c r="B420" s="12" t="s">
        <v>659</v>
      </c>
      <c r="C420" s="10" t="s">
        <v>2017</v>
      </c>
      <c r="D420" s="11" t="str">
        <f t="shared" si="1"/>
        <v>Abrir anúncio ↗</v>
      </c>
      <c r="E420" s="10" t="s">
        <v>6171</v>
      </c>
      <c r="F420" s="10" t="s">
        <v>29</v>
      </c>
      <c r="G420" s="12"/>
    </row>
    <row r="421" ht="15.75" customHeight="1">
      <c r="A421" s="10" t="s">
        <v>5984</v>
      </c>
      <c r="B421" s="12" t="s">
        <v>659</v>
      </c>
      <c r="C421" s="10" t="s">
        <v>657</v>
      </c>
      <c r="D421" s="11" t="str">
        <f t="shared" si="1"/>
        <v>Abrir anúncio ↗</v>
      </c>
      <c r="E421" s="10" t="s">
        <v>6171</v>
      </c>
      <c r="F421" s="10" t="s">
        <v>29</v>
      </c>
      <c r="G421" s="12"/>
    </row>
    <row r="422" ht="15.75" customHeight="1">
      <c r="A422" s="10" t="s">
        <v>5984</v>
      </c>
      <c r="B422" s="12" t="s">
        <v>7724</v>
      </c>
      <c r="C422" s="10" t="s">
        <v>7725</v>
      </c>
      <c r="D422" s="11" t="str">
        <f t="shared" si="1"/>
        <v>Abrir anúncio ↗</v>
      </c>
      <c r="E422" s="10" t="s">
        <v>6157</v>
      </c>
      <c r="F422" s="10" t="s">
        <v>29</v>
      </c>
      <c r="G422" s="12"/>
    </row>
    <row r="423" ht="15.75" customHeight="1">
      <c r="A423" s="10" t="s">
        <v>5984</v>
      </c>
      <c r="B423" s="12" t="s">
        <v>7724</v>
      </c>
      <c r="C423" s="10" t="s">
        <v>7727</v>
      </c>
      <c r="D423" s="11" t="str">
        <f t="shared" si="1"/>
        <v>Abrir anúncio ↗</v>
      </c>
      <c r="E423" s="10" t="s">
        <v>6157</v>
      </c>
      <c r="F423" s="10" t="s">
        <v>29</v>
      </c>
      <c r="G423" s="12"/>
    </row>
    <row r="424" ht="15.75" customHeight="1">
      <c r="A424" s="10" t="s">
        <v>5984</v>
      </c>
      <c r="B424" s="12" t="s">
        <v>2655</v>
      </c>
      <c r="C424" s="10" t="s">
        <v>2654</v>
      </c>
      <c r="D424" s="11" t="str">
        <f t="shared" si="1"/>
        <v>Abrir anúncio ↗</v>
      </c>
      <c r="E424" s="10" t="s">
        <v>6171</v>
      </c>
      <c r="F424" s="10" t="s">
        <v>29</v>
      </c>
      <c r="G424" s="12"/>
    </row>
    <row r="425" ht="15.75" customHeight="1">
      <c r="A425" s="10" t="s">
        <v>5984</v>
      </c>
      <c r="B425" s="12" t="s">
        <v>2655</v>
      </c>
      <c r="C425" s="10" t="s">
        <v>3100</v>
      </c>
      <c r="D425" s="11" t="str">
        <f t="shared" si="1"/>
        <v>Abrir anúncio ↗</v>
      </c>
      <c r="E425" s="10" t="s">
        <v>6171</v>
      </c>
      <c r="F425" s="10" t="s">
        <v>29</v>
      </c>
      <c r="G425" s="12"/>
    </row>
    <row r="426" ht="15.75" customHeight="1">
      <c r="A426" s="10" t="s">
        <v>5984</v>
      </c>
      <c r="B426" s="12" t="s">
        <v>3424</v>
      </c>
      <c r="C426" s="10" t="s">
        <v>3421</v>
      </c>
      <c r="D426" s="11" t="str">
        <f t="shared" si="1"/>
        <v>Abrir anúncio ↗</v>
      </c>
      <c r="E426" s="10" t="s">
        <v>6184</v>
      </c>
      <c r="F426" s="10" t="s">
        <v>29</v>
      </c>
      <c r="G426" s="12"/>
    </row>
    <row r="427" ht="15.75" customHeight="1">
      <c r="A427" s="10" t="s">
        <v>5984</v>
      </c>
      <c r="B427" s="12" t="s">
        <v>3424</v>
      </c>
      <c r="C427" s="10" t="s">
        <v>7738</v>
      </c>
      <c r="D427" s="11" t="str">
        <f t="shared" si="1"/>
        <v>Abrir anúncio ↗</v>
      </c>
      <c r="E427" s="10" t="s">
        <v>6184</v>
      </c>
      <c r="F427" s="10" t="s">
        <v>29</v>
      </c>
      <c r="G427" s="12"/>
    </row>
    <row r="428" ht="15.75" customHeight="1">
      <c r="A428" s="10" t="s">
        <v>5984</v>
      </c>
      <c r="B428" s="12" t="s">
        <v>1825</v>
      </c>
      <c r="C428" s="10" t="s">
        <v>2902</v>
      </c>
      <c r="D428" s="11" t="str">
        <f t="shared" si="1"/>
        <v>Abrir anúncio ↗</v>
      </c>
      <c r="E428" s="10" t="s">
        <v>6171</v>
      </c>
      <c r="F428" s="10" t="s">
        <v>29</v>
      </c>
      <c r="G428" s="12"/>
    </row>
    <row r="429" ht="15.75" customHeight="1">
      <c r="A429" s="10" t="s">
        <v>5984</v>
      </c>
      <c r="B429" s="12" t="s">
        <v>1825</v>
      </c>
      <c r="C429" s="10" t="s">
        <v>1823</v>
      </c>
      <c r="D429" s="11" t="str">
        <f t="shared" si="1"/>
        <v>Abrir anúncio ↗</v>
      </c>
      <c r="E429" s="10" t="s">
        <v>6171</v>
      </c>
      <c r="F429" s="10" t="s">
        <v>29</v>
      </c>
      <c r="G429" s="12"/>
    </row>
    <row r="430" ht="15.75" customHeight="1">
      <c r="A430" s="10" t="s">
        <v>5984</v>
      </c>
      <c r="B430" s="12" t="s">
        <v>7743</v>
      </c>
      <c r="C430" s="10" t="s">
        <v>7744</v>
      </c>
      <c r="D430" s="11" t="str">
        <f t="shared" si="1"/>
        <v>Abrir anúncio ↗</v>
      </c>
      <c r="E430" s="10" t="s">
        <v>6157</v>
      </c>
      <c r="F430" s="10" t="s">
        <v>29</v>
      </c>
      <c r="G430" s="12"/>
    </row>
    <row r="431" ht="15.75" customHeight="1">
      <c r="A431" s="10" t="s">
        <v>5984</v>
      </c>
      <c r="B431" s="12" t="s">
        <v>7743</v>
      </c>
      <c r="C431" s="10" t="s">
        <v>7746</v>
      </c>
      <c r="D431" s="11" t="str">
        <f t="shared" si="1"/>
        <v>Abrir anúncio ↗</v>
      </c>
      <c r="E431" s="10" t="s">
        <v>6157</v>
      </c>
      <c r="F431" s="10" t="s">
        <v>29</v>
      </c>
      <c r="G431" s="12"/>
    </row>
    <row r="432" ht="15.75" customHeight="1">
      <c r="A432" s="10" t="s">
        <v>5984</v>
      </c>
      <c r="B432" s="12" t="s">
        <v>7748</v>
      </c>
      <c r="C432" s="10" t="s">
        <v>7749</v>
      </c>
      <c r="D432" s="11" t="str">
        <f t="shared" si="1"/>
        <v>Abrir anúncio ↗</v>
      </c>
      <c r="E432" s="10" t="s">
        <v>6157</v>
      </c>
      <c r="F432" s="10" t="s">
        <v>29</v>
      </c>
      <c r="G432" s="12"/>
    </row>
    <row r="433" ht="15.75" customHeight="1">
      <c r="A433" s="10" t="s">
        <v>5984</v>
      </c>
      <c r="B433" s="12" t="s">
        <v>7748</v>
      </c>
      <c r="C433" s="10" t="s">
        <v>7752</v>
      </c>
      <c r="D433" s="11" t="str">
        <f t="shared" si="1"/>
        <v>Abrir anúncio ↗</v>
      </c>
      <c r="E433" s="10" t="s">
        <v>6157</v>
      </c>
      <c r="F433" s="10" t="s">
        <v>29</v>
      </c>
      <c r="G433" s="12"/>
    </row>
    <row r="434" ht="15.75" customHeight="1">
      <c r="A434" s="10" t="s">
        <v>5984</v>
      </c>
      <c r="B434" s="12" t="s">
        <v>6719</v>
      </c>
      <c r="C434" s="10" t="s">
        <v>7754</v>
      </c>
      <c r="D434" s="11" t="str">
        <f t="shared" si="1"/>
        <v>Abrir anúncio ↗</v>
      </c>
      <c r="E434" s="10" t="s">
        <v>6157</v>
      </c>
      <c r="F434" s="10" t="s">
        <v>29</v>
      </c>
      <c r="G434" s="12"/>
    </row>
    <row r="435" ht="15.75" customHeight="1">
      <c r="A435" s="10" t="s">
        <v>5984</v>
      </c>
      <c r="B435" s="12" t="s">
        <v>6719</v>
      </c>
      <c r="C435" s="10" t="s">
        <v>6717</v>
      </c>
      <c r="D435" s="11" t="str">
        <f t="shared" si="1"/>
        <v>Abrir anúncio ↗</v>
      </c>
      <c r="E435" s="10" t="s">
        <v>6157</v>
      </c>
      <c r="F435" s="10" t="s">
        <v>29</v>
      </c>
      <c r="G435" s="12"/>
    </row>
    <row r="436" ht="15.75" customHeight="1">
      <c r="A436" s="10" t="s">
        <v>5984</v>
      </c>
      <c r="B436" s="12" t="s">
        <v>98</v>
      </c>
      <c r="C436" s="10" t="s">
        <v>97</v>
      </c>
      <c r="D436" s="11" t="str">
        <f t="shared" si="1"/>
        <v>Abrir anúncio ↗</v>
      </c>
      <c r="E436" s="10" t="s">
        <v>6157</v>
      </c>
      <c r="F436" s="10" t="s">
        <v>29</v>
      </c>
      <c r="G436" s="12"/>
    </row>
    <row r="437" ht="15.75" customHeight="1">
      <c r="A437" s="10" t="s">
        <v>5984</v>
      </c>
      <c r="B437" s="12" t="s">
        <v>98</v>
      </c>
      <c r="C437" s="10" t="s">
        <v>7589</v>
      </c>
      <c r="D437" s="11" t="str">
        <f t="shared" si="1"/>
        <v>Abrir anúncio ↗</v>
      </c>
      <c r="E437" s="10" t="s">
        <v>6157</v>
      </c>
      <c r="F437" s="10" t="s">
        <v>29</v>
      </c>
      <c r="G437" s="12"/>
    </row>
    <row r="438" ht="15.75" customHeight="1">
      <c r="A438" s="10" t="s">
        <v>5984</v>
      </c>
      <c r="B438" s="12" t="s">
        <v>7380</v>
      </c>
      <c r="C438" s="10" t="s">
        <v>7762</v>
      </c>
      <c r="D438" s="11" t="str">
        <f t="shared" si="1"/>
        <v>Abrir anúncio ↗</v>
      </c>
      <c r="E438" s="10" t="s">
        <v>6157</v>
      </c>
      <c r="F438" s="10" t="s">
        <v>29</v>
      </c>
      <c r="G438" s="12"/>
    </row>
    <row r="439" ht="15.75" customHeight="1">
      <c r="A439" s="10" t="s">
        <v>5984</v>
      </c>
      <c r="B439" s="12" t="s">
        <v>7380</v>
      </c>
      <c r="C439" s="10" t="s">
        <v>7379</v>
      </c>
      <c r="D439" s="11" t="str">
        <f t="shared" si="1"/>
        <v>Abrir anúncio ↗</v>
      </c>
      <c r="E439" s="10" t="s">
        <v>6157</v>
      </c>
      <c r="F439" s="10" t="s">
        <v>29</v>
      </c>
      <c r="G439" s="12"/>
    </row>
    <row r="440" ht="15.75" customHeight="1">
      <c r="A440" s="10" t="s">
        <v>5984</v>
      </c>
      <c r="B440" s="12" t="s">
        <v>6734</v>
      </c>
      <c r="C440" s="10" t="s">
        <v>7766</v>
      </c>
      <c r="D440" s="11" t="str">
        <f t="shared" si="1"/>
        <v>Abrir anúncio ↗</v>
      </c>
      <c r="E440" s="10" t="s">
        <v>6157</v>
      </c>
      <c r="F440" s="10" t="s">
        <v>29</v>
      </c>
      <c r="G440" s="12"/>
    </row>
    <row r="441" ht="15.75" customHeight="1">
      <c r="A441" s="10" t="s">
        <v>5984</v>
      </c>
      <c r="B441" s="12" t="s">
        <v>6734</v>
      </c>
      <c r="C441" s="10" t="s">
        <v>6732</v>
      </c>
      <c r="D441" s="11" t="str">
        <f t="shared" si="1"/>
        <v>Abrir anúncio ↗</v>
      </c>
      <c r="E441" s="10" t="s">
        <v>6157</v>
      </c>
      <c r="F441" s="10" t="s">
        <v>29</v>
      </c>
      <c r="G441" s="12"/>
    </row>
    <row r="442" ht="15.75" customHeight="1">
      <c r="A442" s="10" t="s">
        <v>5984</v>
      </c>
      <c r="B442" s="12" t="s">
        <v>7768</v>
      </c>
      <c r="C442" s="10" t="s">
        <v>7769</v>
      </c>
      <c r="D442" s="11" t="str">
        <f t="shared" si="1"/>
        <v>Abrir anúncio ↗</v>
      </c>
      <c r="E442" s="10" t="s">
        <v>6157</v>
      </c>
      <c r="F442" s="10" t="s">
        <v>29</v>
      </c>
      <c r="G442" s="12"/>
    </row>
    <row r="443" ht="15.75" customHeight="1">
      <c r="A443" s="10" t="s">
        <v>5984</v>
      </c>
      <c r="B443" s="12" t="s">
        <v>7768</v>
      </c>
      <c r="C443" s="10" t="s">
        <v>7772</v>
      </c>
      <c r="D443" s="11" t="str">
        <f t="shared" si="1"/>
        <v>Abrir anúncio ↗</v>
      </c>
      <c r="E443" s="10" t="s">
        <v>6157</v>
      </c>
      <c r="F443" s="10" t="s">
        <v>29</v>
      </c>
      <c r="G443" s="12"/>
    </row>
    <row r="444" ht="15.75" customHeight="1">
      <c r="A444" s="10" t="s">
        <v>5984</v>
      </c>
      <c r="B444" s="12" t="s">
        <v>969</v>
      </c>
      <c r="C444" s="10" t="s">
        <v>968</v>
      </c>
      <c r="D444" s="11" t="str">
        <f t="shared" si="1"/>
        <v>Abrir anúncio ↗</v>
      </c>
      <c r="E444" s="10" t="s">
        <v>6157</v>
      </c>
      <c r="F444" s="10" t="s">
        <v>29</v>
      </c>
      <c r="G444" s="12"/>
    </row>
    <row r="445" ht="15.75" customHeight="1">
      <c r="A445" s="10" t="s">
        <v>5984</v>
      </c>
      <c r="B445" s="12" t="s">
        <v>969</v>
      </c>
      <c r="C445" s="10" t="s">
        <v>7775</v>
      </c>
      <c r="D445" s="11" t="str">
        <f t="shared" si="1"/>
        <v>Abrir anúncio ↗</v>
      </c>
      <c r="E445" s="10" t="s">
        <v>6157</v>
      </c>
      <c r="F445" s="10" t="s">
        <v>29</v>
      </c>
      <c r="G445" s="12"/>
    </row>
    <row r="446" ht="15.75" customHeight="1">
      <c r="A446" s="10" t="s">
        <v>5984</v>
      </c>
      <c r="B446" s="12" t="s">
        <v>7777</v>
      </c>
      <c r="C446" s="10" t="s">
        <v>7779</v>
      </c>
      <c r="D446" s="11" t="str">
        <f t="shared" si="1"/>
        <v>Abrir anúncio ↗</v>
      </c>
      <c r="E446" s="10" t="s">
        <v>6157</v>
      </c>
      <c r="F446" s="10" t="s">
        <v>29</v>
      </c>
      <c r="G446" s="12"/>
    </row>
    <row r="447" ht="15.75" customHeight="1">
      <c r="A447" s="10" t="s">
        <v>5984</v>
      </c>
      <c r="B447" s="12" t="s">
        <v>7777</v>
      </c>
      <c r="C447" s="10" t="s">
        <v>7780</v>
      </c>
      <c r="D447" s="11" t="str">
        <f t="shared" si="1"/>
        <v>Abrir anúncio ↗</v>
      </c>
      <c r="E447" s="10" t="s">
        <v>6157</v>
      </c>
      <c r="F447" s="10" t="s">
        <v>29</v>
      </c>
      <c r="G447" s="12"/>
    </row>
    <row r="448" ht="15.75" customHeight="1">
      <c r="A448" s="10" t="s">
        <v>5984</v>
      </c>
      <c r="B448" s="12" t="s">
        <v>2971</v>
      </c>
      <c r="C448" s="10" t="s">
        <v>2970</v>
      </c>
      <c r="D448" s="11" t="str">
        <f t="shared" si="1"/>
        <v>Abrir anúncio ↗</v>
      </c>
      <c r="E448" s="10" t="s">
        <v>6157</v>
      </c>
      <c r="F448" s="10" t="s">
        <v>29</v>
      </c>
      <c r="G448" s="12"/>
    </row>
    <row r="449" ht="15.75" customHeight="1">
      <c r="A449" s="10" t="s">
        <v>5984</v>
      </c>
      <c r="B449" s="12" t="s">
        <v>2971</v>
      </c>
      <c r="C449" s="10" t="s">
        <v>7785</v>
      </c>
      <c r="D449" s="11" t="str">
        <f t="shared" si="1"/>
        <v>Abrir anúncio ↗</v>
      </c>
      <c r="E449" s="10" t="s">
        <v>6157</v>
      </c>
      <c r="F449" s="10" t="s">
        <v>29</v>
      </c>
      <c r="G449" s="12"/>
    </row>
    <row r="450" ht="15.75" customHeight="1">
      <c r="A450" s="10" t="s">
        <v>5984</v>
      </c>
      <c r="B450" s="12" t="s">
        <v>4874</v>
      </c>
      <c r="C450" s="10" t="s">
        <v>5703</v>
      </c>
      <c r="D450" s="11" t="str">
        <f t="shared" si="1"/>
        <v>Abrir anúncio ↗</v>
      </c>
      <c r="E450" s="10" t="s">
        <v>6171</v>
      </c>
      <c r="F450" s="10" t="s">
        <v>29</v>
      </c>
      <c r="G450" s="12"/>
    </row>
    <row r="451" ht="15.75" customHeight="1">
      <c r="A451" s="10" t="s">
        <v>5984</v>
      </c>
      <c r="B451" s="12" t="s">
        <v>4874</v>
      </c>
      <c r="C451" s="10" t="s">
        <v>4873</v>
      </c>
      <c r="D451" s="11" t="str">
        <f t="shared" si="1"/>
        <v>Abrir anúncio ↗</v>
      </c>
      <c r="E451" s="10" t="s">
        <v>6171</v>
      </c>
      <c r="F451" s="10" t="s">
        <v>29</v>
      </c>
      <c r="G451" s="12"/>
    </row>
    <row r="452" ht="15.75" customHeight="1">
      <c r="A452" s="10" t="s">
        <v>5984</v>
      </c>
      <c r="B452" s="12" t="s">
        <v>427</v>
      </c>
      <c r="C452" s="10" t="s">
        <v>425</v>
      </c>
      <c r="D452" s="11" t="str">
        <f t="shared" si="1"/>
        <v>Abrir anúncio ↗</v>
      </c>
      <c r="E452" s="10" t="s">
        <v>6171</v>
      </c>
      <c r="F452" s="10" t="s">
        <v>29</v>
      </c>
      <c r="G452" s="12"/>
    </row>
    <row r="453" ht="15.75" customHeight="1">
      <c r="A453" s="10" t="s">
        <v>5984</v>
      </c>
      <c r="B453" s="12" t="s">
        <v>427</v>
      </c>
      <c r="C453" s="10" t="s">
        <v>1225</v>
      </c>
      <c r="D453" s="11" t="str">
        <f t="shared" si="1"/>
        <v>Abrir anúncio ↗</v>
      </c>
      <c r="E453" s="10" t="s">
        <v>6171</v>
      </c>
      <c r="F453" s="10" t="s">
        <v>29</v>
      </c>
      <c r="G453" s="12"/>
    </row>
    <row r="454" ht="15.75" customHeight="1">
      <c r="A454" s="10" t="s">
        <v>5984</v>
      </c>
      <c r="B454" s="12" t="s">
        <v>7793</v>
      </c>
      <c r="C454" s="10" t="s">
        <v>7794</v>
      </c>
      <c r="D454" s="11" t="str">
        <f t="shared" si="1"/>
        <v>Abrir anúncio ↗</v>
      </c>
      <c r="E454" s="10" t="s">
        <v>6157</v>
      </c>
      <c r="F454" s="10" t="s">
        <v>29</v>
      </c>
      <c r="G454" s="12"/>
    </row>
    <row r="455" ht="15.75" customHeight="1">
      <c r="A455" s="10" t="s">
        <v>5984</v>
      </c>
      <c r="B455" s="12" t="s">
        <v>7793</v>
      </c>
      <c r="C455" s="10" t="s">
        <v>7795</v>
      </c>
      <c r="D455" s="11" t="str">
        <f t="shared" si="1"/>
        <v>Abrir anúncio ↗</v>
      </c>
      <c r="E455" s="10" t="s">
        <v>6157</v>
      </c>
      <c r="F455" s="10" t="s">
        <v>29</v>
      </c>
      <c r="G455" s="12"/>
    </row>
    <row r="456" ht="15.75" customHeight="1">
      <c r="A456" s="10" t="s">
        <v>5984</v>
      </c>
      <c r="B456" s="12" t="s">
        <v>5920</v>
      </c>
      <c r="C456" s="10" t="s">
        <v>5919</v>
      </c>
      <c r="D456" s="11" t="str">
        <f t="shared" si="1"/>
        <v>Abrir anúncio ↗</v>
      </c>
      <c r="E456" s="10" t="s">
        <v>6250</v>
      </c>
      <c r="F456" s="10" t="s">
        <v>29</v>
      </c>
      <c r="G456" s="12"/>
    </row>
    <row r="457" ht="15.75" customHeight="1">
      <c r="A457" s="10" t="s">
        <v>5984</v>
      </c>
      <c r="B457" s="12" t="s">
        <v>5920</v>
      </c>
      <c r="C457" s="10" t="s">
        <v>5925</v>
      </c>
      <c r="D457" s="11" t="str">
        <f t="shared" si="1"/>
        <v>Abrir anúncio ↗</v>
      </c>
      <c r="E457" s="10" t="s">
        <v>6250</v>
      </c>
      <c r="F457" s="10" t="s">
        <v>29</v>
      </c>
      <c r="G457" s="12"/>
    </row>
    <row r="458" ht="15.75" customHeight="1">
      <c r="A458" s="10" t="s">
        <v>5984</v>
      </c>
      <c r="B458" s="12" t="s">
        <v>5945</v>
      </c>
      <c r="C458" s="10" t="s">
        <v>7800</v>
      </c>
      <c r="D458" s="11" t="str">
        <f t="shared" si="1"/>
        <v>Abrir anúncio ↗</v>
      </c>
      <c r="E458" s="10" t="s">
        <v>6157</v>
      </c>
      <c r="F458" s="10" t="s">
        <v>29</v>
      </c>
      <c r="G458" s="12"/>
    </row>
    <row r="459" ht="15.75" customHeight="1">
      <c r="A459" s="10" t="s">
        <v>5984</v>
      </c>
      <c r="B459" s="12" t="s">
        <v>5945</v>
      </c>
      <c r="C459" s="10" t="s">
        <v>5944</v>
      </c>
      <c r="D459" s="11" t="str">
        <f t="shared" si="1"/>
        <v>Abrir anúncio ↗</v>
      </c>
      <c r="E459" s="10" t="s">
        <v>6157</v>
      </c>
      <c r="F459" s="10" t="s">
        <v>29</v>
      </c>
      <c r="G459" s="12"/>
    </row>
    <row r="460" ht="15.75" customHeight="1">
      <c r="A460" s="10" t="s">
        <v>5984</v>
      </c>
      <c r="B460" s="12" t="s">
        <v>533</v>
      </c>
      <c r="C460" s="10" t="s">
        <v>878</v>
      </c>
      <c r="D460" s="11" t="str">
        <f t="shared" si="1"/>
        <v>Abrir anúncio ↗</v>
      </c>
      <c r="E460" s="10" t="s">
        <v>6171</v>
      </c>
      <c r="F460" s="10" t="s">
        <v>29</v>
      </c>
      <c r="G460" s="12"/>
    </row>
    <row r="461" ht="15.75" customHeight="1">
      <c r="A461" s="10" t="s">
        <v>5984</v>
      </c>
      <c r="B461" s="12" t="s">
        <v>533</v>
      </c>
      <c r="C461" s="10" t="s">
        <v>531</v>
      </c>
      <c r="D461" s="11" t="str">
        <f t="shared" si="1"/>
        <v>Abrir anúncio ↗</v>
      </c>
      <c r="E461" s="10" t="s">
        <v>6171</v>
      </c>
      <c r="F461" s="10" t="s">
        <v>29</v>
      </c>
      <c r="G461" s="12"/>
    </row>
    <row r="462" ht="15.75" customHeight="1">
      <c r="A462" s="10" t="s">
        <v>5984</v>
      </c>
      <c r="B462" s="12" t="s">
        <v>590</v>
      </c>
      <c r="C462" s="10" t="s">
        <v>884</v>
      </c>
      <c r="D462" s="11" t="str">
        <f t="shared" si="1"/>
        <v>Abrir anúncio ↗</v>
      </c>
      <c r="E462" s="10" t="s">
        <v>6171</v>
      </c>
      <c r="F462" s="10" t="s">
        <v>29</v>
      </c>
      <c r="G462" s="12"/>
    </row>
    <row r="463" ht="15.75" customHeight="1">
      <c r="A463" s="10" t="s">
        <v>5984</v>
      </c>
      <c r="B463" s="12" t="s">
        <v>590</v>
      </c>
      <c r="C463" s="10" t="s">
        <v>587</v>
      </c>
      <c r="D463" s="11" t="str">
        <f t="shared" si="1"/>
        <v>Abrir anúncio ↗</v>
      </c>
      <c r="E463" s="10" t="s">
        <v>6171</v>
      </c>
      <c r="F463" s="10" t="s">
        <v>29</v>
      </c>
      <c r="G463" s="12"/>
    </row>
    <row r="464" ht="15.75" customHeight="1">
      <c r="A464" s="10" t="s">
        <v>5984</v>
      </c>
      <c r="B464" s="12" t="s">
        <v>911</v>
      </c>
      <c r="C464" s="10" t="s">
        <v>910</v>
      </c>
      <c r="D464" s="11" t="str">
        <f t="shared" si="1"/>
        <v>Abrir anúncio ↗</v>
      </c>
      <c r="E464" s="10" t="s">
        <v>6171</v>
      </c>
      <c r="F464" s="10" t="s">
        <v>29</v>
      </c>
      <c r="G464" s="12"/>
    </row>
    <row r="465" ht="15.75" customHeight="1">
      <c r="A465" s="10" t="s">
        <v>5984</v>
      </c>
      <c r="B465" s="12" t="s">
        <v>911</v>
      </c>
      <c r="C465" s="10" t="s">
        <v>6283</v>
      </c>
      <c r="D465" s="11" t="str">
        <f t="shared" si="1"/>
        <v>Abrir anúncio ↗</v>
      </c>
      <c r="E465" s="10" t="s">
        <v>6171</v>
      </c>
      <c r="F465" s="10" t="s">
        <v>29</v>
      </c>
      <c r="G465" s="12"/>
    </row>
    <row r="466" ht="15.75" customHeight="1">
      <c r="A466" s="10" t="s">
        <v>5984</v>
      </c>
      <c r="B466" s="12" t="s">
        <v>7811</v>
      </c>
      <c r="C466" s="10" t="s">
        <v>7812</v>
      </c>
      <c r="D466" s="11" t="str">
        <f t="shared" si="1"/>
        <v>Abrir anúncio ↗</v>
      </c>
      <c r="E466" s="10" t="s">
        <v>6157</v>
      </c>
      <c r="F466" s="10" t="s">
        <v>29</v>
      </c>
      <c r="G466" s="12"/>
    </row>
    <row r="467" ht="15.75" customHeight="1">
      <c r="A467" s="10" t="s">
        <v>5984</v>
      </c>
      <c r="B467" s="12" t="s">
        <v>7811</v>
      </c>
      <c r="C467" s="10" t="s">
        <v>7815</v>
      </c>
      <c r="D467" s="11" t="str">
        <f t="shared" si="1"/>
        <v>Abrir anúncio ↗</v>
      </c>
      <c r="E467" s="10" t="s">
        <v>6157</v>
      </c>
      <c r="F467" s="10" t="s">
        <v>29</v>
      </c>
      <c r="G467" s="12"/>
    </row>
    <row r="468" ht="15.75" customHeight="1">
      <c r="A468" s="10" t="s">
        <v>5984</v>
      </c>
      <c r="B468" s="12" t="s">
        <v>6484</v>
      </c>
      <c r="C468" s="10" t="s">
        <v>6750</v>
      </c>
      <c r="D468" s="11" t="str">
        <f t="shared" si="1"/>
        <v>Abrir anúncio ↗</v>
      </c>
      <c r="E468" s="10" t="s">
        <v>6171</v>
      </c>
      <c r="F468" s="10" t="s">
        <v>29</v>
      </c>
      <c r="G468" s="12"/>
    </row>
    <row r="469" ht="15.75" customHeight="1">
      <c r="A469" s="10" t="s">
        <v>5984</v>
      </c>
      <c r="B469" s="12" t="s">
        <v>6484</v>
      </c>
      <c r="C469" s="10" t="s">
        <v>6483</v>
      </c>
      <c r="D469" s="11" t="str">
        <f t="shared" si="1"/>
        <v>Abrir anúncio ↗</v>
      </c>
      <c r="E469" s="10" t="s">
        <v>6171</v>
      </c>
      <c r="F469" s="10" t="s">
        <v>29</v>
      </c>
      <c r="G469" s="12"/>
    </row>
    <row r="470" ht="15.75" customHeight="1">
      <c r="A470" s="10" t="s">
        <v>5984</v>
      </c>
      <c r="B470" s="12" t="s">
        <v>6579</v>
      </c>
      <c r="C470" s="10" t="s">
        <v>6797</v>
      </c>
      <c r="D470" s="11" t="str">
        <f t="shared" si="1"/>
        <v>Abrir anúncio ↗</v>
      </c>
      <c r="E470" s="10" t="s">
        <v>6171</v>
      </c>
      <c r="F470" s="10" t="s">
        <v>29</v>
      </c>
      <c r="G470" s="12"/>
    </row>
    <row r="471" ht="15.75" customHeight="1">
      <c r="A471" s="10" t="s">
        <v>5984</v>
      </c>
      <c r="B471" s="12" t="s">
        <v>6579</v>
      </c>
      <c r="C471" s="10" t="s">
        <v>6577</v>
      </c>
      <c r="D471" s="11" t="str">
        <f t="shared" si="1"/>
        <v>Abrir anúncio ↗</v>
      </c>
      <c r="E471" s="10" t="s">
        <v>6171</v>
      </c>
      <c r="F471" s="10" t="s">
        <v>29</v>
      </c>
      <c r="G471" s="12"/>
    </row>
    <row r="472" ht="15.75" customHeight="1">
      <c r="A472" s="10" t="s">
        <v>5984</v>
      </c>
      <c r="B472" s="12" t="s">
        <v>7821</v>
      </c>
      <c r="C472" s="10" t="s">
        <v>7823</v>
      </c>
      <c r="D472" s="11" t="str">
        <f t="shared" si="1"/>
        <v>Abrir anúncio ↗</v>
      </c>
      <c r="E472" s="10" t="s">
        <v>6157</v>
      </c>
      <c r="F472" s="10" t="s">
        <v>29</v>
      </c>
      <c r="G472" s="12"/>
    </row>
    <row r="473" ht="15.75" customHeight="1">
      <c r="A473" s="10" t="s">
        <v>5984</v>
      </c>
      <c r="B473" s="12" t="s">
        <v>7821</v>
      </c>
      <c r="C473" s="10" t="s">
        <v>7826</v>
      </c>
      <c r="D473" s="11" t="str">
        <f t="shared" si="1"/>
        <v>Abrir anúncio ↗</v>
      </c>
      <c r="E473" s="10" t="s">
        <v>6157</v>
      </c>
      <c r="F473" s="10" t="s">
        <v>29</v>
      </c>
      <c r="G473" s="12"/>
    </row>
    <row r="474" ht="15.75" customHeight="1">
      <c r="A474" s="10" t="s">
        <v>5984</v>
      </c>
      <c r="B474" s="12" t="s">
        <v>7829</v>
      </c>
      <c r="C474" s="10" t="s">
        <v>7830</v>
      </c>
      <c r="D474" s="11" t="str">
        <f t="shared" si="1"/>
        <v>Abrir anúncio ↗</v>
      </c>
      <c r="E474" s="10" t="s">
        <v>6157</v>
      </c>
      <c r="F474" s="10" t="s">
        <v>29</v>
      </c>
      <c r="G474" s="12"/>
    </row>
    <row r="475" ht="15.75" customHeight="1">
      <c r="A475" s="10" t="s">
        <v>5984</v>
      </c>
      <c r="B475" s="12" t="s">
        <v>7829</v>
      </c>
      <c r="C475" s="10" t="s">
        <v>7831</v>
      </c>
      <c r="D475" s="11" t="str">
        <f t="shared" si="1"/>
        <v>Abrir anúncio ↗</v>
      </c>
      <c r="E475" s="10" t="s">
        <v>6157</v>
      </c>
      <c r="F475" s="10" t="s">
        <v>29</v>
      </c>
      <c r="G475" s="12"/>
    </row>
    <row r="476" ht="15.75" customHeight="1">
      <c r="A476" s="10" t="s">
        <v>5984</v>
      </c>
      <c r="B476" s="12" t="s">
        <v>7832</v>
      </c>
      <c r="C476" s="10" t="s">
        <v>7833</v>
      </c>
      <c r="D476" s="11" t="str">
        <f t="shared" si="1"/>
        <v>Abrir anúncio ↗</v>
      </c>
      <c r="E476" s="10" t="s">
        <v>6157</v>
      </c>
      <c r="F476" s="10" t="s">
        <v>29</v>
      </c>
      <c r="G476" s="12"/>
    </row>
    <row r="477" ht="15.75" customHeight="1">
      <c r="A477" s="10" t="s">
        <v>5984</v>
      </c>
      <c r="B477" s="12" t="s">
        <v>7832</v>
      </c>
      <c r="C477" s="10" t="s">
        <v>7834</v>
      </c>
      <c r="D477" s="11" t="str">
        <f t="shared" si="1"/>
        <v>Abrir anúncio ↗</v>
      </c>
      <c r="E477" s="10" t="s">
        <v>6157</v>
      </c>
      <c r="F477" s="10" t="s">
        <v>29</v>
      </c>
      <c r="G477" s="12"/>
    </row>
    <row r="478" ht="15.75" customHeight="1">
      <c r="A478" s="10" t="s">
        <v>5984</v>
      </c>
      <c r="B478" s="12" t="s">
        <v>7835</v>
      </c>
      <c r="C478" s="10" t="s">
        <v>7836</v>
      </c>
      <c r="D478" s="11" t="str">
        <f t="shared" si="1"/>
        <v>Abrir anúncio ↗</v>
      </c>
      <c r="E478" s="10" t="s">
        <v>6157</v>
      </c>
      <c r="F478" s="10" t="s">
        <v>29</v>
      </c>
      <c r="G478" s="12"/>
    </row>
    <row r="479" ht="15.75" customHeight="1">
      <c r="A479" s="10" t="s">
        <v>5984</v>
      </c>
      <c r="B479" s="12" t="s">
        <v>7835</v>
      </c>
      <c r="C479" s="10" t="s">
        <v>7837</v>
      </c>
      <c r="D479" s="11" t="str">
        <f t="shared" si="1"/>
        <v>Abrir anúncio ↗</v>
      </c>
      <c r="E479" s="10" t="s">
        <v>6157</v>
      </c>
      <c r="F479" s="10" t="s">
        <v>29</v>
      </c>
      <c r="G479" s="12"/>
    </row>
    <row r="480" ht="15.75" customHeight="1">
      <c r="A480" s="10" t="s">
        <v>5984</v>
      </c>
      <c r="B480" s="12" t="s">
        <v>1371</v>
      </c>
      <c r="C480" s="10" t="s">
        <v>1369</v>
      </c>
      <c r="D480" s="11" t="str">
        <f t="shared" si="1"/>
        <v>Abrir anúncio ↗</v>
      </c>
      <c r="E480" s="10" t="s">
        <v>6171</v>
      </c>
      <c r="F480" s="10" t="s">
        <v>29</v>
      </c>
      <c r="G480" s="12"/>
    </row>
    <row r="481" ht="15.75" customHeight="1">
      <c r="A481" s="10" t="s">
        <v>5984</v>
      </c>
      <c r="B481" s="12" t="s">
        <v>1371</v>
      </c>
      <c r="C481" s="10" t="s">
        <v>3025</v>
      </c>
      <c r="D481" s="11" t="str">
        <f t="shared" si="1"/>
        <v>Abrir anúncio ↗</v>
      </c>
      <c r="E481" s="10" t="s">
        <v>6171</v>
      </c>
      <c r="F481" s="10" t="s">
        <v>29</v>
      </c>
      <c r="G481" s="12"/>
    </row>
    <row r="482" ht="15.75" customHeight="1">
      <c r="A482" s="10" t="s">
        <v>5984</v>
      </c>
      <c r="B482" s="12" t="s">
        <v>6442</v>
      </c>
      <c r="C482" s="10" t="s">
        <v>6440</v>
      </c>
      <c r="D482" s="11" t="str">
        <f t="shared" si="1"/>
        <v>Abrir anúncio ↗</v>
      </c>
      <c r="E482" s="10" t="s">
        <v>6157</v>
      </c>
      <c r="F482" s="10" t="s">
        <v>29</v>
      </c>
      <c r="G482" s="12"/>
    </row>
    <row r="483" ht="15.75" customHeight="1">
      <c r="A483" s="10" t="s">
        <v>5984</v>
      </c>
      <c r="B483" s="12" t="s">
        <v>6442</v>
      </c>
      <c r="C483" s="10" t="s">
        <v>7846</v>
      </c>
      <c r="D483" s="11" t="str">
        <f t="shared" si="1"/>
        <v>Abrir anúncio ↗</v>
      </c>
      <c r="E483" s="10" t="s">
        <v>6157</v>
      </c>
      <c r="F483" s="10" t="s">
        <v>29</v>
      </c>
      <c r="G483" s="12"/>
    </row>
    <row r="484" ht="15.75" customHeight="1">
      <c r="A484" s="10" t="s">
        <v>5984</v>
      </c>
      <c r="B484" s="12" t="s">
        <v>6865</v>
      </c>
      <c r="C484" s="10" t="s">
        <v>6863</v>
      </c>
      <c r="D484" s="11" t="str">
        <f t="shared" si="1"/>
        <v>Abrir anúncio ↗</v>
      </c>
      <c r="E484" s="10" t="s">
        <v>6157</v>
      </c>
      <c r="F484" s="10" t="s">
        <v>29</v>
      </c>
      <c r="G484" s="12"/>
    </row>
    <row r="485" ht="15.75" customHeight="1">
      <c r="A485" s="10" t="s">
        <v>5984</v>
      </c>
      <c r="B485" s="12" t="s">
        <v>6865</v>
      </c>
      <c r="C485" s="10" t="s">
        <v>7849</v>
      </c>
      <c r="D485" s="11" t="str">
        <f t="shared" si="1"/>
        <v>Abrir anúncio ↗</v>
      </c>
      <c r="E485" s="10" t="s">
        <v>6157</v>
      </c>
      <c r="F485" s="10" t="s">
        <v>29</v>
      </c>
      <c r="G485" s="12"/>
    </row>
    <row r="486" ht="15.75" customHeight="1">
      <c r="A486" s="10" t="s">
        <v>5984</v>
      </c>
      <c r="B486" s="12" t="s">
        <v>559</v>
      </c>
      <c r="C486" s="10" t="s">
        <v>1906</v>
      </c>
      <c r="D486" s="11" t="str">
        <f t="shared" si="1"/>
        <v>Abrir anúncio ↗</v>
      </c>
      <c r="E486" s="10" t="s">
        <v>6171</v>
      </c>
      <c r="F486" s="10" t="s">
        <v>29</v>
      </c>
      <c r="G486" s="12"/>
    </row>
    <row r="487" ht="15.75" customHeight="1">
      <c r="A487" s="10" t="s">
        <v>5984</v>
      </c>
      <c r="B487" s="12" t="s">
        <v>559</v>
      </c>
      <c r="C487" s="10" t="s">
        <v>557</v>
      </c>
      <c r="D487" s="11" t="str">
        <f t="shared" si="1"/>
        <v>Abrir anúncio ↗</v>
      </c>
      <c r="E487" s="10" t="s">
        <v>6171</v>
      </c>
      <c r="F487" s="10" t="s">
        <v>29</v>
      </c>
      <c r="G487" s="12"/>
    </row>
    <row r="488" ht="15.75" customHeight="1">
      <c r="A488" s="10" t="s">
        <v>5984</v>
      </c>
      <c r="B488" s="12" t="s">
        <v>7314</v>
      </c>
      <c r="C488" s="10" t="s">
        <v>7312</v>
      </c>
      <c r="D488" s="11" t="str">
        <f t="shared" si="1"/>
        <v>Abrir anúncio ↗</v>
      </c>
      <c r="E488" s="10" t="s">
        <v>6157</v>
      </c>
      <c r="F488" s="10" t="s">
        <v>29</v>
      </c>
      <c r="G488" s="12"/>
    </row>
    <row r="489" ht="15.75" customHeight="1">
      <c r="A489" s="10" t="s">
        <v>5984</v>
      </c>
      <c r="B489" s="12" t="s">
        <v>7314</v>
      </c>
      <c r="C489" s="10" t="s">
        <v>7856</v>
      </c>
      <c r="D489" s="11" t="str">
        <f t="shared" si="1"/>
        <v>Abrir anúncio ↗</v>
      </c>
      <c r="E489" s="10" t="s">
        <v>6157</v>
      </c>
      <c r="F489" s="10" t="s">
        <v>29</v>
      </c>
      <c r="G489" s="12"/>
    </row>
    <row r="490" ht="15.75" customHeight="1">
      <c r="A490" s="10" t="s">
        <v>5984</v>
      </c>
      <c r="B490" s="12" t="s">
        <v>244</v>
      </c>
      <c r="C490" s="10" t="s">
        <v>1929</v>
      </c>
      <c r="D490" s="11" t="str">
        <f t="shared" si="1"/>
        <v>Abrir anúncio ↗</v>
      </c>
      <c r="E490" s="10" t="s">
        <v>6171</v>
      </c>
      <c r="F490" s="10" t="s">
        <v>29</v>
      </c>
      <c r="G490" s="12"/>
    </row>
    <row r="491" ht="15.75" customHeight="1">
      <c r="A491" s="10" t="s">
        <v>5984</v>
      </c>
      <c r="B491" s="12" t="s">
        <v>244</v>
      </c>
      <c r="C491" s="10" t="s">
        <v>243</v>
      </c>
      <c r="D491" s="11" t="str">
        <f t="shared" si="1"/>
        <v>Abrir anúncio ↗</v>
      </c>
      <c r="E491" s="10" t="s">
        <v>6171</v>
      </c>
      <c r="F491" s="10" t="s">
        <v>29</v>
      </c>
      <c r="G491" s="12"/>
    </row>
    <row r="492" ht="15.75" customHeight="1">
      <c r="A492" s="10" t="s">
        <v>5984</v>
      </c>
      <c r="B492" s="12" t="s">
        <v>4711</v>
      </c>
      <c r="C492" s="10" t="s">
        <v>7338</v>
      </c>
      <c r="D492" s="11" t="str">
        <f t="shared" si="1"/>
        <v>Abrir anúncio ↗</v>
      </c>
      <c r="E492" s="10" t="s">
        <v>6171</v>
      </c>
      <c r="F492" s="10" t="s">
        <v>29</v>
      </c>
      <c r="G492" s="12"/>
    </row>
    <row r="493" ht="15.75" customHeight="1">
      <c r="A493" s="10" t="s">
        <v>5984</v>
      </c>
      <c r="B493" s="12" t="s">
        <v>4711</v>
      </c>
      <c r="C493" s="10" t="s">
        <v>4709</v>
      </c>
      <c r="D493" s="11" t="str">
        <f t="shared" si="1"/>
        <v>Abrir anúncio ↗</v>
      </c>
      <c r="E493" s="10" t="s">
        <v>6171</v>
      </c>
      <c r="F493" s="10" t="s">
        <v>29</v>
      </c>
      <c r="G493" s="12"/>
    </row>
    <row r="494" ht="15.75" customHeight="1">
      <c r="A494" s="10" t="s">
        <v>5984</v>
      </c>
      <c r="B494" s="12" t="s">
        <v>7865</v>
      </c>
      <c r="C494" s="10" t="s">
        <v>7866</v>
      </c>
      <c r="D494" s="11" t="str">
        <f t="shared" si="1"/>
        <v>Abrir anúncio ↗</v>
      </c>
      <c r="E494" s="10" t="s">
        <v>6157</v>
      </c>
      <c r="F494" s="10" t="s">
        <v>29</v>
      </c>
      <c r="G494" s="12"/>
    </row>
    <row r="495" ht="15.75" customHeight="1">
      <c r="A495" s="10" t="s">
        <v>5984</v>
      </c>
      <c r="B495" s="12" t="s">
        <v>7865</v>
      </c>
      <c r="C495" s="10" t="s">
        <v>7868</v>
      </c>
      <c r="D495" s="11" t="str">
        <f t="shared" si="1"/>
        <v>Abrir anúncio ↗</v>
      </c>
      <c r="E495" s="10" t="s">
        <v>6157</v>
      </c>
      <c r="F495" s="10" t="s">
        <v>29</v>
      </c>
      <c r="G495" s="12"/>
    </row>
    <row r="496" ht="15.75" customHeight="1">
      <c r="A496" s="10" t="s">
        <v>5984</v>
      </c>
      <c r="B496" s="12" t="s">
        <v>684</v>
      </c>
      <c r="C496" s="10" t="s">
        <v>2078</v>
      </c>
      <c r="D496" s="11" t="str">
        <f t="shared" si="1"/>
        <v>Abrir anúncio ↗</v>
      </c>
      <c r="E496" s="10" t="s">
        <v>6171</v>
      </c>
      <c r="F496" s="10" t="s">
        <v>29</v>
      </c>
      <c r="G496" s="12"/>
    </row>
    <row r="497" ht="15.75" customHeight="1">
      <c r="A497" s="10" t="s">
        <v>5984</v>
      </c>
      <c r="B497" s="12" t="s">
        <v>684</v>
      </c>
      <c r="C497" s="10" t="s">
        <v>683</v>
      </c>
      <c r="D497" s="11" t="str">
        <f t="shared" si="1"/>
        <v>Abrir anúncio ↗</v>
      </c>
      <c r="E497" s="10" t="s">
        <v>6171</v>
      </c>
      <c r="F497" s="10" t="s">
        <v>29</v>
      </c>
      <c r="G497" s="12"/>
    </row>
    <row r="498" ht="15.75" customHeight="1">
      <c r="A498" s="10" t="s">
        <v>5984</v>
      </c>
      <c r="B498" s="12" t="s">
        <v>7851</v>
      </c>
      <c r="C498" s="10" t="s">
        <v>7850</v>
      </c>
      <c r="D498" s="11" t="str">
        <f t="shared" si="1"/>
        <v>Abrir anúncio ↗</v>
      </c>
      <c r="E498" s="10" t="s">
        <v>6157</v>
      </c>
      <c r="F498" s="10" t="s">
        <v>29</v>
      </c>
      <c r="G498" s="12"/>
    </row>
    <row r="499" ht="15.75" customHeight="1">
      <c r="A499" s="10" t="s">
        <v>5984</v>
      </c>
      <c r="B499" s="12" t="s">
        <v>7851</v>
      </c>
      <c r="C499" s="10" t="s">
        <v>7872</v>
      </c>
      <c r="D499" s="11" t="str">
        <f t="shared" si="1"/>
        <v>Abrir anúncio ↗</v>
      </c>
      <c r="E499" s="10" t="s">
        <v>6157</v>
      </c>
      <c r="F499" s="10" t="s">
        <v>29</v>
      </c>
      <c r="G499" s="12"/>
    </row>
    <row r="500" ht="15.75" customHeight="1">
      <c r="A500" s="10" t="s">
        <v>5984</v>
      </c>
      <c r="B500" s="12" t="s">
        <v>2555</v>
      </c>
      <c r="C500" s="10" t="s">
        <v>2733</v>
      </c>
      <c r="D500" s="11" t="str">
        <f t="shared" si="1"/>
        <v>Abrir anúncio ↗</v>
      </c>
      <c r="E500" s="10" t="s">
        <v>6171</v>
      </c>
      <c r="F500" s="10" t="s">
        <v>29</v>
      </c>
      <c r="G500" s="12"/>
    </row>
    <row r="501" ht="15.75" customHeight="1">
      <c r="A501" s="10" t="s">
        <v>5984</v>
      </c>
      <c r="B501" s="12" t="s">
        <v>2555</v>
      </c>
      <c r="C501" s="10" t="s">
        <v>2554</v>
      </c>
      <c r="D501" s="11" t="str">
        <f t="shared" si="1"/>
        <v>Abrir anúncio ↗</v>
      </c>
      <c r="E501" s="10" t="s">
        <v>6171</v>
      </c>
      <c r="F501" s="10" t="s">
        <v>29</v>
      </c>
      <c r="G501" s="12"/>
    </row>
    <row r="502" ht="15.75" customHeight="1">
      <c r="A502" s="10" t="s">
        <v>5984</v>
      </c>
      <c r="B502" s="12" t="s">
        <v>7875</v>
      </c>
      <c r="C502" s="10" t="s">
        <v>7876</v>
      </c>
      <c r="D502" s="11" t="str">
        <f t="shared" si="1"/>
        <v>Abrir anúncio ↗</v>
      </c>
      <c r="E502" s="10" t="s">
        <v>6157</v>
      </c>
      <c r="F502" s="10" t="s">
        <v>29</v>
      </c>
      <c r="G502" s="12"/>
    </row>
    <row r="503" ht="15.75" customHeight="1">
      <c r="A503" s="10" t="s">
        <v>5984</v>
      </c>
      <c r="B503" s="12" t="s">
        <v>7875</v>
      </c>
      <c r="C503" s="10" t="s">
        <v>7879</v>
      </c>
      <c r="D503" s="11" t="str">
        <f t="shared" si="1"/>
        <v>Abrir anúncio ↗</v>
      </c>
      <c r="E503" s="10" t="s">
        <v>6157</v>
      </c>
      <c r="F503" s="10" t="s">
        <v>29</v>
      </c>
      <c r="G503" s="12"/>
    </row>
    <row r="504" ht="15.75" customHeight="1">
      <c r="A504" s="10" t="s">
        <v>5984</v>
      </c>
      <c r="B504" s="12" t="s">
        <v>4677</v>
      </c>
      <c r="C504" s="10" t="s">
        <v>4676</v>
      </c>
      <c r="D504" s="11" t="str">
        <f t="shared" si="1"/>
        <v>Abrir anúncio ↗</v>
      </c>
      <c r="E504" s="10" t="s">
        <v>6171</v>
      </c>
      <c r="F504" s="10" t="s">
        <v>29</v>
      </c>
      <c r="G504" s="12"/>
    </row>
    <row r="505" ht="15.75" customHeight="1">
      <c r="A505" s="10" t="s">
        <v>5984</v>
      </c>
      <c r="B505" s="12" t="s">
        <v>4677</v>
      </c>
      <c r="C505" s="10" t="s">
        <v>7017</v>
      </c>
      <c r="D505" s="11" t="str">
        <f t="shared" si="1"/>
        <v>Abrir anúncio ↗</v>
      </c>
      <c r="E505" s="10" t="s">
        <v>6171</v>
      </c>
      <c r="F505" s="10" t="s">
        <v>29</v>
      </c>
      <c r="G505" s="12"/>
    </row>
    <row r="506" ht="15.75" customHeight="1">
      <c r="A506" s="10" t="s">
        <v>5984</v>
      </c>
      <c r="B506" s="12" t="s">
        <v>1618</v>
      </c>
      <c r="C506" s="10" t="s">
        <v>2908</v>
      </c>
      <c r="D506" s="11" t="str">
        <f t="shared" si="1"/>
        <v>Abrir anúncio ↗</v>
      </c>
      <c r="E506" s="10" t="s">
        <v>6171</v>
      </c>
      <c r="F506" s="10" t="s">
        <v>29</v>
      </c>
      <c r="G506" s="12"/>
    </row>
    <row r="507" ht="15.75" customHeight="1">
      <c r="A507" s="10" t="s">
        <v>5984</v>
      </c>
      <c r="B507" s="12" t="s">
        <v>1618</v>
      </c>
      <c r="C507" s="10" t="s">
        <v>1617</v>
      </c>
      <c r="D507" s="11" t="str">
        <f t="shared" si="1"/>
        <v>Abrir anúncio ↗</v>
      </c>
      <c r="E507" s="10" t="s">
        <v>6171</v>
      </c>
      <c r="F507" s="10" t="s">
        <v>29</v>
      </c>
      <c r="G507" s="12"/>
    </row>
    <row r="508" ht="15.75" customHeight="1">
      <c r="A508" s="10" t="s">
        <v>5984</v>
      </c>
      <c r="B508" s="12" t="s">
        <v>1622</v>
      </c>
      <c r="C508" s="10" t="s">
        <v>3085</v>
      </c>
      <c r="D508" s="11" t="str">
        <f t="shared" si="1"/>
        <v>Abrir anúncio ↗</v>
      </c>
      <c r="E508" s="10" t="s">
        <v>6171</v>
      </c>
      <c r="F508" s="10" t="s">
        <v>29</v>
      </c>
      <c r="G508" s="12"/>
    </row>
    <row r="509" ht="15.75" customHeight="1">
      <c r="A509" s="10" t="s">
        <v>5984</v>
      </c>
      <c r="B509" s="12" t="s">
        <v>1622</v>
      </c>
      <c r="C509" s="10" t="s">
        <v>1621</v>
      </c>
      <c r="D509" s="11" t="str">
        <f t="shared" si="1"/>
        <v>Abrir anúncio ↗</v>
      </c>
      <c r="E509" s="10" t="s">
        <v>6171</v>
      </c>
      <c r="F509" s="10" t="s">
        <v>29</v>
      </c>
      <c r="G509" s="12"/>
    </row>
    <row r="510" ht="15.75" customHeight="1">
      <c r="A510" s="10" t="s">
        <v>5984</v>
      </c>
      <c r="B510" s="12" t="s">
        <v>3174</v>
      </c>
      <c r="C510" s="10" t="s">
        <v>7885</v>
      </c>
      <c r="D510" s="11" t="str">
        <f t="shared" si="1"/>
        <v>Abrir anúncio ↗</v>
      </c>
      <c r="E510" s="10" t="s">
        <v>6157</v>
      </c>
      <c r="F510" s="10" t="s">
        <v>29</v>
      </c>
      <c r="G510" s="12"/>
    </row>
    <row r="511" ht="15.75" customHeight="1">
      <c r="A511" s="10" t="s">
        <v>5984</v>
      </c>
      <c r="B511" s="12" t="s">
        <v>3174</v>
      </c>
      <c r="C511" s="10" t="s">
        <v>3173</v>
      </c>
      <c r="D511" s="11" t="str">
        <f t="shared" si="1"/>
        <v>Abrir anúncio ↗</v>
      </c>
      <c r="E511" s="10" t="s">
        <v>6157</v>
      </c>
      <c r="F511" s="10" t="s">
        <v>29</v>
      </c>
      <c r="G511" s="12"/>
    </row>
    <row r="512" ht="15.75" customHeight="1">
      <c r="A512" s="10" t="s">
        <v>5984</v>
      </c>
      <c r="B512" s="12" t="s">
        <v>7889</v>
      </c>
      <c r="C512" s="10" t="s">
        <v>7891</v>
      </c>
      <c r="D512" s="11" t="str">
        <f t="shared" si="1"/>
        <v>Abrir anúncio ↗</v>
      </c>
      <c r="E512" s="10" t="s">
        <v>6157</v>
      </c>
      <c r="F512" s="10" t="s">
        <v>29</v>
      </c>
      <c r="G512" s="12"/>
    </row>
    <row r="513" ht="15.75" customHeight="1">
      <c r="A513" s="10" t="s">
        <v>5984</v>
      </c>
      <c r="B513" s="12" t="s">
        <v>7889</v>
      </c>
      <c r="C513" s="10" t="s">
        <v>7892</v>
      </c>
      <c r="D513" s="11" t="str">
        <f t="shared" si="1"/>
        <v>Abrir anúncio ↗</v>
      </c>
      <c r="E513" s="10" t="s">
        <v>6157</v>
      </c>
      <c r="F513" s="10" t="s">
        <v>29</v>
      </c>
      <c r="G513" s="12"/>
    </row>
    <row r="514" ht="15.75" customHeight="1">
      <c r="A514" s="10" t="s">
        <v>5984</v>
      </c>
      <c r="B514" s="12" t="s">
        <v>113</v>
      </c>
      <c r="C514" s="10" t="s">
        <v>111</v>
      </c>
      <c r="D514" s="11" t="str">
        <f t="shared" si="1"/>
        <v>Abrir anúncio ↗</v>
      </c>
      <c r="E514" s="10" t="s">
        <v>6157</v>
      </c>
      <c r="F514" s="10" t="s">
        <v>29</v>
      </c>
      <c r="G514" s="12"/>
    </row>
    <row r="515" ht="15.75" customHeight="1">
      <c r="A515" s="10" t="s">
        <v>5984</v>
      </c>
      <c r="B515" s="12" t="s">
        <v>113</v>
      </c>
      <c r="C515" s="10" t="s">
        <v>7897</v>
      </c>
      <c r="D515" s="11" t="str">
        <f t="shared" si="1"/>
        <v>Abrir anúncio ↗</v>
      </c>
      <c r="E515" s="10" t="s">
        <v>6157</v>
      </c>
      <c r="F515" s="10" t="s">
        <v>29</v>
      </c>
      <c r="G515" s="12"/>
    </row>
    <row r="516" ht="15.75" customHeight="1">
      <c r="A516" s="10" t="s">
        <v>5984</v>
      </c>
      <c r="B516" s="12" t="s">
        <v>7898</v>
      </c>
      <c r="C516" s="10" t="s">
        <v>7899</v>
      </c>
      <c r="D516" s="11" t="str">
        <f t="shared" si="1"/>
        <v>Abrir anúncio ↗</v>
      </c>
      <c r="E516" s="10" t="s">
        <v>6157</v>
      </c>
      <c r="F516" s="10" t="s">
        <v>29</v>
      </c>
      <c r="G516" s="12"/>
    </row>
    <row r="517" ht="15.75" customHeight="1">
      <c r="A517" s="10" t="s">
        <v>5984</v>
      </c>
      <c r="B517" s="12" t="s">
        <v>7898</v>
      </c>
      <c r="C517" s="10" t="s">
        <v>7902</v>
      </c>
      <c r="D517" s="11" t="str">
        <f t="shared" si="1"/>
        <v>Abrir anúncio ↗</v>
      </c>
      <c r="E517" s="10" t="s">
        <v>6157</v>
      </c>
      <c r="F517" s="10" t="s">
        <v>29</v>
      </c>
      <c r="G517" s="12"/>
    </row>
    <row r="518" ht="15.75" customHeight="1">
      <c r="A518" s="10" t="s">
        <v>5984</v>
      </c>
      <c r="B518" s="12" t="s">
        <v>7905</v>
      </c>
      <c r="C518" s="10" t="s">
        <v>7906</v>
      </c>
      <c r="D518" s="11" t="str">
        <f t="shared" si="1"/>
        <v>Abrir anúncio ↗</v>
      </c>
      <c r="E518" s="10" t="s">
        <v>6157</v>
      </c>
      <c r="F518" s="10" t="s">
        <v>29</v>
      </c>
      <c r="G518" s="12"/>
    </row>
    <row r="519" ht="15.75" customHeight="1">
      <c r="A519" s="10" t="s">
        <v>5984</v>
      </c>
      <c r="B519" s="12" t="s">
        <v>7905</v>
      </c>
      <c r="C519" s="10" t="s">
        <v>7908</v>
      </c>
      <c r="D519" s="11" t="str">
        <f t="shared" si="1"/>
        <v>Abrir anúncio ↗</v>
      </c>
      <c r="E519" s="10" t="s">
        <v>6157</v>
      </c>
      <c r="F519" s="10" t="s">
        <v>29</v>
      </c>
      <c r="G519" s="12"/>
    </row>
    <row r="520" ht="15.75" customHeight="1">
      <c r="A520" s="10" t="s">
        <v>5984</v>
      </c>
      <c r="B520" s="12" t="s">
        <v>7910</v>
      </c>
      <c r="C520" s="10" t="s">
        <v>7911</v>
      </c>
      <c r="D520" s="11" t="str">
        <f t="shared" si="1"/>
        <v>Abrir anúncio ↗</v>
      </c>
      <c r="E520" s="10" t="s">
        <v>6157</v>
      </c>
      <c r="F520" s="10" t="s">
        <v>29</v>
      </c>
      <c r="G520" s="12"/>
    </row>
    <row r="521" ht="15.75" customHeight="1">
      <c r="A521" s="10" t="s">
        <v>5984</v>
      </c>
      <c r="B521" s="12" t="s">
        <v>7910</v>
      </c>
      <c r="C521" s="10" t="s">
        <v>7914</v>
      </c>
      <c r="D521" s="11" t="str">
        <f t="shared" si="1"/>
        <v>Abrir anúncio ↗</v>
      </c>
      <c r="E521" s="10" t="s">
        <v>6157</v>
      </c>
      <c r="F521" s="10" t="s">
        <v>29</v>
      </c>
      <c r="G521" s="12"/>
    </row>
    <row r="522" ht="15.75" customHeight="1">
      <c r="A522" s="10" t="s">
        <v>5984</v>
      </c>
      <c r="B522" s="12" t="s">
        <v>7916</v>
      </c>
      <c r="C522" s="10" t="s">
        <v>7918</v>
      </c>
      <c r="D522" s="11" t="str">
        <f t="shared" si="1"/>
        <v>Abrir anúncio ↗</v>
      </c>
      <c r="E522" s="10" t="s">
        <v>6157</v>
      </c>
      <c r="F522" s="10" t="s">
        <v>29</v>
      </c>
      <c r="G522" s="12"/>
    </row>
    <row r="523" ht="15.75" customHeight="1">
      <c r="A523" s="10" t="s">
        <v>5984</v>
      </c>
      <c r="B523" s="12" t="s">
        <v>7916</v>
      </c>
      <c r="C523" s="10" t="s">
        <v>7919</v>
      </c>
      <c r="D523" s="11" t="str">
        <f t="shared" si="1"/>
        <v>Abrir anúncio ↗</v>
      </c>
      <c r="E523" s="10" t="s">
        <v>6157</v>
      </c>
      <c r="F523" s="10" t="s">
        <v>29</v>
      </c>
      <c r="G523" s="12"/>
    </row>
    <row r="524" ht="15.75" customHeight="1">
      <c r="A524" s="10" t="s">
        <v>5984</v>
      </c>
      <c r="B524" s="12" t="s">
        <v>7792</v>
      </c>
      <c r="C524" s="10" t="s">
        <v>7920</v>
      </c>
      <c r="D524" s="11" t="str">
        <f t="shared" si="1"/>
        <v>Abrir anúncio ↗</v>
      </c>
      <c r="E524" s="10" t="s">
        <v>6157</v>
      </c>
      <c r="F524" s="10" t="s">
        <v>29</v>
      </c>
      <c r="G524" s="12"/>
    </row>
    <row r="525" ht="15.75" customHeight="1">
      <c r="A525" s="10" t="s">
        <v>5984</v>
      </c>
      <c r="B525" s="12" t="s">
        <v>7792</v>
      </c>
      <c r="C525" s="10" t="s">
        <v>7791</v>
      </c>
      <c r="D525" s="11" t="str">
        <f t="shared" si="1"/>
        <v>Abrir anúncio ↗</v>
      </c>
      <c r="E525" s="10" t="s">
        <v>6157</v>
      </c>
      <c r="F525" s="10" t="s">
        <v>29</v>
      </c>
      <c r="G525" s="12"/>
    </row>
    <row r="526" ht="15.75" customHeight="1">
      <c r="A526" s="10" t="s">
        <v>5984</v>
      </c>
      <c r="B526" s="12" t="s">
        <v>958</v>
      </c>
      <c r="C526" s="10" t="s">
        <v>956</v>
      </c>
      <c r="D526" s="11" t="str">
        <f t="shared" si="1"/>
        <v>Abrir anúncio ↗</v>
      </c>
      <c r="E526" s="10" t="s">
        <v>6157</v>
      </c>
      <c r="F526" s="10" t="s">
        <v>29</v>
      </c>
      <c r="G526" s="12"/>
    </row>
    <row r="527" ht="15.75" customHeight="1">
      <c r="A527" s="10" t="s">
        <v>5984</v>
      </c>
      <c r="B527" s="12" t="s">
        <v>958</v>
      </c>
      <c r="C527" s="10" t="s">
        <v>1157</v>
      </c>
      <c r="D527" s="11" t="str">
        <f t="shared" si="1"/>
        <v>Abrir anúncio ↗</v>
      </c>
      <c r="E527" s="10" t="s">
        <v>6157</v>
      </c>
      <c r="F527" s="10" t="s">
        <v>86</v>
      </c>
      <c r="G527" s="12"/>
    </row>
    <row r="528" ht="15.75" customHeight="1">
      <c r="A528" s="10" t="s">
        <v>5984</v>
      </c>
      <c r="B528" s="12" t="s">
        <v>7927</v>
      </c>
      <c r="C528" s="10" t="s">
        <v>7928</v>
      </c>
      <c r="D528" s="11" t="str">
        <f t="shared" si="1"/>
        <v>Abrir anúncio ↗</v>
      </c>
      <c r="E528" s="10" t="s">
        <v>6157</v>
      </c>
      <c r="F528" s="10" t="s">
        <v>29</v>
      </c>
      <c r="G528" s="12"/>
    </row>
    <row r="529" ht="15.75" customHeight="1">
      <c r="A529" s="10" t="s">
        <v>5984</v>
      </c>
      <c r="B529" s="12" t="s">
        <v>7927</v>
      </c>
      <c r="C529" s="10" t="s">
        <v>7930</v>
      </c>
      <c r="D529" s="11" t="str">
        <f t="shared" si="1"/>
        <v>Abrir anúncio ↗</v>
      </c>
      <c r="E529" s="10" t="s">
        <v>6157</v>
      </c>
      <c r="F529" s="10" t="s">
        <v>29</v>
      </c>
      <c r="G529" s="12"/>
    </row>
    <row r="530" ht="15.75" customHeight="1">
      <c r="A530" s="10" t="s">
        <v>5984</v>
      </c>
      <c r="B530" s="12" t="s">
        <v>6819</v>
      </c>
      <c r="C530" s="10" t="s">
        <v>7933</v>
      </c>
      <c r="D530" s="11" t="str">
        <f t="shared" si="1"/>
        <v>Abrir anúncio ↗</v>
      </c>
      <c r="E530" s="10" t="s">
        <v>6157</v>
      </c>
      <c r="F530" s="10" t="s">
        <v>29</v>
      </c>
      <c r="G530" s="12"/>
    </row>
    <row r="531" ht="15.75" customHeight="1">
      <c r="A531" s="10" t="s">
        <v>5984</v>
      </c>
      <c r="B531" s="12" t="s">
        <v>6819</v>
      </c>
      <c r="C531" s="10" t="s">
        <v>6818</v>
      </c>
      <c r="D531" s="11" t="str">
        <f t="shared" si="1"/>
        <v>Abrir anúncio ↗</v>
      </c>
      <c r="E531" s="10" t="s">
        <v>6157</v>
      </c>
      <c r="F531" s="10" t="s">
        <v>29</v>
      </c>
      <c r="G531" s="12"/>
    </row>
    <row r="532" ht="15.75" customHeight="1">
      <c r="A532" s="10" t="s">
        <v>5984</v>
      </c>
      <c r="B532" s="12" t="s">
        <v>153</v>
      </c>
      <c r="C532" s="10" t="s">
        <v>151</v>
      </c>
      <c r="D532" s="11" t="str">
        <f t="shared" si="1"/>
        <v>Abrir anúncio ↗</v>
      </c>
      <c r="E532" s="10" t="s">
        <v>6171</v>
      </c>
      <c r="F532" s="10" t="s">
        <v>29</v>
      </c>
      <c r="G532" s="12"/>
    </row>
    <row r="533" ht="15.75" customHeight="1">
      <c r="A533" s="10" t="s">
        <v>5984</v>
      </c>
      <c r="B533" s="12" t="s">
        <v>153</v>
      </c>
      <c r="C533" s="10" t="s">
        <v>1102</v>
      </c>
      <c r="D533" s="11" t="str">
        <f t="shared" si="1"/>
        <v>Abrir anúncio ↗</v>
      </c>
      <c r="E533" s="10" t="s">
        <v>6171</v>
      </c>
      <c r="F533" s="10" t="s">
        <v>29</v>
      </c>
      <c r="G533" s="12"/>
    </row>
    <row r="534" ht="15.75" customHeight="1">
      <c r="A534" s="10" t="s">
        <v>5984</v>
      </c>
      <c r="B534" s="12" t="s">
        <v>5187</v>
      </c>
      <c r="C534" s="10" t="s">
        <v>5185</v>
      </c>
      <c r="D534" s="11" t="str">
        <f t="shared" si="1"/>
        <v>Abrir anúncio ↗</v>
      </c>
      <c r="E534" s="10" t="s">
        <v>6171</v>
      </c>
      <c r="F534" s="10" t="s">
        <v>29</v>
      </c>
      <c r="G534" s="12"/>
    </row>
    <row r="535" ht="15.75" customHeight="1">
      <c r="A535" s="10" t="s">
        <v>5984</v>
      </c>
      <c r="B535" s="12" t="s">
        <v>5187</v>
      </c>
      <c r="C535" s="10" t="s">
        <v>6718</v>
      </c>
      <c r="D535" s="11" t="str">
        <f t="shared" si="1"/>
        <v>Abrir anúncio ↗</v>
      </c>
      <c r="E535" s="10" t="s">
        <v>6171</v>
      </c>
      <c r="F535" s="10" t="s">
        <v>29</v>
      </c>
      <c r="G535" s="12"/>
    </row>
    <row r="536" ht="15.75" customHeight="1">
      <c r="A536" s="10" t="s">
        <v>5984</v>
      </c>
      <c r="B536" s="12" t="s">
        <v>7943</v>
      </c>
      <c r="C536" s="10" t="s">
        <v>7944</v>
      </c>
      <c r="D536" s="11" t="str">
        <f t="shared" si="1"/>
        <v>Abrir anúncio ↗</v>
      </c>
      <c r="E536" s="10" t="s">
        <v>6157</v>
      </c>
      <c r="F536" s="10" t="s">
        <v>29</v>
      </c>
      <c r="G536" s="12"/>
    </row>
    <row r="537" ht="15.75" customHeight="1">
      <c r="A537" s="10" t="s">
        <v>5984</v>
      </c>
      <c r="B537" s="12" t="s">
        <v>7943</v>
      </c>
      <c r="C537" s="10" t="s">
        <v>7948</v>
      </c>
      <c r="D537" s="11" t="str">
        <f t="shared" si="1"/>
        <v>Abrir anúncio ↗</v>
      </c>
      <c r="E537" s="10" t="s">
        <v>6157</v>
      </c>
      <c r="F537" s="10" t="s">
        <v>29</v>
      </c>
      <c r="G537" s="12"/>
    </row>
    <row r="538" ht="15.75" customHeight="1">
      <c r="A538" s="10" t="s">
        <v>5984</v>
      </c>
      <c r="B538" s="12" t="s">
        <v>2265</v>
      </c>
      <c r="C538" s="10" t="s">
        <v>2264</v>
      </c>
      <c r="D538" s="11" t="str">
        <f t="shared" si="1"/>
        <v>Abrir anúncio ↗</v>
      </c>
      <c r="E538" s="10" t="s">
        <v>6157</v>
      </c>
      <c r="F538" s="10" t="s">
        <v>29</v>
      </c>
      <c r="G538" s="12"/>
    </row>
    <row r="539" ht="15.75" customHeight="1">
      <c r="A539" s="10" t="s">
        <v>5984</v>
      </c>
      <c r="B539" s="12" t="s">
        <v>2265</v>
      </c>
      <c r="C539" s="10" t="s">
        <v>7952</v>
      </c>
      <c r="D539" s="11" t="str">
        <f t="shared" si="1"/>
        <v>Abrir anúncio ↗</v>
      </c>
      <c r="E539" s="10" t="s">
        <v>6157</v>
      </c>
      <c r="F539" s="10" t="s">
        <v>29</v>
      </c>
      <c r="G539" s="12"/>
    </row>
    <row r="540" ht="15.75" customHeight="1">
      <c r="A540" s="10" t="s">
        <v>5984</v>
      </c>
      <c r="B540" s="12" t="s">
        <v>2719</v>
      </c>
      <c r="C540" s="10" t="s">
        <v>2716</v>
      </c>
      <c r="D540" s="11" t="str">
        <f t="shared" si="1"/>
        <v>Abrir anúncio ↗</v>
      </c>
      <c r="E540" s="10" t="s">
        <v>6157</v>
      </c>
      <c r="F540" s="10" t="s">
        <v>29</v>
      </c>
      <c r="G540" s="12"/>
    </row>
    <row r="541" ht="15.75" customHeight="1">
      <c r="A541" s="10" t="s">
        <v>5984</v>
      </c>
      <c r="B541" s="12" t="s">
        <v>2719</v>
      </c>
      <c r="C541" s="10" t="s">
        <v>7956</v>
      </c>
      <c r="D541" s="11" t="str">
        <f t="shared" si="1"/>
        <v>Abrir anúncio ↗</v>
      </c>
      <c r="E541" s="10" t="s">
        <v>6157</v>
      </c>
      <c r="F541" s="10" t="s">
        <v>29</v>
      </c>
      <c r="G541" s="12"/>
    </row>
    <row r="542" ht="15.75" customHeight="1">
      <c r="A542" s="10" t="s">
        <v>5984</v>
      </c>
      <c r="B542" s="12" t="s">
        <v>3096</v>
      </c>
      <c r="C542" s="10" t="s">
        <v>3094</v>
      </c>
      <c r="D542" s="11" t="str">
        <f t="shared" si="1"/>
        <v>Abrir anúncio ↗</v>
      </c>
      <c r="E542" s="10" t="s">
        <v>6157</v>
      </c>
      <c r="F542" s="10" t="s">
        <v>29</v>
      </c>
      <c r="G542" s="12"/>
    </row>
    <row r="543" ht="15.75" customHeight="1">
      <c r="A543" s="10" t="s">
        <v>5984</v>
      </c>
      <c r="B543" s="12" t="s">
        <v>3096</v>
      </c>
      <c r="C543" s="10" t="s">
        <v>7960</v>
      </c>
      <c r="D543" s="11" t="str">
        <f t="shared" si="1"/>
        <v>Abrir anúncio ↗</v>
      </c>
      <c r="E543" s="10" t="s">
        <v>6157</v>
      </c>
      <c r="F543" s="10" t="s">
        <v>29</v>
      </c>
      <c r="G543" s="12"/>
    </row>
    <row r="544" ht="15.75" customHeight="1">
      <c r="A544" s="10" t="s">
        <v>5984</v>
      </c>
      <c r="B544" s="12" t="s">
        <v>3934</v>
      </c>
      <c r="C544" s="10" t="s">
        <v>5719</v>
      </c>
      <c r="D544" s="11" t="str">
        <f t="shared" si="1"/>
        <v>Abrir anúncio ↗</v>
      </c>
      <c r="E544" s="10" t="s">
        <v>6171</v>
      </c>
      <c r="F544" s="10" t="s">
        <v>29</v>
      </c>
      <c r="G544" s="12"/>
    </row>
    <row r="545" ht="15.75" customHeight="1">
      <c r="A545" s="10" t="s">
        <v>5984</v>
      </c>
      <c r="B545" s="12" t="s">
        <v>3934</v>
      </c>
      <c r="C545" s="10" t="s">
        <v>3932</v>
      </c>
      <c r="D545" s="11" t="str">
        <f t="shared" si="1"/>
        <v>Abrir anúncio ↗</v>
      </c>
      <c r="E545" s="10" t="s">
        <v>6171</v>
      </c>
      <c r="F545" s="10" t="s">
        <v>29</v>
      </c>
      <c r="G545" s="12"/>
    </row>
    <row r="546" ht="15.75" customHeight="1">
      <c r="A546" s="10" t="s">
        <v>5984</v>
      </c>
      <c r="B546" s="12" t="s">
        <v>377</v>
      </c>
      <c r="C546" s="10" t="s">
        <v>376</v>
      </c>
      <c r="D546" s="11" t="str">
        <f t="shared" si="1"/>
        <v>Abrir anúncio ↗</v>
      </c>
      <c r="E546" s="10" t="s">
        <v>6171</v>
      </c>
      <c r="F546" s="10" t="s">
        <v>29</v>
      </c>
      <c r="G546" s="12"/>
    </row>
    <row r="547" ht="15.75" customHeight="1">
      <c r="A547" s="10" t="s">
        <v>5984</v>
      </c>
      <c r="B547" s="12" t="s">
        <v>377</v>
      </c>
      <c r="C547" s="10" t="s">
        <v>2155</v>
      </c>
      <c r="D547" s="11" t="str">
        <f t="shared" si="1"/>
        <v>Abrir anúncio ↗</v>
      </c>
      <c r="E547" s="10" t="s">
        <v>6171</v>
      </c>
      <c r="F547" s="10" t="s">
        <v>29</v>
      </c>
      <c r="G547" s="12"/>
    </row>
    <row r="548" ht="15.75" customHeight="1">
      <c r="A548" s="10" t="s">
        <v>5984</v>
      </c>
      <c r="B548" s="12" t="s">
        <v>4034</v>
      </c>
      <c r="C548" s="10" t="s">
        <v>5760</v>
      </c>
      <c r="D548" s="11" t="str">
        <f t="shared" si="1"/>
        <v>Abrir anúncio ↗</v>
      </c>
      <c r="E548" s="10" t="s">
        <v>6171</v>
      </c>
      <c r="F548" s="10" t="s">
        <v>29</v>
      </c>
      <c r="G548" s="12"/>
    </row>
    <row r="549" ht="15.75" customHeight="1">
      <c r="A549" s="10" t="s">
        <v>5984</v>
      </c>
      <c r="B549" s="12" t="s">
        <v>4034</v>
      </c>
      <c r="C549" s="10" t="s">
        <v>4033</v>
      </c>
      <c r="D549" s="11" t="str">
        <f t="shared" si="1"/>
        <v>Abrir anúncio ↗</v>
      </c>
      <c r="E549" s="10" t="s">
        <v>6171</v>
      </c>
      <c r="F549" s="10" t="s">
        <v>29</v>
      </c>
      <c r="G549" s="12"/>
    </row>
    <row r="550" ht="15.75" customHeight="1">
      <c r="A550" s="10" t="s">
        <v>5984</v>
      </c>
      <c r="B550" s="12" t="s">
        <v>437</v>
      </c>
      <c r="C550" s="10" t="s">
        <v>435</v>
      </c>
      <c r="D550" s="11" t="str">
        <f t="shared" si="1"/>
        <v>Abrir anúncio ↗</v>
      </c>
      <c r="E550" s="10" t="s">
        <v>6171</v>
      </c>
      <c r="F550" s="10" t="s">
        <v>29</v>
      </c>
      <c r="G550" s="12"/>
    </row>
    <row r="551" ht="15.75" customHeight="1">
      <c r="A551" s="10" t="s">
        <v>5984</v>
      </c>
      <c r="B551" s="12" t="s">
        <v>437</v>
      </c>
      <c r="C551" s="10" t="s">
        <v>3469</v>
      </c>
      <c r="D551" s="11" t="str">
        <f t="shared" si="1"/>
        <v>Abrir anúncio ↗</v>
      </c>
      <c r="E551" s="10" t="s">
        <v>6171</v>
      </c>
      <c r="F551" s="10" t="s">
        <v>29</v>
      </c>
      <c r="G551" s="12"/>
    </row>
    <row r="552" ht="15.75" customHeight="1">
      <c r="A552" s="10" t="s">
        <v>5984</v>
      </c>
      <c r="B552" s="12" t="s">
        <v>1975</v>
      </c>
      <c r="C552" s="10" t="s">
        <v>5893</v>
      </c>
      <c r="D552" s="11" t="str">
        <f t="shared" si="1"/>
        <v>Abrir anúncio ↗</v>
      </c>
      <c r="E552" s="10" t="s">
        <v>6171</v>
      </c>
      <c r="F552" s="10" t="s">
        <v>29</v>
      </c>
      <c r="G552" s="12"/>
    </row>
    <row r="553" ht="15.75" customHeight="1">
      <c r="A553" s="10" t="s">
        <v>5984</v>
      </c>
      <c r="B553" s="12" t="s">
        <v>1975</v>
      </c>
      <c r="C553" s="10" t="s">
        <v>1973</v>
      </c>
      <c r="D553" s="11" t="str">
        <f t="shared" si="1"/>
        <v>Abrir anúncio ↗</v>
      </c>
      <c r="E553" s="10" t="s">
        <v>6171</v>
      </c>
      <c r="F553" s="10" t="s">
        <v>29</v>
      </c>
      <c r="G553" s="12"/>
    </row>
    <row r="554" ht="15.75" customHeight="1">
      <c r="A554" s="10" t="s">
        <v>5984</v>
      </c>
      <c r="B554" s="12" t="s">
        <v>789</v>
      </c>
      <c r="C554" s="10" t="s">
        <v>786</v>
      </c>
      <c r="D554" s="11" t="str">
        <f t="shared" si="1"/>
        <v>Abrir anúncio ↗</v>
      </c>
      <c r="E554" s="10" t="s">
        <v>6179</v>
      </c>
      <c r="F554" s="10" t="s">
        <v>29</v>
      </c>
      <c r="G554" s="12"/>
    </row>
    <row r="555" ht="15.75" customHeight="1">
      <c r="A555" s="10" t="s">
        <v>5984</v>
      </c>
      <c r="B555" s="12" t="s">
        <v>789</v>
      </c>
      <c r="C555" s="10" t="s">
        <v>798</v>
      </c>
      <c r="D555" s="11" t="str">
        <f t="shared" si="1"/>
        <v>Abrir anúncio ↗</v>
      </c>
      <c r="E555" s="10" t="s">
        <v>6179</v>
      </c>
      <c r="F555" s="10" t="s">
        <v>86</v>
      </c>
      <c r="G555" s="12"/>
    </row>
    <row r="556" ht="15.75" customHeight="1">
      <c r="A556" s="10" t="s">
        <v>5984</v>
      </c>
      <c r="B556" s="12" t="s">
        <v>3146</v>
      </c>
      <c r="C556" s="10" t="s">
        <v>6293</v>
      </c>
      <c r="D556" s="11" t="str">
        <f t="shared" si="1"/>
        <v>Abrir anúncio ↗</v>
      </c>
      <c r="E556" s="10" t="s">
        <v>6171</v>
      </c>
      <c r="F556" s="10" t="s">
        <v>29</v>
      </c>
      <c r="G556" s="12"/>
    </row>
    <row r="557" ht="15.75" customHeight="1">
      <c r="A557" s="10" t="s">
        <v>5984</v>
      </c>
      <c r="B557" s="12" t="s">
        <v>3146</v>
      </c>
      <c r="C557" s="10" t="s">
        <v>3144</v>
      </c>
      <c r="D557" s="11" t="str">
        <f t="shared" si="1"/>
        <v>Abrir anúncio ↗</v>
      </c>
      <c r="E557" s="10" t="s">
        <v>6171</v>
      </c>
      <c r="F557" s="10" t="s">
        <v>29</v>
      </c>
      <c r="G557" s="12"/>
    </row>
    <row r="558" ht="15.75" customHeight="1">
      <c r="A558" s="10" t="s">
        <v>5984</v>
      </c>
      <c r="B558" s="12" t="s">
        <v>833</v>
      </c>
      <c r="C558" s="10" t="s">
        <v>830</v>
      </c>
      <c r="D558" s="11" t="str">
        <f t="shared" si="1"/>
        <v>Abrir anúncio ↗</v>
      </c>
      <c r="E558" s="10" t="s">
        <v>6171</v>
      </c>
      <c r="F558" s="10" t="s">
        <v>29</v>
      </c>
      <c r="G558" s="12"/>
    </row>
    <row r="559" ht="15.75" customHeight="1">
      <c r="A559" s="10" t="s">
        <v>5984</v>
      </c>
      <c r="B559" s="12" t="s">
        <v>833</v>
      </c>
      <c r="C559" s="10" t="s">
        <v>6100</v>
      </c>
      <c r="D559" s="11" t="str">
        <f t="shared" si="1"/>
        <v>Abrir anúncio ↗</v>
      </c>
      <c r="E559" s="10" t="s">
        <v>6171</v>
      </c>
      <c r="F559" s="10" t="s">
        <v>29</v>
      </c>
      <c r="G559" s="12"/>
    </row>
    <row r="560" ht="15.75" customHeight="1">
      <c r="A560" s="10" t="s">
        <v>5984</v>
      </c>
      <c r="B560" s="12" t="s">
        <v>3729</v>
      </c>
      <c r="C560" s="10" t="s">
        <v>3727</v>
      </c>
      <c r="D560" s="11" t="str">
        <f t="shared" si="1"/>
        <v>Abrir anúncio ↗</v>
      </c>
      <c r="E560" s="10" t="s">
        <v>6171</v>
      </c>
      <c r="F560" s="10" t="s">
        <v>29</v>
      </c>
      <c r="G560" s="12"/>
    </row>
    <row r="561" ht="15.75" customHeight="1">
      <c r="A561" s="10" t="s">
        <v>5984</v>
      </c>
      <c r="B561" s="12" t="s">
        <v>3729</v>
      </c>
      <c r="C561" s="10" t="s">
        <v>5924</v>
      </c>
      <c r="D561" s="11" t="str">
        <f t="shared" si="1"/>
        <v>Abrir anúncio ↗</v>
      </c>
      <c r="E561" s="10" t="s">
        <v>6171</v>
      </c>
      <c r="F561" s="10" t="s">
        <v>29</v>
      </c>
      <c r="G561" s="12"/>
    </row>
    <row r="562" ht="15.75" customHeight="1">
      <c r="A562" s="10" t="s">
        <v>5984</v>
      </c>
      <c r="B562" s="12" t="s">
        <v>3743</v>
      </c>
      <c r="C562" s="10" t="s">
        <v>3741</v>
      </c>
      <c r="D562" s="11" t="str">
        <f t="shared" si="1"/>
        <v>Abrir anúncio ↗</v>
      </c>
      <c r="E562" s="10" t="s">
        <v>6171</v>
      </c>
      <c r="F562" s="10" t="s">
        <v>29</v>
      </c>
      <c r="G562" s="12"/>
    </row>
    <row r="563" ht="15.75" customHeight="1">
      <c r="A563" s="10" t="s">
        <v>5984</v>
      </c>
      <c r="B563" s="12" t="s">
        <v>3743</v>
      </c>
      <c r="C563" s="10" t="s">
        <v>6155</v>
      </c>
      <c r="D563" s="11" t="str">
        <f t="shared" si="1"/>
        <v>Abrir anúncio ↗</v>
      </c>
      <c r="E563" s="10" t="s">
        <v>6171</v>
      </c>
      <c r="F563" s="10" t="s">
        <v>29</v>
      </c>
      <c r="G563" s="12"/>
    </row>
    <row r="564" ht="15.75" customHeight="1">
      <c r="A564" s="10" t="s">
        <v>5984</v>
      </c>
      <c r="B564" s="12" t="s">
        <v>858</v>
      </c>
      <c r="C564" s="10" t="s">
        <v>857</v>
      </c>
      <c r="D564" s="11" t="str">
        <f t="shared" si="1"/>
        <v>Abrir anúncio ↗</v>
      </c>
      <c r="E564" s="10" t="s">
        <v>6171</v>
      </c>
      <c r="F564" s="10" t="s">
        <v>29</v>
      </c>
      <c r="G564" s="12"/>
    </row>
    <row r="565" ht="15.75" customHeight="1">
      <c r="A565" s="10" t="s">
        <v>5984</v>
      </c>
      <c r="B565" s="12" t="s">
        <v>858</v>
      </c>
      <c r="C565" s="10" t="s">
        <v>6095</v>
      </c>
      <c r="D565" s="11" t="str">
        <f t="shared" si="1"/>
        <v>Abrir anúncio ↗</v>
      </c>
      <c r="E565" s="10" t="s">
        <v>6171</v>
      </c>
      <c r="F565" s="10" t="s">
        <v>29</v>
      </c>
      <c r="G565" s="12"/>
    </row>
    <row r="566" ht="15.75" customHeight="1">
      <c r="A566" s="10" t="s">
        <v>5984</v>
      </c>
      <c r="B566" s="12" t="s">
        <v>3585</v>
      </c>
      <c r="C566" s="10" t="s">
        <v>6754</v>
      </c>
      <c r="D566" s="11" t="str">
        <f t="shared" si="1"/>
        <v>Abrir anúncio ↗</v>
      </c>
      <c r="E566" s="10" t="s">
        <v>6171</v>
      </c>
      <c r="F566" s="10" t="s">
        <v>29</v>
      </c>
      <c r="G566" s="12"/>
    </row>
    <row r="567" ht="15.75" customHeight="1">
      <c r="A567" s="10" t="s">
        <v>5984</v>
      </c>
      <c r="B567" s="12" t="s">
        <v>3585</v>
      </c>
      <c r="C567" s="10" t="s">
        <v>3583</v>
      </c>
      <c r="D567" s="11" t="str">
        <f t="shared" si="1"/>
        <v>Abrir anúncio ↗</v>
      </c>
      <c r="E567" s="10" t="s">
        <v>6171</v>
      </c>
      <c r="F567" s="10" t="s">
        <v>29</v>
      </c>
      <c r="G567" s="12"/>
    </row>
    <row r="568" ht="15.75" customHeight="1">
      <c r="A568" s="10" t="s">
        <v>5984</v>
      </c>
      <c r="B568" s="12" t="s">
        <v>6623</v>
      </c>
      <c r="C568" s="10" t="s">
        <v>6794</v>
      </c>
      <c r="D568" s="11" t="str">
        <f t="shared" si="1"/>
        <v>Abrir anúncio ↗</v>
      </c>
      <c r="E568" s="10" t="s">
        <v>6171</v>
      </c>
      <c r="F568" s="10" t="s">
        <v>29</v>
      </c>
      <c r="G568" s="12"/>
    </row>
    <row r="569" ht="15.75" customHeight="1">
      <c r="A569" s="10" t="s">
        <v>5984</v>
      </c>
      <c r="B569" s="12" t="s">
        <v>6623</v>
      </c>
      <c r="C569" s="10" t="s">
        <v>6622</v>
      </c>
      <c r="D569" s="11" t="str">
        <f t="shared" si="1"/>
        <v>Abrir anúncio ↗</v>
      </c>
      <c r="E569" s="10" t="s">
        <v>6171</v>
      </c>
      <c r="F569" s="10" t="s">
        <v>29</v>
      </c>
      <c r="G569" s="12"/>
    </row>
    <row r="570" ht="15.75" customHeight="1">
      <c r="A570" s="10" t="s">
        <v>5984</v>
      </c>
      <c r="B570" s="12" t="s">
        <v>688</v>
      </c>
      <c r="C570" s="10" t="s">
        <v>995</v>
      </c>
      <c r="D570" s="11" t="str">
        <f t="shared" si="1"/>
        <v>Abrir anúncio ↗</v>
      </c>
      <c r="E570" s="10" t="s">
        <v>6171</v>
      </c>
      <c r="F570" s="10" t="s">
        <v>29</v>
      </c>
      <c r="G570" s="12"/>
    </row>
    <row r="571" ht="15.75" customHeight="1">
      <c r="A571" s="10" t="s">
        <v>5984</v>
      </c>
      <c r="B571" s="12" t="s">
        <v>688</v>
      </c>
      <c r="C571" s="10" t="s">
        <v>685</v>
      </c>
      <c r="D571" s="11" t="str">
        <f t="shared" si="1"/>
        <v>Abrir anúncio ↗</v>
      </c>
      <c r="E571" s="10" t="s">
        <v>6171</v>
      </c>
      <c r="F571" s="10" t="s">
        <v>29</v>
      </c>
      <c r="G571" s="12"/>
    </row>
    <row r="572" ht="15.75" customHeight="1">
      <c r="A572" s="10" t="s">
        <v>5984</v>
      </c>
      <c r="B572" s="12" t="s">
        <v>84</v>
      </c>
      <c r="C572" s="10" t="s">
        <v>1066</v>
      </c>
      <c r="D572" s="11" t="str">
        <f t="shared" si="1"/>
        <v>Abrir anúncio ↗</v>
      </c>
      <c r="E572" s="10" t="s">
        <v>6171</v>
      </c>
      <c r="F572" s="10" t="s">
        <v>29</v>
      </c>
      <c r="G572" s="12"/>
    </row>
    <row r="573" ht="15.75" customHeight="1">
      <c r="A573" s="10" t="s">
        <v>5984</v>
      </c>
      <c r="B573" s="12" t="s">
        <v>84</v>
      </c>
      <c r="C573" s="10" t="s">
        <v>81</v>
      </c>
      <c r="D573" s="11" t="str">
        <f t="shared" si="1"/>
        <v>Abrir anúncio ↗</v>
      </c>
      <c r="E573" s="10" t="s">
        <v>6171</v>
      </c>
      <c r="F573" s="10" t="s">
        <v>29</v>
      </c>
      <c r="G573" s="12"/>
    </row>
    <row r="574" ht="15.75" customHeight="1">
      <c r="A574" s="10" t="s">
        <v>5984</v>
      </c>
      <c r="B574" s="12" t="s">
        <v>3998</v>
      </c>
      <c r="C574" s="10" t="s">
        <v>8011</v>
      </c>
      <c r="D574" s="11" t="str">
        <f t="shared" si="1"/>
        <v>Abrir anúncio ↗</v>
      </c>
      <c r="E574" s="10" t="s">
        <v>6157</v>
      </c>
      <c r="F574" s="10" t="s">
        <v>29</v>
      </c>
      <c r="G574" s="12"/>
    </row>
    <row r="575" ht="15.75" customHeight="1">
      <c r="A575" s="10" t="s">
        <v>5984</v>
      </c>
      <c r="B575" s="12" t="s">
        <v>3998</v>
      </c>
      <c r="C575" s="10" t="s">
        <v>3994</v>
      </c>
      <c r="D575" s="11" t="str">
        <f t="shared" si="1"/>
        <v>Abrir anúncio ↗</v>
      </c>
      <c r="E575" s="10" t="s">
        <v>6157</v>
      </c>
      <c r="F575" s="10" t="s">
        <v>29</v>
      </c>
      <c r="G575" s="12"/>
    </row>
    <row r="576" ht="15.75" customHeight="1">
      <c r="A576" s="10" t="s">
        <v>5984</v>
      </c>
      <c r="B576" s="12" t="s">
        <v>8016</v>
      </c>
      <c r="C576" s="10" t="s">
        <v>8017</v>
      </c>
      <c r="D576" s="11" t="str">
        <f t="shared" si="1"/>
        <v>Abrir anúncio ↗</v>
      </c>
      <c r="E576" s="10" t="s">
        <v>6157</v>
      </c>
      <c r="F576" s="10" t="s">
        <v>29</v>
      </c>
      <c r="G576" s="12"/>
    </row>
    <row r="577" ht="15.75" customHeight="1">
      <c r="A577" s="10" t="s">
        <v>5984</v>
      </c>
      <c r="B577" s="12" t="s">
        <v>8016</v>
      </c>
      <c r="C577" s="10" t="s">
        <v>8020</v>
      </c>
      <c r="D577" s="11" t="str">
        <f t="shared" si="1"/>
        <v>Abrir anúncio ↗</v>
      </c>
      <c r="E577" s="10" t="s">
        <v>6157</v>
      </c>
      <c r="F577" s="10" t="s">
        <v>29</v>
      </c>
      <c r="G577" s="12"/>
    </row>
    <row r="578" ht="15.75" customHeight="1">
      <c r="A578" s="10" t="s">
        <v>5984</v>
      </c>
      <c r="B578" s="12" t="s">
        <v>1393</v>
      </c>
      <c r="C578" s="10" t="s">
        <v>1391</v>
      </c>
      <c r="D578" s="11" t="str">
        <f t="shared" si="1"/>
        <v>Abrir anúncio ↗</v>
      </c>
      <c r="E578" s="10" t="s">
        <v>6171</v>
      </c>
      <c r="F578" s="10" t="s">
        <v>29</v>
      </c>
      <c r="G578" s="12"/>
    </row>
    <row r="579" ht="15.75" customHeight="1">
      <c r="A579" s="10" t="s">
        <v>5984</v>
      </c>
      <c r="B579" s="12" t="s">
        <v>1393</v>
      </c>
      <c r="C579" s="10" t="s">
        <v>3149</v>
      </c>
      <c r="D579" s="11" t="str">
        <f t="shared" si="1"/>
        <v>Abrir anúncio ↗</v>
      </c>
      <c r="E579" s="10" t="s">
        <v>6171</v>
      </c>
      <c r="F579" s="10" t="s">
        <v>29</v>
      </c>
      <c r="G579" s="12"/>
    </row>
    <row r="580" ht="15.75" customHeight="1">
      <c r="A580" s="10" t="s">
        <v>5984</v>
      </c>
      <c r="B580" s="12" t="s">
        <v>6888</v>
      </c>
      <c r="C580" s="10" t="s">
        <v>7201</v>
      </c>
      <c r="D580" s="11" t="str">
        <f t="shared" si="1"/>
        <v>Abrir anúncio ↗</v>
      </c>
      <c r="E580" s="10" t="s">
        <v>6171</v>
      </c>
      <c r="F580" s="10" t="s">
        <v>29</v>
      </c>
      <c r="G580" s="12"/>
    </row>
    <row r="581" ht="15.75" customHeight="1">
      <c r="A581" s="10" t="s">
        <v>5984</v>
      </c>
      <c r="B581" s="12" t="s">
        <v>6888</v>
      </c>
      <c r="C581" s="10" t="s">
        <v>6886</v>
      </c>
      <c r="D581" s="11" t="str">
        <f t="shared" si="1"/>
        <v>Abrir anúncio ↗</v>
      </c>
      <c r="E581" s="10" t="s">
        <v>6171</v>
      </c>
      <c r="F581" s="10" t="s">
        <v>29</v>
      </c>
      <c r="G581" s="12"/>
    </row>
    <row r="582" ht="15.75" customHeight="1">
      <c r="A582" s="10" t="s">
        <v>5984</v>
      </c>
      <c r="B582" s="12" t="s">
        <v>6725</v>
      </c>
      <c r="C582" s="10" t="s">
        <v>6724</v>
      </c>
      <c r="D582" s="11" t="str">
        <f t="shared" si="1"/>
        <v>Abrir anúncio ↗</v>
      </c>
      <c r="E582" s="10" t="s">
        <v>6157</v>
      </c>
      <c r="F582" s="10" t="s">
        <v>29</v>
      </c>
      <c r="G582" s="12"/>
    </row>
    <row r="583" ht="15.75" customHeight="1">
      <c r="A583" s="10" t="s">
        <v>5984</v>
      </c>
      <c r="B583" s="12" t="s">
        <v>6725</v>
      </c>
      <c r="C583" s="10" t="s">
        <v>8030</v>
      </c>
      <c r="D583" s="11" t="str">
        <f t="shared" si="1"/>
        <v>Abrir anúncio ↗</v>
      </c>
      <c r="E583" s="10" t="s">
        <v>6157</v>
      </c>
      <c r="F583" s="10" t="s">
        <v>29</v>
      </c>
      <c r="G583" s="12"/>
    </row>
    <row r="584" ht="15.75" customHeight="1">
      <c r="A584" s="10" t="s">
        <v>5984</v>
      </c>
      <c r="B584" s="12" t="s">
        <v>6804</v>
      </c>
      <c r="C584" s="10" t="s">
        <v>6803</v>
      </c>
      <c r="D584" s="11" t="str">
        <f t="shared" si="1"/>
        <v>Abrir anúncio ↗</v>
      </c>
      <c r="E584" s="10" t="s">
        <v>6157</v>
      </c>
      <c r="F584" s="10" t="s">
        <v>29</v>
      </c>
      <c r="G584" s="12"/>
    </row>
    <row r="585" ht="15.75" customHeight="1">
      <c r="A585" s="10" t="s">
        <v>5984</v>
      </c>
      <c r="B585" s="12" t="s">
        <v>6804</v>
      </c>
      <c r="C585" s="10" t="s">
        <v>8036</v>
      </c>
      <c r="D585" s="11" t="str">
        <f t="shared" si="1"/>
        <v>Abrir anúncio ↗</v>
      </c>
      <c r="E585" s="10" t="s">
        <v>6157</v>
      </c>
      <c r="F585" s="10" t="s">
        <v>29</v>
      </c>
      <c r="G585" s="12"/>
    </row>
    <row r="586" ht="15.75" customHeight="1">
      <c r="A586" s="10" t="s">
        <v>5984</v>
      </c>
      <c r="B586" s="12" t="s">
        <v>268</v>
      </c>
      <c r="C586" s="10" t="s">
        <v>6824</v>
      </c>
      <c r="D586" s="11" t="str">
        <f t="shared" si="1"/>
        <v>Abrir anúncio ↗</v>
      </c>
      <c r="E586" s="10" t="s">
        <v>6157</v>
      </c>
      <c r="F586" s="10" t="s">
        <v>29</v>
      </c>
      <c r="G586" s="12"/>
    </row>
    <row r="587" ht="15.75" customHeight="1">
      <c r="A587" s="10" t="s">
        <v>5984</v>
      </c>
      <c r="B587" s="12" t="s">
        <v>268</v>
      </c>
      <c r="C587" s="10" t="s">
        <v>266</v>
      </c>
      <c r="D587" s="11" t="str">
        <f t="shared" si="1"/>
        <v>Abrir anúncio ↗</v>
      </c>
      <c r="E587" s="10" t="s">
        <v>6157</v>
      </c>
      <c r="F587" s="10" t="s">
        <v>29</v>
      </c>
      <c r="G587" s="12"/>
    </row>
    <row r="588" ht="15.75" customHeight="1">
      <c r="A588" s="10" t="s">
        <v>5984</v>
      </c>
      <c r="B588" s="12" t="s">
        <v>7294</v>
      </c>
      <c r="C588" s="10" t="s">
        <v>7293</v>
      </c>
      <c r="D588" s="11" t="str">
        <f t="shared" si="1"/>
        <v>Abrir anúncio ↗</v>
      </c>
      <c r="E588" s="10" t="s">
        <v>6157</v>
      </c>
      <c r="F588" s="10" t="s">
        <v>29</v>
      </c>
      <c r="G588" s="12"/>
    </row>
    <row r="589" ht="15.75" customHeight="1">
      <c r="A589" s="10" t="s">
        <v>5984</v>
      </c>
      <c r="B589" s="12" t="s">
        <v>7294</v>
      </c>
      <c r="C589" s="10" t="s">
        <v>8042</v>
      </c>
      <c r="D589" s="11" t="str">
        <f t="shared" si="1"/>
        <v>Abrir anúncio ↗</v>
      </c>
      <c r="E589" s="10" t="s">
        <v>6157</v>
      </c>
      <c r="F589" s="10" t="s">
        <v>29</v>
      </c>
      <c r="G589" s="12"/>
    </row>
    <row r="590" ht="15.75" customHeight="1">
      <c r="A590" s="10" t="s">
        <v>5984</v>
      </c>
      <c r="B590" s="12" t="s">
        <v>4018</v>
      </c>
      <c r="C590" s="10" t="s">
        <v>8045</v>
      </c>
      <c r="D590" s="11" t="str">
        <f t="shared" si="1"/>
        <v>Abrir anúncio ↗</v>
      </c>
      <c r="E590" s="10" t="s">
        <v>6157</v>
      </c>
      <c r="F590" s="10" t="s">
        <v>29</v>
      </c>
      <c r="G590" s="12"/>
    </row>
    <row r="591" ht="15.75" customHeight="1">
      <c r="A591" s="10" t="s">
        <v>5984</v>
      </c>
      <c r="B591" s="12" t="s">
        <v>4018</v>
      </c>
      <c r="C591" s="10" t="s">
        <v>4015</v>
      </c>
      <c r="D591" s="11" t="str">
        <f t="shared" si="1"/>
        <v>Abrir anúncio ↗</v>
      </c>
      <c r="E591" s="10" t="s">
        <v>6157</v>
      </c>
      <c r="F591" s="10" t="s">
        <v>29</v>
      </c>
      <c r="G591" s="12"/>
    </row>
    <row r="592" ht="15.75" customHeight="1">
      <c r="A592" s="10" t="s">
        <v>5984</v>
      </c>
      <c r="B592" s="12" t="s">
        <v>5375</v>
      </c>
      <c r="C592" s="10" t="s">
        <v>7526</v>
      </c>
      <c r="D592" s="11" t="str">
        <f t="shared" si="1"/>
        <v>Abrir anúncio ↗</v>
      </c>
      <c r="E592" s="10" t="s">
        <v>6171</v>
      </c>
      <c r="F592" s="10" t="s">
        <v>29</v>
      </c>
      <c r="G592" s="12"/>
    </row>
    <row r="593" ht="15.75" customHeight="1">
      <c r="A593" s="10" t="s">
        <v>5984</v>
      </c>
      <c r="B593" s="12" t="s">
        <v>5375</v>
      </c>
      <c r="C593" s="10" t="s">
        <v>5373</v>
      </c>
      <c r="D593" s="11" t="str">
        <f t="shared" si="1"/>
        <v>Abrir anúncio ↗</v>
      </c>
      <c r="E593" s="10" t="s">
        <v>6171</v>
      </c>
      <c r="F593" s="10" t="s">
        <v>29</v>
      </c>
      <c r="G593" s="12"/>
    </row>
    <row r="594" ht="15.75" customHeight="1">
      <c r="A594" s="10" t="s">
        <v>5984</v>
      </c>
      <c r="B594" s="12" t="s">
        <v>7585</v>
      </c>
      <c r="C594" s="10" t="s">
        <v>7584</v>
      </c>
      <c r="D594" s="11" t="str">
        <f t="shared" si="1"/>
        <v>Abrir anúncio ↗</v>
      </c>
      <c r="E594" s="10" t="s">
        <v>6157</v>
      </c>
      <c r="F594" s="10" t="s">
        <v>29</v>
      </c>
      <c r="G594" s="12"/>
    </row>
    <row r="595" ht="15.75" customHeight="1">
      <c r="A595" s="10" t="s">
        <v>5984</v>
      </c>
      <c r="B595" s="12" t="s">
        <v>7585</v>
      </c>
      <c r="C595" s="10" t="s">
        <v>8054</v>
      </c>
      <c r="D595" s="11" t="str">
        <f t="shared" si="1"/>
        <v>Abrir anúncio ↗</v>
      </c>
      <c r="E595" s="10" t="s">
        <v>6157</v>
      </c>
      <c r="F595" s="10" t="s">
        <v>29</v>
      </c>
      <c r="G595" s="12"/>
    </row>
    <row r="596" ht="15.75" customHeight="1">
      <c r="A596" s="10" t="s">
        <v>5984</v>
      </c>
      <c r="B596" s="12" t="s">
        <v>8055</v>
      </c>
      <c r="C596" s="10" t="s">
        <v>8056</v>
      </c>
      <c r="D596" s="11" t="str">
        <f t="shared" si="1"/>
        <v>Abrir anúncio ↗</v>
      </c>
      <c r="E596" s="10" t="s">
        <v>6157</v>
      </c>
      <c r="F596" s="10" t="s">
        <v>29</v>
      </c>
      <c r="G596" s="12"/>
    </row>
    <row r="597" ht="15.75" customHeight="1">
      <c r="A597" s="10" t="s">
        <v>5984</v>
      </c>
      <c r="B597" s="12" t="s">
        <v>8055</v>
      </c>
      <c r="C597" s="10" t="s">
        <v>8059</v>
      </c>
      <c r="D597" s="11" t="str">
        <f t="shared" si="1"/>
        <v>Abrir anúncio ↗</v>
      </c>
      <c r="E597" s="10" t="s">
        <v>6157</v>
      </c>
      <c r="F597" s="10" t="s">
        <v>29</v>
      </c>
      <c r="G597" s="12"/>
    </row>
    <row r="598" ht="15.75" customHeight="1">
      <c r="A598" s="10" t="s">
        <v>5984</v>
      </c>
      <c r="B598" s="12" t="s">
        <v>7742</v>
      </c>
      <c r="C598" s="10" t="s">
        <v>7741</v>
      </c>
      <c r="D598" s="11" t="str">
        <f t="shared" si="1"/>
        <v>Abrir anúncio ↗</v>
      </c>
      <c r="E598" s="10" t="s">
        <v>6157</v>
      </c>
      <c r="F598" s="10" t="s">
        <v>29</v>
      </c>
      <c r="G598" s="12"/>
    </row>
    <row r="599" ht="15.75" customHeight="1">
      <c r="A599" s="10" t="s">
        <v>5984</v>
      </c>
      <c r="B599" s="12" t="s">
        <v>7742</v>
      </c>
      <c r="C599" s="10" t="s">
        <v>8062</v>
      </c>
      <c r="D599" s="11" t="str">
        <f t="shared" si="1"/>
        <v>Abrir anúncio ↗</v>
      </c>
      <c r="E599" s="10" t="s">
        <v>6157</v>
      </c>
      <c r="F599" s="10" t="s">
        <v>29</v>
      </c>
      <c r="G599" s="12"/>
    </row>
    <row r="600" ht="15.75" customHeight="1">
      <c r="A600" s="10" t="s">
        <v>5984</v>
      </c>
      <c r="B600" s="12" t="s">
        <v>6204</v>
      </c>
      <c r="C600" s="10" t="s">
        <v>7591</v>
      </c>
      <c r="D600" s="11" t="str">
        <f t="shared" si="1"/>
        <v>Abrir anúncio ↗</v>
      </c>
      <c r="E600" s="10" t="s">
        <v>6171</v>
      </c>
      <c r="F600" s="10" t="s">
        <v>29</v>
      </c>
      <c r="G600" s="12"/>
    </row>
    <row r="601" ht="15.75" customHeight="1">
      <c r="A601" s="10" t="s">
        <v>5984</v>
      </c>
      <c r="B601" s="12" t="s">
        <v>6204</v>
      </c>
      <c r="C601" s="10" t="s">
        <v>6202</v>
      </c>
      <c r="D601" s="11" t="str">
        <f t="shared" si="1"/>
        <v>Abrir anúncio ↗</v>
      </c>
      <c r="E601" s="10" t="s">
        <v>6171</v>
      </c>
      <c r="F601" s="10" t="s">
        <v>29</v>
      </c>
      <c r="G601" s="12"/>
    </row>
    <row r="602" ht="15.75" customHeight="1">
      <c r="A602" s="10" t="s">
        <v>5984</v>
      </c>
      <c r="B602" s="12" t="s">
        <v>3188</v>
      </c>
      <c r="C602" s="10" t="s">
        <v>4041</v>
      </c>
      <c r="D602" s="11" t="str">
        <f t="shared" si="1"/>
        <v>Abrir anúncio ↗</v>
      </c>
      <c r="E602" s="10" t="s">
        <v>6179</v>
      </c>
      <c r="F602" s="10" t="s">
        <v>29</v>
      </c>
      <c r="G602" s="12"/>
    </row>
    <row r="603" ht="15.75" customHeight="1">
      <c r="A603" s="10" t="s">
        <v>5984</v>
      </c>
      <c r="B603" s="12" t="s">
        <v>3188</v>
      </c>
      <c r="C603" s="10" t="s">
        <v>3186</v>
      </c>
      <c r="D603" s="11" t="str">
        <f t="shared" si="1"/>
        <v>Abrir anúncio ↗</v>
      </c>
      <c r="E603" s="10" t="s">
        <v>6179</v>
      </c>
      <c r="F603" s="10" t="s">
        <v>86</v>
      </c>
      <c r="G603" s="12"/>
    </row>
    <row r="604" ht="15.75" customHeight="1">
      <c r="A604" s="10" t="s">
        <v>5984</v>
      </c>
      <c r="B604" s="12" t="s">
        <v>727</v>
      </c>
      <c r="C604" s="10" t="s">
        <v>2525</v>
      </c>
      <c r="D604" s="11" t="str">
        <f t="shared" si="1"/>
        <v>Abrir anúncio ↗</v>
      </c>
      <c r="E604" s="10" t="s">
        <v>6171</v>
      </c>
      <c r="F604" s="10" t="s">
        <v>29</v>
      </c>
      <c r="G604" s="12"/>
    </row>
    <row r="605" ht="15.75" customHeight="1">
      <c r="A605" s="10" t="s">
        <v>5984</v>
      </c>
      <c r="B605" s="12" t="s">
        <v>727</v>
      </c>
      <c r="C605" s="10" t="s">
        <v>725</v>
      </c>
      <c r="D605" s="11" t="str">
        <f t="shared" si="1"/>
        <v>Abrir anúncio ↗</v>
      </c>
      <c r="E605" s="10" t="s">
        <v>6171</v>
      </c>
      <c r="F605" s="10" t="s">
        <v>29</v>
      </c>
      <c r="G605" s="12"/>
    </row>
    <row r="606" ht="15.75" customHeight="1">
      <c r="A606" s="10" t="s">
        <v>5984</v>
      </c>
      <c r="B606" s="12" t="s">
        <v>2560</v>
      </c>
      <c r="C606" s="10" t="s">
        <v>2556</v>
      </c>
      <c r="D606" s="11" t="str">
        <f t="shared" si="1"/>
        <v>Abrir anúncio ↗</v>
      </c>
      <c r="E606" s="10" t="s">
        <v>6171</v>
      </c>
      <c r="F606" s="10" t="s">
        <v>29</v>
      </c>
      <c r="G606" s="12"/>
    </row>
    <row r="607" ht="15.75" customHeight="1">
      <c r="A607" s="10" t="s">
        <v>5984</v>
      </c>
      <c r="B607" s="12" t="s">
        <v>2560</v>
      </c>
      <c r="C607" s="10" t="s">
        <v>2958</v>
      </c>
      <c r="D607" s="11" t="str">
        <f t="shared" si="1"/>
        <v>Abrir anúncio ↗</v>
      </c>
      <c r="E607" s="10" t="s">
        <v>6171</v>
      </c>
      <c r="F607" s="10" t="s">
        <v>29</v>
      </c>
      <c r="G607" s="12"/>
    </row>
    <row r="608" ht="15.75" customHeight="1">
      <c r="A608" s="10" t="s">
        <v>5984</v>
      </c>
      <c r="B608" s="12" t="s">
        <v>7015</v>
      </c>
      <c r="C608" s="10" t="s">
        <v>7612</v>
      </c>
      <c r="D608" s="11" t="str">
        <f t="shared" si="1"/>
        <v>Abrir anúncio ↗</v>
      </c>
      <c r="E608" s="10" t="s">
        <v>6171</v>
      </c>
      <c r="F608" s="10" t="s">
        <v>29</v>
      </c>
      <c r="G608" s="12"/>
    </row>
    <row r="609" ht="15.75" customHeight="1">
      <c r="A609" s="10" t="s">
        <v>5984</v>
      </c>
      <c r="B609" s="12" t="s">
        <v>7015</v>
      </c>
      <c r="C609" s="10" t="s">
        <v>7013</v>
      </c>
      <c r="D609" s="11" t="str">
        <f t="shared" si="1"/>
        <v>Abrir anúncio ↗</v>
      </c>
      <c r="E609" s="10" t="s">
        <v>6171</v>
      </c>
      <c r="F609" s="10" t="s">
        <v>29</v>
      </c>
      <c r="G609" s="12"/>
    </row>
    <row r="610" ht="15.75" customHeight="1">
      <c r="A610" s="10" t="s">
        <v>5984</v>
      </c>
      <c r="B610" s="12" t="s">
        <v>7476</v>
      </c>
      <c r="C610" s="10" t="s">
        <v>7618</v>
      </c>
      <c r="D610" s="11" t="str">
        <f t="shared" si="1"/>
        <v>Abrir anúncio ↗</v>
      </c>
      <c r="E610" s="10" t="s">
        <v>6171</v>
      </c>
      <c r="F610" s="10" t="s">
        <v>29</v>
      </c>
      <c r="G610" s="12"/>
    </row>
    <row r="611" ht="15.75" customHeight="1">
      <c r="A611" s="10" t="s">
        <v>5984</v>
      </c>
      <c r="B611" s="12" t="s">
        <v>7476</v>
      </c>
      <c r="C611" s="10" t="s">
        <v>7475</v>
      </c>
      <c r="D611" s="11" t="str">
        <f t="shared" si="1"/>
        <v>Abrir anúncio ↗</v>
      </c>
      <c r="E611" s="10" t="s">
        <v>6171</v>
      </c>
      <c r="F611" s="10" t="s">
        <v>29</v>
      </c>
      <c r="G611" s="12"/>
    </row>
    <row r="612" ht="15.75" customHeight="1">
      <c r="A612" s="10" t="s">
        <v>5984</v>
      </c>
      <c r="B612" s="12" t="s">
        <v>8081</v>
      </c>
      <c r="C612" s="10" t="s">
        <v>8082</v>
      </c>
      <c r="D612" s="11" t="str">
        <f t="shared" si="1"/>
        <v>Abrir anúncio ↗</v>
      </c>
      <c r="E612" s="10" t="s">
        <v>6157</v>
      </c>
      <c r="F612" s="10" t="s">
        <v>29</v>
      </c>
      <c r="G612" s="12"/>
    </row>
    <row r="613" ht="15.75" customHeight="1">
      <c r="A613" s="10" t="s">
        <v>5984</v>
      </c>
      <c r="B613" s="12" t="s">
        <v>8081</v>
      </c>
      <c r="C613" s="10" t="s">
        <v>8084</v>
      </c>
      <c r="D613" s="11" t="str">
        <f t="shared" si="1"/>
        <v>Abrir anúncio ↗</v>
      </c>
      <c r="E613" s="10" t="s">
        <v>6157</v>
      </c>
      <c r="F613" s="10" t="s">
        <v>29</v>
      </c>
      <c r="G613" s="12"/>
    </row>
    <row r="614" ht="15.75" customHeight="1">
      <c r="A614" s="10" t="s">
        <v>5984</v>
      </c>
      <c r="B614" s="12" t="s">
        <v>1610</v>
      </c>
      <c r="C614" s="10" t="s">
        <v>3045</v>
      </c>
      <c r="D614" s="11" t="str">
        <f t="shared" si="1"/>
        <v>Abrir anúncio ↗</v>
      </c>
      <c r="E614" s="10" t="s">
        <v>6171</v>
      </c>
      <c r="F614" s="10" t="s">
        <v>29</v>
      </c>
      <c r="G614" s="12"/>
    </row>
    <row r="615" ht="15.75" customHeight="1">
      <c r="A615" s="10" t="s">
        <v>5984</v>
      </c>
      <c r="B615" s="12" t="s">
        <v>1610</v>
      </c>
      <c r="C615" s="10" t="s">
        <v>1609</v>
      </c>
      <c r="D615" s="11" t="str">
        <f t="shared" si="1"/>
        <v>Abrir anúncio ↗</v>
      </c>
      <c r="E615" s="10" t="s">
        <v>6171</v>
      </c>
      <c r="F615" s="10" t="s">
        <v>29</v>
      </c>
      <c r="G615" s="12"/>
    </row>
    <row r="616" ht="15.75" customHeight="1">
      <c r="A616" s="10" t="s">
        <v>5984</v>
      </c>
      <c r="B616" s="12" t="s">
        <v>8091</v>
      </c>
      <c r="C616" s="10" t="s">
        <v>8093</v>
      </c>
      <c r="D616" s="11" t="str">
        <f t="shared" si="1"/>
        <v>Abrir anúncio ↗</v>
      </c>
      <c r="E616" s="10" t="s">
        <v>6157</v>
      </c>
      <c r="F616" s="10" t="s">
        <v>29</v>
      </c>
      <c r="G616" s="12"/>
    </row>
    <row r="617" ht="15.75" customHeight="1">
      <c r="A617" s="10" t="s">
        <v>5984</v>
      </c>
      <c r="B617" s="12" t="s">
        <v>8091</v>
      </c>
      <c r="C617" s="10" t="s">
        <v>8095</v>
      </c>
      <c r="D617" s="11" t="str">
        <f t="shared" si="1"/>
        <v>Abrir anúncio ↗</v>
      </c>
      <c r="E617" s="10" t="s">
        <v>6157</v>
      </c>
      <c r="F617" s="10" t="s">
        <v>29</v>
      </c>
      <c r="G617" s="12"/>
    </row>
    <row r="618" ht="15.75" customHeight="1">
      <c r="A618" s="10" t="s">
        <v>5984</v>
      </c>
      <c r="B618" s="12" t="s">
        <v>8096</v>
      </c>
      <c r="C618" s="10" t="s">
        <v>8097</v>
      </c>
      <c r="D618" s="11" t="str">
        <f t="shared" si="1"/>
        <v>Abrir anúncio ↗</v>
      </c>
      <c r="E618" s="10" t="s">
        <v>6157</v>
      </c>
      <c r="F618" s="10" t="s">
        <v>29</v>
      </c>
      <c r="G618" s="12"/>
    </row>
    <row r="619" ht="15.75" customHeight="1">
      <c r="A619" s="10" t="s">
        <v>5984</v>
      </c>
      <c r="B619" s="12" t="s">
        <v>8096</v>
      </c>
      <c r="C619" s="10" t="s">
        <v>8100</v>
      </c>
      <c r="D619" s="11" t="str">
        <f t="shared" si="1"/>
        <v>Abrir anúncio ↗</v>
      </c>
      <c r="E619" s="10" t="s">
        <v>6157</v>
      </c>
      <c r="F619" s="10" t="s">
        <v>29</v>
      </c>
      <c r="G619" s="12"/>
    </row>
    <row r="620" ht="15.75" customHeight="1">
      <c r="A620" s="10" t="s">
        <v>5984</v>
      </c>
      <c r="B620" s="12" t="s">
        <v>585</v>
      </c>
      <c r="C620" s="10" t="s">
        <v>3175</v>
      </c>
      <c r="D620" s="11" t="str">
        <f t="shared" si="1"/>
        <v>Abrir anúncio ↗</v>
      </c>
      <c r="E620" s="10" t="s">
        <v>6171</v>
      </c>
      <c r="F620" s="10" t="s">
        <v>29</v>
      </c>
      <c r="G620" s="12"/>
    </row>
    <row r="621" ht="15.75" customHeight="1">
      <c r="A621" s="10" t="s">
        <v>5984</v>
      </c>
      <c r="B621" s="12" t="s">
        <v>585</v>
      </c>
      <c r="C621" s="10" t="s">
        <v>582</v>
      </c>
      <c r="D621" s="11" t="str">
        <f t="shared" si="1"/>
        <v>Abrir anúncio ↗</v>
      </c>
      <c r="E621" s="10" t="s">
        <v>6171</v>
      </c>
      <c r="F621" s="10" t="s">
        <v>29</v>
      </c>
      <c r="G621" s="12"/>
    </row>
    <row r="622" ht="15.75" customHeight="1">
      <c r="A622" s="10" t="s">
        <v>5984</v>
      </c>
      <c r="B622" s="12" t="s">
        <v>8106</v>
      </c>
      <c r="C622" s="10" t="s">
        <v>8108</v>
      </c>
      <c r="D622" s="11" t="str">
        <f t="shared" si="1"/>
        <v>Abrir anúncio ↗</v>
      </c>
      <c r="E622" s="10" t="s">
        <v>6157</v>
      </c>
      <c r="F622" s="10" t="s">
        <v>29</v>
      </c>
      <c r="G622" s="12"/>
    </row>
    <row r="623" ht="15.75" customHeight="1">
      <c r="A623" s="10" t="s">
        <v>5984</v>
      </c>
      <c r="B623" s="12" t="s">
        <v>8106</v>
      </c>
      <c r="C623" s="10" t="s">
        <v>8110</v>
      </c>
      <c r="D623" s="11" t="str">
        <f t="shared" si="1"/>
        <v>Abrir anúncio ↗</v>
      </c>
      <c r="E623" s="10" t="s">
        <v>6157</v>
      </c>
      <c r="F623" s="10" t="s">
        <v>29</v>
      </c>
      <c r="G623" s="12"/>
    </row>
    <row r="624" ht="15.75" customHeight="1">
      <c r="A624" s="10" t="s">
        <v>5984</v>
      </c>
      <c r="B624" s="12" t="s">
        <v>8113</v>
      </c>
      <c r="C624" s="10" t="s">
        <v>8114</v>
      </c>
      <c r="D624" s="11" t="str">
        <f t="shared" si="1"/>
        <v>Abrir anúncio ↗</v>
      </c>
      <c r="E624" s="10" t="s">
        <v>6157</v>
      </c>
      <c r="F624" s="10" t="s">
        <v>29</v>
      </c>
      <c r="G624" s="12"/>
    </row>
    <row r="625" ht="15.75" customHeight="1">
      <c r="A625" s="10" t="s">
        <v>5984</v>
      </c>
      <c r="B625" s="12" t="s">
        <v>8113</v>
      </c>
      <c r="C625" s="10" t="s">
        <v>8117</v>
      </c>
      <c r="D625" s="11" t="str">
        <f t="shared" si="1"/>
        <v>Abrir anúncio ↗</v>
      </c>
      <c r="E625" s="10" t="s">
        <v>6157</v>
      </c>
      <c r="F625" s="10" t="s">
        <v>29</v>
      </c>
      <c r="G625" s="12"/>
    </row>
    <row r="626" ht="15.75" customHeight="1">
      <c r="A626" s="10" t="s">
        <v>5984</v>
      </c>
      <c r="B626" s="12" t="s">
        <v>8120</v>
      </c>
      <c r="C626" s="10" t="s">
        <v>8121</v>
      </c>
      <c r="D626" s="11" t="str">
        <f t="shared" si="1"/>
        <v>Abrir anúncio ↗</v>
      </c>
      <c r="E626" s="10" t="s">
        <v>6157</v>
      </c>
      <c r="F626" s="10" t="s">
        <v>29</v>
      </c>
      <c r="G626" s="12"/>
    </row>
    <row r="627" ht="15.75" customHeight="1">
      <c r="A627" s="10" t="s">
        <v>5984</v>
      </c>
      <c r="B627" s="12" t="s">
        <v>8120</v>
      </c>
      <c r="C627" s="10" t="s">
        <v>8124</v>
      </c>
      <c r="D627" s="11" t="str">
        <f t="shared" si="1"/>
        <v>Abrir anúncio ↗</v>
      </c>
      <c r="E627" s="10" t="s">
        <v>6157</v>
      </c>
      <c r="F627" s="10" t="s">
        <v>29</v>
      </c>
      <c r="G627" s="12"/>
    </row>
    <row r="628" ht="15.75" customHeight="1">
      <c r="A628" s="10" t="s">
        <v>5984</v>
      </c>
      <c r="B628" s="12" t="s">
        <v>8127</v>
      </c>
      <c r="C628" s="10" t="s">
        <v>8128</v>
      </c>
      <c r="D628" s="11" t="str">
        <f t="shared" si="1"/>
        <v>Abrir anúncio ↗</v>
      </c>
      <c r="E628" s="10" t="s">
        <v>6157</v>
      </c>
      <c r="F628" s="10" t="s">
        <v>29</v>
      </c>
      <c r="G628" s="12"/>
    </row>
    <row r="629" ht="15.75" customHeight="1">
      <c r="A629" s="10" t="s">
        <v>5984</v>
      </c>
      <c r="B629" s="12" t="s">
        <v>8127</v>
      </c>
      <c r="C629" s="10" t="s">
        <v>8131</v>
      </c>
      <c r="D629" s="11" t="str">
        <f t="shared" si="1"/>
        <v>Abrir anúncio ↗</v>
      </c>
      <c r="E629" s="10" t="s">
        <v>6157</v>
      </c>
      <c r="F629" s="10" t="s">
        <v>29</v>
      </c>
      <c r="G629" s="12"/>
    </row>
    <row r="630" ht="15.75" customHeight="1">
      <c r="A630" s="10" t="s">
        <v>5984</v>
      </c>
      <c r="B630" s="12" t="s">
        <v>5589</v>
      </c>
      <c r="C630" s="10" t="s">
        <v>8134</v>
      </c>
      <c r="D630" s="11" t="str">
        <f t="shared" si="1"/>
        <v>Abrir anúncio ↗</v>
      </c>
      <c r="E630" s="10" t="s">
        <v>6157</v>
      </c>
      <c r="F630" s="10" t="s">
        <v>29</v>
      </c>
      <c r="G630" s="12"/>
    </row>
    <row r="631" ht="15.75" customHeight="1">
      <c r="A631" s="10" t="s">
        <v>5984</v>
      </c>
      <c r="B631" s="12" t="s">
        <v>5589</v>
      </c>
      <c r="C631" s="10" t="s">
        <v>5586</v>
      </c>
      <c r="D631" s="11" t="str">
        <f t="shared" si="1"/>
        <v>Abrir anúncio ↗</v>
      </c>
      <c r="E631" s="10" t="s">
        <v>6157</v>
      </c>
      <c r="F631" s="10" t="s">
        <v>29</v>
      </c>
      <c r="G631" s="12"/>
    </row>
    <row r="632" ht="15.75" customHeight="1">
      <c r="A632" s="10" t="s">
        <v>5984</v>
      </c>
      <c r="B632" s="12" t="s">
        <v>8137</v>
      </c>
      <c r="C632" s="10" t="s">
        <v>8138</v>
      </c>
      <c r="D632" s="11" t="str">
        <f t="shared" si="1"/>
        <v>Abrir anúncio ↗</v>
      </c>
      <c r="E632" s="10" t="s">
        <v>6157</v>
      </c>
      <c r="F632" s="10" t="s">
        <v>29</v>
      </c>
      <c r="G632" s="12"/>
    </row>
    <row r="633" ht="15.75" customHeight="1">
      <c r="A633" s="10" t="s">
        <v>5984</v>
      </c>
      <c r="B633" s="12" t="s">
        <v>8137</v>
      </c>
      <c r="C633" s="10" t="s">
        <v>8142</v>
      </c>
      <c r="D633" s="11" t="str">
        <f t="shared" si="1"/>
        <v>Abrir anúncio ↗</v>
      </c>
      <c r="E633" s="10" t="s">
        <v>6157</v>
      </c>
      <c r="F633" s="10" t="s">
        <v>29</v>
      </c>
      <c r="G633" s="12"/>
    </row>
    <row r="634" ht="15.75" customHeight="1">
      <c r="A634" s="10" t="s">
        <v>5984</v>
      </c>
      <c r="B634" s="12" t="s">
        <v>7700</v>
      </c>
      <c r="C634" s="10" t="s">
        <v>8145</v>
      </c>
      <c r="D634" s="11" t="str">
        <f t="shared" si="1"/>
        <v>Abrir anúncio ↗</v>
      </c>
      <c r="E634" s="10" t="s">
        <v>6157</v>
      </c>
      <c r="F634" s="10" t="s">
        <v>29</v>
      </c>
      <c r="G634" s="12"/>
    </row>
    <row r="635" ht="15.75" customHeight="1">
      <c r="A635" s="10" t="s">
        <v>5984</v>
      </c>
      <c r="B635" s="12" t="s">
        <v>7700</v>
      </c>
      <c r="C635" s="10" t="s">
        <v>7697</v>
      </c>
      <c r="D635" s="11" t="str">
        <f t="shared" si="1"/>
        <v>Abrir anúncio ↗</v>
      </c>
      <c r="E635" s="10" t="s">
        <v>6157</v>
      </c>
      <c r="F635" s="10" t="s">
        <v>29</v>
      </c>
      <c r="G635" s="12"/>
    </row>
    <row r="636" ht="15.75" customHeight="1">
      <c r="A636" s="10" t="s">
        <v>5984</v>
      </c>
      <c r="B636" s="12" t="s">
        <v>573</v>
      </c>
      <c r="C636" s="10" t="s">
        <v>571</v>
      </c>
      <c r="D636" s="11" t="str">
        <f t="shared" si="1"/>
        <v>Abrir anúncio ↗</v>
      </c>
      <c r="E636" s="10" t="s">
        <v>6157</v>
      </c>
      <c r="F636" s="10" t="s">
        <v>29</v>
      </c>
      <c r="G636" s="12"/>
    </row>
    <row r="637" ht="15.75" customHeight="1">
      <c r="A637" s="10" t="s">
        <v>5984</v>
      </c>
      <c r="B637" s="12" t="s">
        <v>573</v>
      </c>
      <c r="C637" s="10" t="s">
        <v>622</v>
      </c>
      <c r="D637" s="11" t="str">
        <f t="shared" si="1"/>
        <v>Abrir anúncio ↗</v>
      </c>
      <c r="E637" s="10" t="s">
        <v>6157</v>
      </c>
      <c r="F637" s="10" t="s">
        <v>86</v>
      </c>
      <c r="G637" s="12"/>
    </row>
    <row r="638" ht="15.75" customHeight="1">
      <c r="A638" s="10" t="s">
        <v>5984</v>
      </c>
      <c r="B638" s="12" t="s">
        <v>8154</v>
      </c>
      <c r="C638" s="10" t="s">
        <v>8155</v>
      </c>
      <c r="D638" s="11" t="str">
        <f t="shared" si="1"/>
        <v>Abrir anúncio ↗</v>
      </c>
      <c r="E638" s="10" t="s">
        <v>6157</v>
      </c>
      <c r="F638" s="10" t="s">
        <v>29</v>
      </c>
      <c r="G638" s="12"/>
    </row>
    <row r="639" ht="15.75" customHeight="1">
      <c r="A639" s="10" t="s">
        <v>5984</v>
      </c>
      <c r="B639" s="12" t="s">
        <v>8154</v>
      </c>
      <c r="C639" s="10" t="s">
        <v>8158</v>
      </c>
      <c r="D639" s="11" t="str">
        <f t="shared" si="1"/>
        <v>Abrir anúncio ↗</v>
      </c>
      <c r="E639" s="10" t="s">
        <v>6157</v>
      </c>
      <c r="F639" s="10" t="s">
        <v>29</v>
      </c>
      <c r="G639" s="12"/>
    </row>
    <row r="640" ht="15.75" customHeight="1">
      <c r="A640" s="10" t="s">
        <v>5984</v>
      </c>
      <c r="B640" s="12" t="s">
        <v>8159</v>
      </c>
      <c r="C640" s="10" t="s">
        <v>8160</v>
      </c>
      <c r="D640" s="11" t="str">
        <f t="shared" si="1"/>
        <v>Abrir anúncio ↗</v>
      </c>
      <c r="E640" s="10" t="s">
        <v>6157</v>
      </c>
      <c r="F640" s="10" t="s">
        <v>29</v>
      </c>
      <c r="G640" s="12"/>
    </row>
    <row r="641" ht="15.75" customHeight="1">
      <c r="A641" s="10" t="s">
        <v>5984</v>
      </c>
      <c r="B641" s="12" t="s">
        <v>8159</v>
      </c>
      <c r="C641" s="10" t="s">
        <v>8163</v>
      </c>
      <c r="D641" s="11" t="str">
        <f t="shared" si="1"/>
        <v>Abrir anúncio ↗</v>
      </c>
      <c r="E641" s="10" t="s">
        <v>6157</v>
      </c>
      <c r="F641" s="10" t="s">
        <v>29</v>
      </c>
      <c r="G641" s="12"/>
    </row>
    <row r="642" ht="15.75" customHeight="1">
      <c r="A642" s="10" t="s">
        <v>5984</v>
      </c>
      <c r="B642" s="12" t="s">
        <v>7638</v>
      </c>
      <c r="C642" s="10" t="s">
        <v>8165</v>
      </c>
      <c r="D642" s="11" t="str">
        <f t="shared" si="1"/>
        <v>Abrir anúncio ↗</v>
      </c>
      <c r="E642" s="10" t="s">
        <v>6157</v>
      </c>
      <c r="F642" s="10" t="s">
        <v>29</v>
      </c>
      <c r="G642" s="12"/>
    </row>
    <row r="643" ht="15.75" customHeight="1">
      <c r="A643" s="10" t="s">
        <v>5984</v>
      </c>
      <c r="B643" s="12" t="s">
        <v>7638</v>
      </c>
      <c r="C643" s="10" t="s">
        <v>7637</v>
      </c>
      <c r="D643" s="11" t="str">
        <f t="shared" si="1"/>
        <v>Abrir anúncio ↗</v>
      </c>
      <c r="E643" s="10" t="s">
        <v>6157</v>
      </c>
      <c r="F643" s="10" t="s">
        <v>29</v>
      </c>
      <c r="G643" s="12"/>
    </row>
    <row r="644" ht="15.75" customHeight="1">
      <c r="A644" s="10" t="s">
        <v>5984</v>
      </c>
      <c r="B644" s="12" t="s">
        <v>7790</v>
      </c>
      <c r="C644" s="10" t="s">
        <v>8170</v>
      </c>
      <c r="D644" s="11" t="str">
        <f t="shared" si="1"/>
        <v>Abrir anúncio ↗</v>
      </c>
      <c r="E644" s="10" t="s">
        <v>6157</v>
      </c>
      <c r="F644" s="10" t="s">
        <v>29</v>
      </c>
      <c r="G644" s="12"/>
    </row>
    <row r="645" ht="15.75" customHeight="1">
      <c r="A645" s="10" t="s">
        <v>5984</v>
      </c>
      <c r="B645" s="12" t="s">
        <v>7790</v>
      </c>
      <c r="C645" s="10" t="s">
        <v>7789</v>
      </c>
      <c r="D645" s="11" t="str">
        <f t="shared" si="1"/>
        <v>Abrir anúncio ↗</v>
      </c>
      <c r="E645" s="10" t="s">
        <v>6157</v>
      </c>
      <c r="F645" s="10" t="s">
        <v>29</v>
      </c>
      <c r="G645" s="12"/>
    </row>
    <row r="646" ht="15.75" customHeight="1">
      <c r="A646" s="10" t="s">
        <v>5984</v>
      </c>
      <c r="B646" s="12" t="s">
        <v>8174</v>
      </c>
      <c r="C646" s="10" t="s">
        <v>8175</v>
      </c>
      <c r="D646" s="11" t="str">
        <f t="shared" si="1"/>
        <v>Abrir anúncio ↗</v>
      </c>
      <c r="E646" s="10" t="s">
        <v>6157</v>
      </c>
      <c r="F646" s="10" t="s">
        <v>29</v>
      </c>
      <c r="G646" s="12"/>
    </row>
    <row r="647" ht="15.75" customHeight="1">
      <c r="A647" s="10" t="s">
        <v>5984</v>
      </c>
      <c r="B647" s="12" t="s">
        <v>8174</v>
      </c>
      <c r="C647" s="10" t="s">
        <v>8178</v>
      </c>
      <c r="D647" s="11" t="str">
        <f t="shared" si="1"/>
        <v>Abrir anúncio ↗</v>
      </c>
      <c r="E647" s="10" t="s">
        <v>6157</v>
      </c>
      <c r="F647" s="10" t="s">
        <v>29</v>
      </c>
      <c r="G647" s="12"/>
    </row>
    <row r="648" ht="15.75" customHeight="1">
      <c r="A648" s="10" t="s">
        <v>5984</v>
      </c>
      <c r="B648" s="12" t="s">
        <v>7014</v>
      </c>
      <c r="C648" s="10" t="s">
        <v>8179</v>
      </c>
      <c r="D648" s="11" t="str">
        <f t="shared" si="1"/>
        <v>Abrir anúncio ↗</v>
      </c>
      <c r="E648" s="10" t="s">
        <v>6157</v>
      </c>
      <c r="F648" s="10" t="s">
        <v>29</v>
      </c>
      <c r="G648" s="12"/>
    </row>
    <row r="649" ht="15.75" customHeight="1">
      <c r="A649" s="10" t="s">
        <v>5984</v>
      </c>
      <c r="B649" s="12" t="s">
        <v>7014</v>
      </c>
      <c r="C649" s="10" t="s">
        <v>7012</v>
      </c>
      <c r="D649" s="11" t="str">
        <f t="shared" si="1"/>
        <v>Abrir anúncio ↗</v>
      </c>
      <c r="E649" s="10" t="s">
        <v>6157</v>
      </c>
      <c r="F649" s="10" t="s">
        <v>29</v>
      </c>
      <c r="G649" s="12"/>
    </row>
    <row r="650" ht="15.75" customHeight="1">
      <c r="A650" s="10" t="s">
        <v>5984</v>
      </c>
      <c r="B650" s="12" t="s">
        <v>8183</v>
      </c>
      <c r="C650" s="10" t="s">
        <v>8184</v>
      </c>
      <c r="D650" s="11" t="str">
        <f t="shared" si="1"/>
        <v>Abrir anúncio ↗</v>
      </c>
      <c r="E650" s="10" t="s">
        <v>6157</v>
      </c>
      <c r="F650" s="10" t="s">
        <v>29</v>
      </c>
      <c r="G650" s="12"/>
    </row>
    <row r="651" ht="15.75" customHeight="1">
      <c r="A651" s="10" t="s">
        <v>5984</v>
      </c>
      <c r="B651" s="12" t="s">
        <v>8183</v>
      </c>
      <c r="C651" s="10" t="s">
        <v>8186</v>
      </c>
      <c r="D651" s="11" t="str">
        <f t="shared" si="1"/>
        <v>Abrir anúncio ↗</v>
      </c>
      <c r="E651" s="10" t="s">
        <v>6157</v>
      </c>
      <c r="F651" s="10" t="s">
        <v>29</v>
      </c>
      <c r="G651" s="12"/>
    </row>
    <row r="652" ht="15.75" customHeight="1">
      <c r="A652" s="10" t="s">
        <v>5984</v>
      </c>
      <c r="B652" s="12" t="s">
        <v>886</v>
      </c>
      <c r="C652" s="10" t="s">
        <v>8189</v>
      </c>
      <c r="D652" s="11" t="str">
        <f t="shared" si="1"/>
        <v>Abrir anúncio ↗</v>
      </c>
      <c r="E652" s="10" t="s">
        <v>6157</v>
      </c>
      <c r="F652" s="10" t="s">
        <v>29</v>
      </c>
      <c r="G652" s="12"/>
    </row>
    <row r="653" ht="15.75" customHeight="1">
      <c r="A653" s="10" t="s">
        <v>5984</v>
      </c>
      <c r="B653" s="12" t="s">
        <v>886</v>
      </c>
      <c r="C653" s="10" t="s">
        <v>885</v>
      </c>
      <c r="D653" s="11" t="str">
        <f t="shared" si="1"/>
        <v>Abrir anúncio ↗</v>
      </c>
      <c r="E653" s="10" t="s">
        <v>6157</v>
      </c>
      <c r="F653" s="10" t="s">
        <v>29</v>
      </c>
      <c r="G653" s="12"/>
    </row>
    <row r="654" ht="15.75" customHeight="1">
      <c r="A654" s="10" t="s">
        <v>5984</v>
      </c>
      <c r="B654" s="12" t="s">
        <v>8192</v>
      </c>
      <c r="C654" s="10" t="s">
        <v>8193</v>
      </c>
      <c r="D654" s="11" t="str">
        <f t="shared" si="1"/>
        <v>Abrir anúncio ↗</v>
      </c>
      <c r="E654" s="10" t="s">
        <v>6157</v>
      </c>
      <c r="F654" s="10" t="s">
        <v>29</v>
      </c>
      <c r="G654" s="12"/>
    </row>
    <row r="655" ht="15.75" customHeight="1">
      <c r="A655" s="10" t="s">
        <v>5984</v>
      </c>
      <c r="B655" s="12" t="s">
        <v>8192</v>
      </c>
      <c r="C655" s="10" t="s">
        <v>8195</v>
      </c>
      <c r="D655" s="11" t="str">
        <f t="shared" si="1"/>
        <v>Abrir anúncio ↗</v>
      </c>
      <c r="E655" s="10" t="s">
        <v>6157</v>
      </c>
      <c r="F655" s="10" t="s">
        <v>29</v>
      </c>
      <c r="G655" s="12"/>
    </row>
    <row r="656" ht="15.75" customHeight="1">
      <c r="A656" s="10" t="s">
        <v>5984</v>
      </c>
      <c r="B656" s="12" t="s">
        <v>8197</v>
      </c>
      <c r="C656" s="10" t="s">
        <v>8198</v>
      </c>
      <c r="D656" s="11" t="str">
        <f t="shared" si="1"/>
        <v>Abrir anúncio ↗</v>
      </c>
      <c r="E656" s="10" t="s">
        <v>6157</v>
      </c>
      <c r="F656" s="10" t="s">
        <v>29</v>
      </c>
      <c r="G656" s="12"/>
    </row>
    <row r="657" ht="15.75" customHeight="1">
      <c r="A657" s="10" t="s">
        <v>5984</v>
      </c>
      <c r="B657" s="12" t="s">
        <v>8197</v>
      </c>
      <c r="C657" s="10" t="s">
        <v>8200</v>
      </c>
      <c r="D657" s="11" t="str">
        <f t="shared" si="1"/>
        <v>Abrir anúncio ↗</v>
      </c>
      <c r="E657" s="10" t="s">
        <v>6157</v>
      </c>
      <c r="F657" s="10" t="s">
        <v>29</v>
      </c>
      <c r="G657" s="12"/>
    </row>
    <row r="658" ht="15.75" customHeight="1">
      <c r="A658" s="10" t="s">
        <v>5984</v>
      </c>
      <c r="B658" s="12" t="s">
        <v>4224</v>
      </c>
      <c r="C658" s="10" t="s">
        <v>5190</v>
      </c>
      <c r="D658" s="11" t="str">
        <f t="shared" si="1"/>
        <v>Abrir anúncio ↗</v>
      </c>
      <c r="E658" s="10" t="s">
        <v>6171</v>
      </c>
      <c r="F658" s="10" t="s">
        <v>29</v>
      </c>
      <c r="G658" s="12"/>
    </row>
    <row r="659" ht="15.75" customHeight="1">
      <c r="A659" s="10" t="s">
        <v>5984</v>
      </c>
      <c r="B659" s="12" t="s">
        <v>4224</v>
      </c>
      <c r="C659" s="10" t="s">
        <v>4223</v>
      </c>
      <c r="D659" s="11" t="str">
        <f t="shared" si="1"/>
        <v>Abrir anúncio ↗</v>
      </c>
      <c r="E659" s="10" t="s">
        <v>6171</v>
      </c>
      <c r="F659" s="10" t="s">
        <v>29</v>
      </c>
      <c r="G659" s="12"/>
    </row>
    <row r="660" ht="15.75" customHeight="1">
      <c r="A660" s="10" t="s">
        <v>5984</v>
      </c>
      <c r="B660" s="12" t="s">
        <v>8205</v>
      </c>
      <c r="C660" s="10" t="s">
        <v>8206</v>
      </c>
      <c r="D660" s="11" t="str">
        <f t="shared" si="1"/>
        <v>Abrir anúncio ↗</v>
      </c>
      <c r="E660" s="10" t="s">
        <v>6157</v>
      </c>
      <c r="F660" s="10" t="s">
        <v>29</v>
      </c>
      <c r="G660" s="12"/>
    </row>
    <row r="661" ht="15.75" customHeight="1">
      <c r="A661" s="10" t="s">
        <v>5984</v>
      </c>
      <c r="B661" s="12" t="s">
        <v>8205</v>
      </c>
      <c r="C661" s="10" t="s">
        <v>8209</v>
      </c>
      <c r="D661" s="11" t="str">
        <f t="shared" si="1"/>
        <v>Abrir anúncio ↗</v>
      </c>
      <c r="E661" s="10" t="s">
        <v>6157</v>
      </c>
      <c r="F661" s="10" t="s">
        <v>86</v>
      </c>
      <c r="G661" s="12"/>
    </row>
    <row r="662" ht="15.75" customHeight="1">
      <c r="A662" s="10" t="s">
        <v>5984</v>
      </c>
      <c r="B662" s="12" t="s">
        <v>2847</v>
      </c>
      <c r="C662" s="10" t="s">
        <v>2845</v>
      </c>
      <c r="D662" s="11" t="str">
        <f t="shared" si="1"/>
        <v>Abrir anúncio ↗</v>
      </c>
      <c r="E662" s="10" t="s">
        <v>6157</v>
      </c>
      <c r="F662" s="10" t="s">
        <v>29</v>
      </c>
      <c r="G662" s="12"/>
    </row>
    <row r="663" ht="15.75" customHeight="1">
      <c r="A663" s="10" t="s">
        <v>5984</v>
      </c>
      <c r="B663" s="12" t="s">
        <v>2847</v>
      </c>
      <c r="C663" s="10" t="s">
        <v>7611</v>
      </c>
      <c r="D663" s="11" t="str">
        <f t="shared" si="1"/>
        <v>Abrir anúncio ↗</v>
      </c>
      <c r="E663" s="10" t="s">
        <v>6157</v>
      </c>
      <c r="F663" s="10" t="s">
        <v>29</v>
      </c>
      <c r="G663" s="12"/>
    </row>
    <row r="664" ht="15.75" customHeight="1">
      <c r="A664" s="10" t="s">
        <v>5984</v>
      </c>
      <c r="B664" s="12" t="s">
        <v>383</v>
      </c>
      <c r="C664" s="10" t="s">
        <v>382</v>
      </c>
      <c r="D664" s="11" t="str">
        <f t="shared" si="1"/>
        <v>Abrir anúncio ↗</v>
      </c>
      <c r="E664" s="10" t="s">
        <v>6171</v>
      </c>
      <c r="F664" s="10" t="s">
        <v>29</v>
      </c>
      <c r="G664" s="12"/>
    </row>
    <row r="665" ht="15.75" customHeight="1">
      <c r="A665" s="10" t="s">
        <v>5984</v>
      </c>
      <c r="B665" s="12" t="s">
        <v>383</v>
      </c>
      <c r="C665" s="10" t="s">
        <v>1042</v>
      </c>
      <c r="D665" s="11" t="str">
        <f t="shared" si="1"/>
        <v>Abrir anúncio ↗</v>
      </c>
      <c r="E665" s="10" t="s">
        <v>6171</v>
      </c>
      <c r="F665" s="10" t="s">
        <v>29</v>
      </c>
      <c r="G665" s="12"/>
    </row>
    <row r="666" ht="15.75" customHeight="1">
      <c r="A666" s="10" t="s">
        <v>5984</v>
      </c>
      <c r="B666" s="12" t="s">
        <v>948</v>
      </c>
      <c r="C666" s="10" t="s">
        <v>5787</v>
      </c>
      <c r="D666" s="11" t="str">
        <f t="shared" si="1"/>
        <v>Abrir anúncio ↗</v>
      </c>
      <c r="E666" s="10" t="s">
        <v>6171</v>
      </c>
      <c r="F666" s="10" t="s">
        <v>29</v>
      </c>
      <c r="G666" s="12"/>
    </row>
    <row r="667" ht="15.75" customHeight="1">
      <c r="A667" s="10" t="s">
        <v>5984</v>
      </c>
      <c r="B667" s="12" t="s">
        <v>948</v>
      </c>
      <c r="C667" s="10" t="s">
        <v>947</v>
      </c>
      <c r="D667" s="11" t="str">
        <f t="shared" si="1"/>
        <v>Abrir anúncio ↗</v>
      </c>
      <c r="E667" s="10" t="s">
        <v>6171</v>
      </c>
      <c r="F667" s="10" t="s">
        <v>29</v>
      </c>
      <c r="G667" s="12"/>
    </row>
    <row r="668" ht="15.75" customHeight="1">
      <c r="A668" s="10" t="s">
        <v>5984</v>
      </c>
      <c r="B668" s="12" t="s">
        <v>820</v>
      </c>
      <c r="C668" s="10" t="s">
        <v>6061</v>
      </c>
      <c r="D668" s="11" t="str">
        <f t="shared" si="1"/>
        <v>Abrir anúncio ↗</v>
      </c>
      <c r="E668" s="10" t="s">
        <v>6171</v>
      </c>
      <c r="F668" s="10" t="s">
        <v>29</v>
      </c>
      <c r="G668" s="12"/>
    </row>
    <row r="669" ht="15.75" customHeight="1">
      <c r="A669" s="10" t="s">
        <v>5984</v>
      </c>
      <c r="B669" s="12" t="s">
        <v>820</v>
      </c>
      <c r="C669" s="10" t="s">
        <v>818</v>
      </c>
      <c r="D669" s="11" t="str">
        <f t="shared" si="1"/>
        <v>Abrir anúncio ↗</v>
      </c>
      <c r="E669" s="10" t="s">
        <v>6171</v>
      </c>
      <c r="F669" s="10" t="s">
        <v>29</v>
      </c>
      <c r="G669" s="12"/>
    </row>
    <row r="670" ht="15.75" customHeight="1">
      <c r="A670" s="10" t="s">
        <v>5984</v>
      </c>
      <c r="B670" s="12" t="s">
        <v>826</v>
      </c>
      <c r="C670" s="10" t="s">
        <v>6065</v>
      </c>
      <c r="D670" s="11" t="str">
        <f t="shared" si="1"/>
        <v>Abrir anúncio ↗</v>
      </c>
      <c r="E670" s="10" t="s">
        <v>6171</v>
      </c>
      <c r="F670" s="10" t="s">
        <v>29</v>
      </c>
      <c r="G670" s="12"/>
    </row>
    <row r="671" ht="15.75" customHeight="1">
      <c r="A671" s="10" t="s">
        <v>5984</v>
      </c>
      <c r="B671" s="12" t="s">
        <v>826</v>
      </c>
      <c r="C671" s="10" t="s">
        <v>825</v>
      </c>
      <c r="D671" s="11" t="str">
        <f t="shared" si="1"/>
        <v>Abrir anúncio ↗</v>
      </c>
      <c r="E671" s="10" t="s">
        <v>6171</v>
      </c>
      <c r="F671" s="10" t="s">
        <v>29</v>
      </c>
      <c r="G671" s="12"/>
    </row>
    <row r="672" ht="15.75" customHeight="1">
      <c r="A672" s="10" t="s">
        <v>5984</v>
      </c>
      <c r="B672" s="12" t="s">
        <v>8222</v>
      </c>
      <c r="C672" s="10" t="s">
        <v>8223</v>
      </c>
      <c r="D672" s="11" t="str">
        <f t="shared" si="1"/>
        <v>Abrir anúncio ↗</v>
      </c>
      <c r="E672" s="10" t="s">
        <v>6157</v>
      </c>
      <c r="F672" s="10" t="s">
        <v>29</v>
      </c>
      <c r="G672" s="12"/>
    </row>
    <row r="673" ht="15.75" customHeight="1">
      <c r="A673" s="10" t="s">
        <v>5984</v>
      </c>
      <c r="B673" s="12" t="s">
        <v>8222</v>
      </c>
      <c r="C673" s="10" t="s">
        <v>8226</v>
      </c>
      <c r="D673" s="11" t="str">
        <f t="shared" si="1"/>
        <v>Abrir anúncio ↗</v>
      </c>
      <c r="E673" s="10" t="s">
        <v>6157</v>
      </c>
      <c r="F673" s="10" t="s">
        <v>29</v>
      </c>
      <c r="G673" s="12"/>
    </row>
    <row r="674" ht="15.75" customHeight="1">
      <c r="A674" s="10" t="s">
        <v>5984</v>
      </c>
      <c r="B674" s="12" t="s">
        <v>8227</v>
      </c>
      <c r="C674" s="10" t="s">
        <v>8229</v>
      </c>
      <c r="D674" s="11" t="str">
        <f t="shared" si="1"/>
        <v>Abrir anúncio ↗</v>
      </c>
      <c r="E674" s="10" t="s">
        <v>6157</v>
      </c>
      <c r="F674" s="10" t="s">
        <v>29</v>
      </c>
      <c r="G674" s="12"/>
    </row>
    <row r="675" ht="15.75" customHeight="1">
      <c r="A675" s="10" t="s">
        <v>5984</v>
      </c>
      <c r="B675" s="12" t="s">
        <v>8227</v>
      </c>
      <c r="C675" s="10" t="s">
        <v>8231</v>
      </c>
      <c r="D675" s="11" t="str">
        <f t="shared" si="1"/>
        <v>Abrir anúncio ↗</v>
      </c>
      <c r="E675" s="10" t="s">
        <v>6157</v>
      </c>
      <c r="F675" s="10" t="s">
        <v>29</v>
      </c>
      <c r="G675" s="12"/>
    </row>
    <row r="676" ht="15.75" customHeight="1">
      <c r="A676" s="10" t="s">
        <v>5984</v>
      </c>
      <c r="B676" s="12" t="s">
        <v>565</v>
      </c>
      <c r="C676" s="10" t="s">
        <v>564</v>
      </c>
      <c r="D676" s="11" t="str">
        <f t="shared" si="1"/>
        <v>Abrir anúncio ↗</v>
      </c>
      <c r="E676" s="10" t="s">
        <v>6171</v>
      </c>
      <c r="F676" s="10" t="s">
        <v>29</v>
      </c>
      <c r="G676" s="12"/>
    </row>
    <row r="677" ht="15.75" customHeight="1">
      <c r="A677" s="10" t="s">
        <v>5984</v>
      </c>
      <c r="B677" s="12" t="s">
        <v>565</v>
      </c>
      <c r="C677" s="10" t="s">
        <v>2865</v>
      </c>
      <c r="D677" s="11" t="str">
        <f t="shared" si="1"/>
        <v>Abrir anúncio ↗</v>
      </c>
      <c r="E677" s="10" t="s">
        <v>6171</v>
      </c>
      <c r="F677" s="10" t="s">
        <v>29</v>
      </c>
      <c r="G677" s="12"/>
    </row>
    <row r="678" ht="15.75" customHeight="1">
      <c r="A678" s="10" t="s">
        <v>5984</v>
      </c>
      <c r="B678" s="12" t="s">
        <v>6281</v>
      </c>
      <c r="C678" s="10" t="s">
        <v>6279</v>
      </c>
      <c r="D678" s="11" t="str">
        <f t="shared" si="1"/>
        <v>Abrir anúncio ↗</v>
      </c>
      <c r="E678" s="10" t="s">
        <v>6171</v>
      </c>
      <c r="F678" s="10" t="s">
        <v>29</v>
      </c>
      <c r="G678" s="12"/>
    </row>
    <row r="679" ht="15.75" customHeight="1">
      <c r="A679" s="10" t="s">
        <v>5984</v>
      </c>
      <c r="B679" s="12" t="s">
        <v>6281</v>
      </c>
      <c r="C679" s="10" t="s">
        <v>7538</v>
      </c>
      <c r="D679" s="11" t="str">
        <f t="shared" si="1"/>
        <v>Abrir anúncio ↗</v>
      </c>
      <c r="E679" s="10" t="s">
        <v>6171</v>
      </c>
      <c r="F679" s="10" t="s">
        <v>29</v>
      </c>
      <c r="G679" s="12"/>
    </row>
    <row r="680" ht="15.75" customHeight="1">
      <c r="A680" s="10" t="s">
        <v>5984</v>
      </c>
      <c r="B680" s="12" t="s">
        <v>3753</v>
      </c>
      <c r="C680" s="10" t="s">
        <v>3750</v>
      </c>
      <c r="D680" s="11" t="str">
        <f t="shared" si="1"/>
        <v>Abrir anúncio ↗</v>
      </c>
      <c r="E680" s="10" t="s">
        <v>6157</v>
      </c>
      <c r="F680" s="10" t="s">
        <v>29</v>
      </c>
      <c r="G680" s="12"/>
    </row>
    <row r="681" ht="15.75" customHeight="1">
      <c r="A681" s="10" t="s">
        <v>5984</v>
      </c>
      <c r="B681" s="12" t="s">
        <v>3753</v>
      </c>
      <c r="C681" s="10" t="s">
        <v>8242</v>
      </c>
      <c r="D681" s="11" t="str">
        <f t="shared" si="1"/>
        <v>Abrir anúncio ↗</v>
      </c>
      <c r="E681" s="10" t="s">
        <v>6157</v>
      </c>
      <c r="F681" s="10" t="s">
        <v>29</v>
      </c>
      <c r="G681" s="12"/>
    </row>
    <row r="682" ht="15.75" customHeight="1">
      <c r="A682" s="10" t="s">
        <v>5984</v>
      </c>
      <c r="B682" s="12" t="s">
        <v>7356</v>
      </c>
      <c r="C682" s="10" t="s">
        <v>8245</v>
      </c>
      <c r="D682" s="11" t="str">
        <f t="shared" si="1"/>
        <v>Abrir anúncio ↗</v>
      </c>
      <c r="E682" s="10" t="s">
        <v>6157</v>
      </c>
      <c r="F682" s="10" t="s">
        <v>29</v>
      </c>
      <c r="G682" s="12"/>
    </row>
    <row r="683" ht="15.75" customHeight="1">
      <c r="A683" s="10" t="s">
        <v>5984</v>
      </c>
      <c r="B683" s="12" t="s">
        <v>7356</v>
      </c>
      <c r="C683" s="10" t="s">
        <v>7354</v>
      </c>
      <c r="D683" s="11" t="str">
        <f t="shared" si="1"/>
        <v>Abrir anúncio ↗</v>
      </c>
      <c r="E683" s="10" t="s">
        <v>6157</v>
      </c>
      <c r="F683" s="10" t="s">
        <v>29</v>
      </c>
      <c r="G683" s="12"/>
    </row>
    <row r="684" ht="15.75" customHeight="1">
      <c r="A684" s="10" t="s">
        <v>5984</v>
      </c>
      <c r="B684" s="12" t="s">
        <v>3693</v>
      </c>
      <c r="C684" s="10" t="s">
        <v>3691</v>
      </c>
      <c r="D684" s="11" t="str">
        <f t="shared" si="1"/>
        <v>Abrir anúncio ↗</v>
      </c>
      <c r="E684" s="10" t="s">
        <v>6171</v>
      </c>
      <c r="F684" s="10" t="s">
        <v>29</v>
      </c>
      <c r="G684" s="12"/>
    </row>
    <row r="685" ht="15.75" customHeight="1">
      <c r="A685" s="10" t="s">
        <v>5984</v>
      </c>
      <c r="B685" s="12" t="s">
        <v>3693</v>
      </c>
      <c r="C685" s="10" t="s">
        <v>5912</v>
      </c>
      <c r="D685" s="11" t="str">
        <f t="shared" si="1"/>
        <v>Abrir anúncio ↗</v>
      </c>
      <c r="E685" s="10" t="s">
        <v>6171</v>
      </c>
      <c r="F685" s="10" t="s">
        <v>29</v>
      </c>
      <c r="G685" s="12"/>
    </row>
    <row r="686" ht="15.75" customHeight="1">
      <c r="A686" s="10" t="s">
        <v>5984</v>
      </c>
      <c r="B686" s="12" t="s">
        <v>8252</v>
      </c>
      <c r="C686" s="10" t="s">
        <v>8253</v>
      </c>
      <c r="D686" s="11" t="str">
        <f t="shared" si="1"/>
        <v>Abrir anúncio ↗</v>
      </c>
      <c r="E686" s="10" t="s">
        <v>6157</v>
      </c>
      <c r="F686" s="10" t="s">
        <v>29</v>
      </c>
      <c r="G686" s="12"/>
    </row>
    <row r="687" ht="15.75" customHeight="1">
      <c r="A687" s="10" t="s">
        <v>5984</v>
      </c>
      <c r="B687" s="12" t="s">
        <v>8252</v>
      </c>
      <c r="C687" s="10" t="s">
        <v>8255</v>
      </c>
      <c r="D687" s="11" t="str">
        <f t="shared" si="1"/>
        <v>Abrir anúncio ↗</v>
      </c>
      <c r="E687" s="10" t="s">
        <v>6157</v>
      </c>
      <c r="F687" s="10" t="s">
        <v>29</v>
      </c>
      <c r="G687" s="12"/>
    </row>
    <row r="688" ht="15.75" customHeight="1">
      <c r="A688" s="10" t="s">
        <v>5984</v>
      </c>
      <c r="B688" s="12" t="s">
        <v>6517</v>
      </c>
      <c r="C688" s="10" t="s">
        <v>6768</v>
      </c>
      <c r="D688" s="11" t="str">
        <f t="shared" si="1"/>
        <v>Abrir anúncio ↗</v>
      </c>
      <c r="E688" s="10" t="s">
        <v>6171</v>
      </c>
      <c r="F688" s="10" t="s">
        <v>29</v>
      </c>
      <c r="G688" s="12"/>
    </row>
    <row r="689" ht="15.75" customHeight="1">
      <c r="A689" s="10" t="s">
        <v>5984</v>
      </c>
      <c r="B689" s="12" t="s">
        <v>6517</v>
      </c>
      <c r="C689" s="10" t="s">
        <v>6516</v>
      </c>
      <c r="D689" s="11" t="str">
        <f t="shared" si="1"/>
        <v>Abrir anúncio ↗</v>
      </c>
      <c r="E689" s="10" t="s">
        <v>6171</v>
      </c>
      <c r="F689" s="10" t="s">
        <v>29</v>
      </c>
      <c r="G689" s="12"/>
    </row>
    <row r="690" ht="15.75" customHeight="1">
      <c r="A690" s="10" t="s">
        <v>5984</v>
      </c>
      <c r="B690" s="12" t="s">
        <v>6106</v>
      </c>
      <c r="C690" s="10" t="s">
        <v>6778</v>
      </c>
      <c r="D690" s="11" t="str">
        <f t="shared" si="1"/>
        <v>Abrir anúncio ↗</v>
      </c>
      <c r="E690" s="10" t="s">
        <v>6171</v>
      </c>
      <c r="F690" s="10" t="s">
        <v>29</v>
      </c>
      <c r="G690" s="12"/>
    </row>
    <row r="691" ht="15.75" customHeight="1">
      <c r="A691" s="10" t="s">
        <v>5984</v>
      </c>
      <c r="B691" s="12" t="s">
        <v>6106</v>
      </c>
      <c r="C691" s="10" t="s">
        <v>6105</v>
      </c>
      <c r="D691" s="11" t="str">
        <f t="shared" si="1"/>
        <v>Abrir anúncio ↗</v>
      </c>
      <c r="E691" s="10" t="s">
        <v>6171</v>
      </c>
      <c r="F691" s="10" t="s">
        <v>29</v>
      </c>
      <c r="G691" s="12"/>
    </row>
    <row r="692" ht="15.75" customHeight="1">
      <c r="A692" s="10" t="s">
        <v>5984</v>
      </c>
      <c r="B692" s="12" t="s">
        <v>6467</v>
      </c>
      <c r="C692" s="10" t="s">
        <v>6782</v>
      </c>
      <c r="D692" s="11" t="str">
        <f t="shared" si="1"/>
        <v>Abrir anúncio ↗</v>
      </c>
      <c r="E692" s="10" t="s">
        <v>6171</v>
      </c>
      <c r="F692" s="10" t="s">
        <v>29</v>
      </c>
      <c r="G692" s="12"/>
    </row>
    <row r="693" ht="15.75" customHeight="1">
      <c r="A693" s="10" t="s">
        <v>5984</v>
      </c>
      <c r="B693" s="12" t="s">
        <v>6467</v>
      </c>
      <c r="C693" s="10" t="s">
        <v>6466</v>
      </c>
      <c r="D693" s="11" t="str">
        <f t="shared" si="1"/>
        <v>Abrir anúncio ↗</v>
      </c>
      <c r="E693" s="10" t="s">
        <v>6171</v>
      </c>
      <c r="F693" s="10" t="s">
        <v>29</v>
      </c>
      <c r="G693" s="12"/>
    </row>
    <row r="694" ht="15.75" customHeight="1">
      <c r="A694" s="10" t="s">
        <v>5984</v>
      </c>
      <c r="B694" s="12" t="s">
        <v>797</v>
      </c>
      <c r="C694" s="10" t="s">
        <v>943</v>
      </c>
      <c r="D694" s="11" t="str">
        <f t="shared" si="1"/>
        <v>Abrir anúncio ↗</v>
      </c>
      <c r="E694" s="10" t="s">
        <v>6171</v>
      </c>
      <c r="F694" s="10" t="s">
        <v>29</v>
      </c>
      <c r="G694" s="12"/>
    </row>
    <row r="695" ht="15.75" customHeight="1">
      <c r="A695" s="10" t="s">
        <v>5984</v>
      </c>
      <c r="B695" s="12" t="s">
        <v>797</v>
      </c>
      <c r="C695" s="10" t="s">
        <v>796</v>
      </c>
      <c r="D695" s="11" t="str">
        <f t="shared" si="1"/>
        <v>Abrir anúncio ↗</v>
      </c>
      <c r="E695" s="10" t="s">
        <v>6171</v>
      </c>
      <c r="F695" s="10" t="s">
        <v>29</v>
      </c>
      <c r="G695" s="12"/>
    </row>
    <row r="696" ht="15.75" customHeight="1">
      <c r="A696" s="10" t="s">
        <v>5984</v>
      </c>
      <c r="B696" s="12" t="s">
        <v>5998</v>
      </c>
      <c r="C696" s="10" t="s">
        <v>6791</v>
      </c>
      <c r="D696" s="11" t="str">
        <f t="shared" si="1"/>
        <v>Abrir anúncio ↗</v>
      </c>
      <c r="E696" s="10" t="s">
        <v>6171</v>
      </c>
      <c r="F696" s="10" t="s">
        <v>29</v>
      </c>
      <c r="G696" s="12"/>
    </row>
    <row r="697" ht="15.75" customHeight="1">
      <c r="A697" s="10" t="s">
        <v>5984</v>
      </c>
      <c r="B697" s="12" t="s">
        <v>5998</v>
      </c>
      <c r="C697" s="10" t="s">
        <v>5997</v>
      </c>
      <c r="D697" s="11" t="str">
        <f t="shared" si="1"/>
        <v>Abrir anúncio ↗</v>
      </c>
      <c r="E697" s="10" t="s">
        <v>6171</v>
      </c>
      <c r="F697" s="10" t="s">
        <v>29</v>
      </c>
      <c r="G697" s="12"/>
    </row>
    <row r="698" ht="15.75" customHeight="1">
      <c r="A698" s="10" t="s">
        <v>5984</v>
      </c>
      <c r="B698" s="12" t="s">
        <v>8275</v>
      </c>
      <c r="C698" s="10" t="s">
        <v>8276</v>
      </c>
      <c r="D698" s="11" t="str">
        <f t="shared" si="1"/>
        <v>Abrir anúncio ↗</v>
      </c>
      <c r="E698" s="10" t="s">
        <v>6157</v>
      </c>
      <c r="F698" s="10" t="s">
        <v>29</v>
      </c>
      <c r="G698" s="12"/>
    </row>
    <row r="699" ht="15.75" customHeight="1">
      <c r="A699" s="10" t="s">
        <v>5984</v>
      </c>
      <c r="B699" s="12" t="s">
        <v>8275</v>
      </c>
      <c r="C699" s="10" t="s">
        <v>8279</v>
      </c>
      <c r="D699" s="11" t="str">
        <f t="shared" si="1"/>
        <v>Abrir anúncio ↗</v>
      </c>
      <c r="E699" s="10" t="s">
        <v>6157</v>
      </c>
      <c r="F699" s="10" t="s">
        <v>29</v>
      </c>
      <c r="G699" s="12"/>
    </row>
    <row r="700" ht="15.75" customHeight="1">
      <c r="A700" s="10" t="s">
        <v>5984</v>
      </c>
      <c r="B700" s="12" t="s">
        <v>6850</v>
      </c>
      <c r="C700" s="10" t="s">
        <v>6848</v>
      </c>
      <c r="D700" s="11" t="str">
        <f t="shared" si="1"/>
        <v>Abrir anúncio ↗</v>
      </c>
      <c r="E700" s="10" t="s">
        <v>6171</v>
      </c>
      <c r="F700" s="10" t="s">
        <v>29</v>
      </c>
      <c r="G700" s="12"/>
    </row>
    <row r="701" ht="15.75" customHeight="1">
      <c r="A701" s="10" t="s">
        <v>5984</v>
      </c>
      <c r="B701" s="12" t="s">
        <v>6850</v>
      </c>
      <c r="C701" s="10" t="s">
        <v>7234</v>
      </c>
      <c r="D701" s="11" t="str">
        <f t="shared" si="1"/>
        <v>Abrir anúncio ↗</v>
      </c>
      <c r="E701" s="10" t="s">
        <v>6171</v>
      </c>
      <c r="F701" s="10" t="s">
        <v>29</v>
      </c>
      <c r="G701" s="12"/>
    </row>
    <row r="702" ht="15.75" customHeight="1">
      <c r="A702" s="10" t="s">
        <v>5984</v>
      </c>
      <c r="B702" s="12" t="s">
        <v>6373</v>
      </c>
      <c r="C702" s="10" t="s">
        <v>6857</v>
      </c>
      <c r="D702" s="11" t="str">
        <f t="shared" si="1"/>
        <v>Abrir anúncio ↗</v>
      </c>
      <c r="E702" s="10" t="s">
        <v>6171</v>
      </c>
      <c r="F702" s="10" t="s">
        <v>29</v>
      </c>
      <c r="G702" s="12"/>
    </row>
    <row r="703" ht="15.75" customHeight="1">
      <c r="A703" s="10" t="s">
        <v>5984</v>
      </c>
      <c r="B703" s="12" t="s">
        <v>6373</v>
      </c>
      <c r="C703" s="10" t="s">
        <v>6370</v>
      </c>
      <c r="D703" s="11" t="str">
        <f t="shared" si="1"/>
        <v>Abrir anúncio ↗</v>
      </c>
      <c r="E703" s="10" t="s">
        <v>6171</v>
      </c>
      <c r="F703" s="10" t="s">
        <v>29</v>
      </c>
      <c r="G703" s="12"/>
    </row>
    <row r="704" ht="15.75" customHeight="1">
      <c r="A704" s="10" t="s">
        <v>5984</v>
      </c>
      <c r="B704" s="12" t="s">
        <v>8288</v>
      </c>
      <c r="C704" s="10" t="s">
        <v>8290</v>
      </c>
      <c r="D704" s="11" t="str">
        <f t="shared" si="1"/>
        <v>Abrir anúncio ↗</v>
      </c>
      <c r="E704" s="10" t="s">
        <v>6157</v>
      </c>
      <c r="F704" s="10" t="s">
        <v>29</v>
      </c>
      <c r="G704" s="12"/>
    </row>
    <row r="705" ht="15.75" customHeight="1">
      <c r="A705" s="10" t="s">
        <v>5984</v>
      </c>
      <c r="B705" s="12" t="s">
        <v>8288</v>
      </c>
      <c r="C705" s="10" t="s">
        <v>8292</v>
      </c>
      <c r="D705" s="11" t="str">
        <f t="shared" si="1"/>
        <v>Abrir anúncio ↗</v>
      </c>
      <c r="E705" s="10" t="s">
        <v>6157</v>
      </c>
      <c r="F705" s="10" t="s">
        <v>29</v>
      </c>
      <c r="G705" s="12"/>
    </row>
    <row r="706" ht="15.75" customHeight="1">
      <c r="A706" s="10" t="s">
        <v>5984</v>
      </c>
      <c r="B706" s="12" t="s">
        <v>8295</v>
      </c>
      <c r="C706" s="10" t="s">
        <v>8296</v>
      </c>
      <c r="D706" s="11" t="str">
        <f t="shared" si="1"/>
        <v>Abrir anúncio ↗</v>
      </c>
      <c r="E706" s="10" t="s">
        <v>6157</v>
      </c>
      <c r="F706" s="10" t="s">
        <v>29</v>
      </c>
      <c r="G706" s="12"/>
    </row>
    <row r="707" ht="15.75" customHeight="1">
      <c r="A707" s="10" t="s">
        <v>5984</v>
      </c>
      <c r="B707" s="12" t="s">
        <v>8295</v>
      </c>
      <c r="C707" s="10" t="s">
        <v>8298</v>
      </c>
      <c r="D707" s="11" t="str">
        <f t="shared" si="1"/>
        <v>Abrir anúncio ↗</v>
      </c>
      <c r="E707" s="10" t="s">
        <v>6157</v>
      </c>
      <c r="F707" s="10" t="s">
        <v>29</v>
      </c>
      <c r="G707" s="12"/>
    </row>
    <row r="708" ht="15.75" customHeight="1">
      <c r="A708" s="10" t="s">
        <v>5984</v>
      </c>
      <c r="B708" s="12" t="s">
        <v>3922</v>
      </c>
      <c r="C708" s="10" t="s">
        <v>3920</v>
      </c>
      <c r="D708" s="11" t="str">
        <f t="shared" si="1"/>
        <v>Abrir anúncio ↗</v>
      </c>
      <c r="E708" s="10" t="s">
        <v>6171</v>
      </c>
      <c r="F708" s="10" t="s">
        <v>29</v>
      </c>
      <c r="G708" s="12"/>
    </row>
    <row r="709" ht="15.75" customHeight="1">
      <c r="A709" s="10" t="s">
        <v>5984</v>
      </c>
      <c r="B709" s="12" t="s">
        <v>3922</v>
      </c>
      <c r="C709" s="10" t="s">
        <v>5732</v>
      </c>
      <c r="D709" s="11" t="str">
        <f t="shared" si="1"/>
        <v>Abrir anúncio ↗</v>
      </c>
      <c r="E709" s="10" t="s">
        <v>6171</v>
      </c>
      <c r="F709" s="10" t="s">
        <v>29</v>
      </c>
      <c r="G709" s="12"/>
    </row>
    <row r="710" ht="15.75" customHeight="1">
      <c r="A710" s="10" t="s">
        <v>5984</v>
      </c>
      <c r="B710" s="12" t="s">
        <v>8304</v>
      </c>
      <c r="C710" s="10" t="s">
        <v>8305</v>
      </c>
      <c r="D710" s="11" t="str">
        <f t="shared" si="1"/>
        <v>Abrir anúncio ↗</v>
      </c>
      <c r="E710" s="10" t="s">
        <v>6157</v>
      </c>
      <c r="F710" s="10" t="s">
        <v>29</v>
      </c>
      <c r="G710" s="12"/>
    </row>
    <row r="711" ht="15.75" customHeight="1">
      <c r="A711" s="10" t="s">
        <v>5984</v>
      </c>
      <c r="B711" s="12" t="s">
        <v>8304</v>
      </c>
      <c r="C711" s="10" t="s">
        <v>8306</v>
      </c>
      <c r="D711" s="11" t="str">
        <f t="shared" si="1"/>
        <v>Abrir anúncio ↗</v>
      </c>
      <c r="E711" s="10" t="s">
        <v>6157</v>
      </c>
      <c r="F711" s="10" t="s">
        <v>29</v>
      </c>
      <c r="G711" s="12"/>
    </row>
    <row r="712" ht="15.75" customHeight="1">
      <c r="A712" s="10" t="s">
        <v>5984</v>
      </c>
      <c r="B712" s="12" t="s">
        <v>8309</v>
      </c>
      <c r="C712" s="10" t="s">
        <v>8310</v>
      </c>
      <c r="D712" s="11" t="str">
        <f t="shared" si="1"/>
        <v>Abrir anúncio ↗</v>
      </c>
      <c r="E712" s="10" t="s">
        <v>6157</v>
      </c>
      <c r="F712" s="10" t="s">
        <v>29</v>
      </c>
      <c r="G712" s="12"/>
    </row>
    <row r="713" ht="15.75" customHeight="1">
      <c r="A713" s="10" t="s">
        <v>5984</v>
      </c>
      <c r="B713" s="12" t="s">
        <v>8309</v>
      </c>
      <c r="C713" s="10" t="s">
        <v>8312</v>
      </c>
      <c r="D713" s="11" t="str">
        <f t="shared" si="1"/>
        <v>Abrir anúncio ↗</v>
      </c>
      <c r="E713" s="10" t="s">
        <v>6157</v>
      </c>
      <c r="F713" s="10" t="s">
        <v>29</v>
      </c>
      <c r="G713" s="12"/>
    </row>
    <row r="714" ht="15.75" customHeight="1">
      <c r="A714" s="10" t="s">
        <v>5984</v>
      </c>
      <c r="B714" s="12" t="s">
        <v>8314</v>
      </c>
      <c r="C714" s="10" t="s">
        <v>8315</v>
      </c>
      <c r="D714" s="11" t="str">
        <f t="shared" si="1"/>
        <v>Abrir anúncio ↗</v>
      </c>
      <c r="E714" s="10" t="s">
        <v>6157</v>
      </c>
      <c r="F714" s="10" t="s">
        <v>29</v>
      </c>
      <c r="G714" s="12"/>
    </row>
    <row r="715" ht="15.75" customHeight="1">
      <c r="A715" s="10" t="s">
        <v>5984</v>
      </c>
      <c r="B715" s="12" t="s">
        <v>8314</v>
      </c>
      <c r="C715" s="10" t="s">
        <v>8318</v>
      </c>
      <c r="D715" s="11" t="str">
        <f t="shared" si="1"/>
        <v>Abrir anúncio ↗</v>
      </c>
      <c r="E715" s="10" t="s">
        <v>6157</v>
      </c>
      <c r="F715" s="10" t="s">
        <v>29</v>
      </c>
      <c r="G715" s="12"/>
    </row>
    <row r="716" ht="15.75" customHeight="1">
      <c r="A716" s="10" t="s">
        <v>5984</v>
      </c>
      <c r="B716" s="12" t="s">
        <v>7043</v>
      </c>
      <c r="C716" s="10" t="s">
        <v>7207</v>
      </c>
      <c r="D716" s="11" t="str">
        <f t="shared" si="1"/>
        <v>Abrir anúncio ↗</v>
      </c>
      <c r="E716" s="10" t="s">
        <v>6171</v>
      </c>
      <c r="F716" s="10" t="s">
        <v>29</v>
      </c>
      <c r="G716" s="12"/>
    </row>
    <row r="717" ht="15.75" customHeight="1">
      <c r="A717" s="10" t="s">
        <v>5984</v>
      </c>
      <c r="B717" s="12" t="s">
        <v>7043</v>
      </c>
      <c r="C717" s="10" t="s">
        <v>7042</v>
      </c>
      <c r="D717" s="11" t="str">
        <f t="shared" si="1"/>
        <v>Abrir anúncio ↗</v>
      </c>
      <c r="E717" s="10" t="s">
        <v>6171</v>
      </c>
      <c r="F717" s="10" t="s">
        <v>29</v>
      </c>
      <c r="G717" s="12"/>
    </row>
    <row r="718" ht="15.75" customHeight="1">
      <c r="A718" s="10" t="s">
        <v>5984</v>
      </c>
      <c r="B718" s="12" t="s">
        <v>7229</v>
      </c>
      <c r="C718" s="10" t="s">
        <v>7227</v>
      </c>
      <c r="D718" s="11" t="str">
        <f t="shared" si="1"/>
        <v>Abrir anúncio ↗</v>
      </c>
      <c r="E718" s="10" t="s">
        <v>6171</v>
      </c>
      <c r="F718" s="10" t="s">
        <v>29</v>
      </c>
      <c r="G718" s="12"/>
    </row>
    <row r="719" ht="15.75" customHeight="1">
      <c r="A719" s="10" t="s">
        <v>5984</v>
      </c>
      <c r="B719" s="12" t="s">
        <v>7229</v>
      </c>
      <c r="C719" s="10" t="s">
        <v>7460</v>
      </c>
      <c r="D719" s="11" t="str">
        <f t="shared" si="1"/>
        <v>Abrir anúncio ↗</v>
      </c>
      <c r="E719" s="10" t="s">
        <v>6171</v>
      </c>
      <c r="F719" s="10" t="s">
        <v>29</v>
      </c>
      <c r="G719" s="12"/>
    </row>
    <row r="720" ht="15.75" customHeight="1">
      <c r="A720" s="10" t="s">
        <v>5984</v>
      </c>
      <c r="B720" s="12" t="s">
        <v>8325</v>
      </c>
      <c r="C720" s="10" t="s">
        <v>8326</v>
      </c>
      <c r="D720" s="11" t="str">
        <f t="shared" si="1"/>
        <v>Abrir anúncio ↗</v>
      </c>
      <c r="E720" s="10" t="s">
        <v>6157</v>
      </c>
      <c r="F720" s="10" t="s">
        <v>29</v>
      </c>
      <c r="G720" s="12"/>
    </row>
    <row r="721" ht="15.75" customHeight="1">
      <c r="A721" s="10" t="s">
        <v>5984</v>
      </c>
      <c r="B721" s="12" t="s">
        <v>8325</v>
      </c>
      <c r="C721" s="10" t="s">
        <v>8329</v>
      </c>
      <c r="D721" s="11" t="str">
        <f t="shared" si="1"/>
        <v>Abrir anúncio ↗</v>
      </c>
      <c r="E721" s="10" t="s">
        <v>6157</v>
      </c>
      <c r="F721" s="10" t="s">
        <v>29</v>
      </c>
      <c r="G721" s="12"/>
    </row>
    <row r="722" ht="15.75" customHeight="1">
      <c r="A722" s="10" t="s">
        <v>5984</v>
      </c>
      <c r="B722" s="12" t="s">
        <v>8331</v>
      </c>
      <c r="C722" s="10" t="s">
        <v>8332</v>
      </c>
      <c r="D722" s="11" t="str">
        <f t="shared" si="1"/>
        <v>Abrir anúncio ↗</v>
      </c>
      <c r="E722" s="10" t="s">
        <v>6157</v>
      </c>
      <c r="F722" s="10" t="s">
        <v>29</v>
      </c>
      <c r="G722" s="12"/>
    </row>
    <row r="723" ht="15.75" customHeight="1">
      <c r="A723" s="10" t="s">
        <v>5984</v>
      </c>
      <c r="B723" s="12" t="s">
        <v>8331</v>
      </c>
      <c r="C723" s="10" t="s">
        <v>8334</v>
      </c>
      <c r="D723" s="11" t="str">
        <f t="shared" si="1"/>
        <v>Abrir anúncio ↗</v>
      </c>
      <c r="E723" s="10" t="s">
        <v>6157</v>
      </c>
      <c r="F723" s="10" t="s">
        <v>29</v>
      </c>
      <c r="G723" s="12"/>
    </row>
    <row r="724" ht="15.75" customHeight="1">
      <c r="A724" s="10" t="s">
        <v>5984</v>
      </c>
      <c r="B724" s="12" t="s">
        <v>1655</v>
      </c>
      <c r="C724" s="10" t="s">
        <v>1677</v>
      </c>
      <c r="D724" s="11" t="str">
        <f t="shared" si="1"/>
        <v>Abrir anúncio ↗</v>
      </c>
      <c r="E724" s="10" t="s">
        <v>6171</v>
      </c>
      <c r="F724" s="10" t="s">
        <v>29</v>
      </c>
      <c r="G724" s="12"/>
    </row>
    <row r="725" ht="15.75" customHeight="1">
      <c r="A725" s="10" t="s">
        <v>5984</v>
      </c>
      <c r="B725" s="12" t="s">
        <v>1655</v>
      </c>
      <c r="C725" s="10" t="s">
        <v>1653</v>
      </c>
      <c r="D725" s="11" t="str">
        <f t="shared" si="1"/>
        <v>Abrir anúncio ↗</v>
      </c>
      <c r="E725" s="10" t="s">
        <v>6171</v>
      </c>
      <c r="F725" s="10" t="s">
        <v>29</v>
      </c>
      <c r="G725" s="12"/>
    </row>
    <row r="726" ht="15.75" customHeight="1">
      <c r="A726" s="10" t="s">
        <v>5984</v>
      </c>
      <c r="B726" s="12" t="s">
        <v>6877</v>
      </c>
      <c r="C726" s="10" t="s">
        <v>6875</v>
      </c>
      <c r="D726" s="11" t="str">
        <f t="shared" si="1"/>
        <v>Abrir anúncio ↗</v>
      </c>
      <c r="E726" s="10" t="s">
        <v>6157</v>
      </c>
      <c r="F726" s="10" t="s">
        <v>29</v>
      </c>
      <c r="G726" s="12"/>
    </row>
    <row r="727" ht="15.75" customHeight="1">
      <c r="A727" s="10" t="s">
        <v>5984</v>
      </c>
      <c r="B727" s="12" t="s">
        <v>6877</v>
      </c>
      <c r="C727" s="10" t="s">
        <v>8340</v>
      </c>
      <c r="D727" s="11" t="str">
        <f t="shared" si="1"/>
        <v>Abrir anúncio ↗</v>
      </c>
      <c r="E727" s="10" t="s">
        <v>6157</v>
      </c>
      <c r="F727" s="10" t="s">
        <v>29</v>
      </c>
      <c r="G727" s="12"/>
    </row>
    <row r="728" ht="15.75" customHeight="1">
      <c r="A728" s="10" t="s">
        <v>5984</v>
      </c>
      <c r="B728" s="12" t="s">
        <v>6221</v>
      </c>
      <c r="C728" s="10" t="s">
        <v>7255</v>
      </c>
      <c r="D728" s="11" t="str">
        <f t="shared" si="1"/>
        <v>Abrir anúncio ↗</v>
      </c>
      <c r="E728" s="10" t="s">
        <v>6171</v>
      </c>
      <c r="F728" s="10" t="s">
        <v>29</v>
      </c>
      <c r="G728" s="12"/>
    </row>
    <row r="729" ht="15.75" customHeight="1">
      <c r="A729" s="10" t="s">
        <v>5984</v>
      </c>
      <c r="B729" s="12" t="s">
        <v>6221</v>
      </c>
      <c r="C729" s="10" t="s">
        <v>6219</v>
      </c>
      <c r="D729" s="11" t="str">
        <f t="shared" si="1"/>
        <v>Abrir anúncio ↗</v>
      </c>
      <c r="E729" s="10" t="s">
        <v>6171</v>
      </c>
      <c r="F729" s="10" t="s">
        <v>29</v>
      </c>
      <c r="G729" s="12"/>
    </row>
    <row r="730" ht="15.75" customHeight="1">
      <c r="A730" s="10" t="s">
        <v>5984</v>
      </c>
      <c r="B730" s="12" t="s">
        <v>7018</v>
      </c>
      <c r="C730" s="10" t="s">
        <v>7016</v>
      </c>
      <c r="D730" s="11" t="str">
        <f t="shared" si="1"/>
        <v>Abrir anúncio ↗</v>
      </c>
      <c r="E730" s="10" t="s">
        <v>6157</v>
      </c>
      <c r="F730" s="10" t="s">
        <v>29</v>
      </c>
      <c r="G730" s="12"/>
    </row>
    <row r="731" ht="15.75" customHeight="1">
      <c r="A731" s="10" t="s">
        <v>5984</v>
      </c>
      <c r="B731" s="12" t="s">
        <v>7018</v>
      </c>
      <c r="C731" s="10" t="s">
        <v>8346</v>
      </c>
      <c r="D731" s="11" t="str">
        <f t="shared" si="1"/>
        <v>Abrir anúncio ↗</v>
      </c>
      <c r="E731" s="10" t="s">
        <v>6157</v>
      </c>
      <c r="F731" s="10" t="s">
        <v>29</v>
      </c>
      <c r="G731" s="12"/>
    </row>
    <row r="732" ht="15.75" customHeight="1">
      <c r="A732" s="10" t="s">
        <v>5984</v>
      </c>
      <c r="B732" s="12" t="s">
        <v>4789</v>
      </c>
      <c r="C732" s="10" t="s">
        <v>7268</v>
      </c>
      <c r="D732" s="11" t="str">
        <f t="shared" si="1"/>
        <v>Abrir anúncio ↗</v>
      </c>
      <c r="E732" s="10" t="s">
        <v>6171</v>
      </c>
      <c r="F732" s="10" t="s">
        <v>29</v>
      </c>
      <c r="G732" s="12"/>
    </row>
    <row r="733" ht="15.75" customHeight="1">
      <c r="A733" s="10" t="s">
        <v>5984</v>
      </c>
      <c r="B733" s="12" t="s">
        <v>4789</v>
      </c>
      <c r="C733" s="10" t="s">
        <v>4787</v>
      </c>
      <c r="D733" s="11" t="str">
        <f t="shared" si="1"/>
        <v>Abrir anúncio ↗</v>
      </c>
      <c r="E733" s="10" t="s">
        <v>6171</v>
      </c>
      <c r="F733" s="10" t="s">
        <v>29</v>
      </c>
      <c r="G733" s="12"/>
    </row>
    <row r="734" ht="15.75" customHeight="1">
      <c r="A734" s="10" t="s">
        <v>5984</v>
      </c>
      <c r="B734" s="12" t="s">
        <v>7258</v>
      </c>
      <c r="C734" s="10" t="s">
        <v>7256</v>
      </c>
      <c r="D734" s="11" t="str">
        <f t="shared" si="1"/>
        <v>Abrir anúncio ↗</v>
      </c>
      <c r="E734" s="10" t="s">
        <v>6157</v>
      </c>
      <c r="F734" s="10" t="s">
        <v>29</v>
      </c>
      <c r="G734" s="12"/>
    </row>
    <row r="735" ht="15.75" customHeight="1">
      <c r="A735" s="10" t="s">
        <v>5984</v>
      </c>
      <c r="B735" s="12" t="s">
        <v>7258</v>
      </c>
      <c r="C735" s="10" t="s">
        <v>8353</v>
      </c>
      <c r="D735" s="11" t="str">
        <f t="shared" si="1"/>
        <v>Abrir anúncio ↗</v>
      </c>
      <c r="E735" s="10" t="s">
        <v>6157</v>
      </c>
      <c r="F735" s="10" t="s">
        <v>29</v>
      </c>
      <c r="G735" s="12"/>
    </row>
    <row r="736" ht="15.75" customHeight="1">
      <c r="A736" s="10" t="s">
        <v>5984</v>
      </c>
      <c r="B736" s="12" t="s">
        <v>4301</v>
      </c>
      <c r="C736" s="10" t="s">
        <v>4300</v>
      </c>
      <c r="D736" s="11" t="str">
        <f t="shared" si="1"/>
        <v>Abrir anúncio ↗</v>
      </c>
      <c r="E736" s="10" t="s">
        <v>6171</v>
      </c>
      <c r="F736" s="10" t="s">
        <v>29</v>
      </c>
      <c r="G736" s="12"/>
    </row>
    <row r="737" ht="15.75" customHeight="1">
      <c r="A737" s="10" t="s">
        <v>5984</v>
      </c>
      <c r="B737" s="12" t="s">
        <v>4301</v>
      </c>
      <c r="C737" s="10" t="s">
        <v>7691</v>
      </c>
      <c r="D737" s="11" t="str">
        <f t="shared" si="1"/>
        <v>Abrir anúncio ↗</v>
      </c>
      <c r="E737" s="10" t="s">
        <v>6171</v>
      </c>
      <c r="F737" s="10" t="s">
        <v>29</v>
      </c>
      <c r="G737" s="12"/>
    </row>
    <row r="738" ht="15.75" customHeight="1">
      <c r="A738" s="10" t="s">
        <v>5984</v>
      </c>
      <c r="B738" s="12" t="s">
        <v>6168</v>
      </c>
      <c r="C738" s="10" t="s">
        <v>7535</v>
      </c>
      <c r="D738" s="11" t="str">
        <f t="shared" si="1"/>
        <v>Abrir anúncio ↗</v>
      </c>
      <c r="E738" s="10" t="s">
        <v>6171</v>
      </c>
      <c r="F738" s="10" t="s">
        <v>29</v>
      </c>
      <c r="G738" s="12"/>
    </row>
    <row r="739" ht="15.75" customHeight="1">
      <c r="A739" s="10" t="s">
        <v>5984</v>
      </c>
      <c r="B739" s="12" t="s">
        <v>6168</v>
      </c>
      <c r="C739" s="10" t="s">
        <v>6167</v>
      </c>
      <c r="D739" s="11" t="str">
        <f t="shared" si="1"/>
        <v>Abrir anúncio ↗</v>
      </c>
      <c r="E739" s="10" t="s">
        <v>6171</v>
      </c>
      <c r="F739" s="10" t="s">
        <v>29</v>
      </c>
      <c r="G739" s="12"/>
    </row>
    <row r="740" ht="15.75" customHeight="1">
      <c r="A740" s="10" t="s">
        <v>5984</v>
      </c>
      <c r="B740" s="12" t="s">
        <v>6140</v>
      </c>
      <c r="C740" s="10" t="s">
        <v>7541</v>
      </c>
      <c r="D740" s="11" t="str">
        <f t="shared" si="1"/>
        <v>Abrir anúncio ↗</v>
      </c>
      <c r="E740" s="10" t="s">
        <v>6171</v>
      </c>
      <c r="F740" s="10" t="s">
        <v>29</v>
      </c>
      <c r="G740" s="12"/>
    </row>
    <row r="741" ht="15.75" customHeight="1">
      <c r="A741" s="10" t="s">
        <v>5984</v>
      </c>
      <c r="B741" s="12" t="s">
        <v>6140</v>
      </c>
      <c r="C741" s="10" t="s">
        <v>6139</v>
      </c>
      <c r="D741" s="11" t="str">
        <f t="shared" si="1"/>
        <v>Abrir anúncio ↗</v>
      </c>
      <c r="E741" s="10" t="s">
        <v>6171</v>
      </c>
      <c r="F741" s="10" t="s">
        <v>29</v>
      </c>
      <c r="G741" s="12"/>
    </row>
    <row r="742" ht="15.75" customHeight="1">
      <c r="A742" s="10" t="s">
        <v>5984</v>
      </c>
      <c r="B742" s="12" t="s">
        <v>6194</v>
      </c>
      <c r="C742" s="10" t="s">
        <v>7560</v>
      </c>
      <c r="D742" s="11" t="str">
        <f t="shared" si="1"/>
        <v>Abrir anúncio ↗</v>
      </c>
      <c r="E742" s="10" t="s">
        <v>6171</v>
      </c>
      <c r="F742" s="10" t="s">
        <v>29</v>
      </c>
      <c r="G742" s="12"/>
    </row>
    <row r="743" ht="15.75" customHeight="1">
      <c r="A743" s="10" t="s">
        <v>5984</v>
      </c>
      <c r="B743" s="12" t="s">
        <v>6194</v>
      </c>
      <c r="C743" s="10" t="s">
        <v>6193</v>
      </c>
      <c r="D743" s="11" t="str">
        <f t="shared" si="1"/>
        <v>Abrir anúncio ↗</v>
      </c>
      <c r="E743" s="10" t="s">
        <v>6171</v>
      </c>
      <c r="F743" s="10" t="s">
        <v>29</v>
      </c>
      <c r="G743" s="12"/>
    </row>
    <row r="744" ht="15.75" customHeight="1">
      <c r="A744" s="10" t="s">
        <v>5984</v>
      </c>
      <c r="B744" s="12" t="s">
        <v>6470</v>
      </c>
      <c r="C744" s="10" t="s">
        <v>7581</v>
      </c>
      <c r="D744" s="11" t="str">
        <f t="shared" si="1"/>
        <v>Abrir anúncio ↗</v>
      </c>
      <c r="E744" s="10" t="s">
        <v>6171</v>
      </c>
      <c r="F744" s="10" t="s">
        <v>29</v>
      </c>
      <c r="G744" s="12"/>
    </row>
    <row r="745" ht="15.75" customHeight="1">
      <c r="A745" s="10" t="s">
        <v>5984</v>
      </c>
      <c r="B745" s="12" t="s">
        <v>6470</v>
      </c>
      <c r="C745" s="10" t="s">
        <v>6468</v>
      </c>
      <c r="D745" s="11" t="str">
        <f t="shared" si="1"/>
        <v>Abrir anúncio ↗</v>
      </c>
      <c r="E745" s="10" t="s">
        <v>6171</v>
      </c>
      <c r="F745" s="10" t="s">
        <v>29</v>
      </c>
      <c r="G745" s="12"/>
    </row>
    <row r="746" ht="15.75" customHeight="1">
      <c r="A746" s="10" t="s">
        <v>5984</v>
      </c>
      <c r="B746" s="12" t="s">
        <v>8368</v>
      </c>
      <c r="C746" s="10" t="s">
        <v>8369</v>
      </c>
      <c r="D746" s="11" t="str">
        <f t="shared" si="1"/>
        <v>Abrir anúncio ↗</v>
      </c>
      <c r="E746" s="10" t="s">
        <v>6157</v>
      </c>
      <c r="F746" s="10" t="s">
        <v>29</v>
      </c>
      <c r="G746" s="12"/>
    </row>
    <row r="747" ht="15.75" customHeight="1">
      <c r="A747" s="10" t="s">
        <v>5984</v>
      </c>
      <c r="B747" s="12" t="s">
        <v>8368</v>
      </c>
      <c r="C747" s="10" t="s">
        <v>8370</v>
      </c>
      <c r="D747" s="11" t="str">
        <f t="shared" si="1"/>
        <v>Abrir anúncio ↗</v>
      </c>
      <c r="E747" s="10" t="s">
        <v>6157</v>
      </c>
      <c r="F747" s="10" t="s">
        <v>29</v>
      </c>
      <c r="G747" s="12"/>
    </row>
    <row r="748" ht="15.75" customHeight="1">
      <c r="A748" s="10" t="s">
        <v>5984</v>
      </c>
      <c r="B748" s="12" t="s">
        <v>3498</v>
      </c>
      <c r="C748" s="10" t="s">
        <v>4447</v>
      </c>
      <c r="D748" s="11" t="str">
        <f t="shared" si="1"/>
        <v>Abrir anúncio ↗</v>
      </c>
      <c r="E748" s="10" t="s">
        <v>6171</v>
      </c>
      <c r="F748" s="10" t="s">
        <v>29</v>
      </c>
      <c r="G748" s="12"/>
    </row>
    <row r="749" ht="15.75" customHeight="1">
      <c r="A749" s="10" t="s">
        <v>5984</v>
      </c>
      <c r="B749" s="12" t="s">
        <v>3498</v>
      </c>
      <c r="C749" s="10" t="s">
        <v>3496</v>
      </c>
      <c r="D749" s="11" t="str">
        <f t="shared" si="1"/>
        <v>Abrir anúncio ↗</v>
      </c>
      <c r="E749" s="10" t="s">
        <v>6171</v>
      </c>
      <c r="F749" s="10" t="s">
        <v>29</v>
      </c>
      <c r="G749" s="12"/>
    </row>
    <row r="750" ht="15.75" customHeight="1">
      <c r="A750" s="10" t="s">
        <v>5984</v>
      </c>
      <c r="B750" s="12" t="s">
        <v>8375</v>
      </c>
      <c r="C750" s="10" t="s">
        <v>8376</v>
      </c>
      <c r="D750" s="11" t="str">
        <f t="shared" si="1"/>
        <v>Abrir anúncio ↗</v>
      </c>
      <c r="E750" s="10" t="s">
        <v>6157</v>
      </c>
      <c r="F750" s="10" t="s">
        <v>29</v>
      </c>
      <c r="G750" s="12"/>
    </row>
    <row r="751" ht="15.75" customHeight="1">
      <c r="A751" s="10" t="s">
        <v>5984</v>
      </c>
      <c r="B751" s="12" t="s">
        <v>8375</v>
      </c>
      <c r="C751" s="10" t="s">
        <v>8379</v>
      </c>
      <c r="D751" s="11" t="str">
        <f t="shared" si="1"/>
        <v>Abrir anúncio ↗</v>
      </c>
      <c r="E751" s="10" t="s">
        <v>6157</v>
      </c>
      <c r="F751" s="10" t="s">
        <v>29</v>
      </c>
      <c r="G751" s="12"/>
    </row>
    <row r="752" ht="15.75" customHeight="1">
      <c r="A752" s="10" t="s">
        <v>5984</v>
      </c>
      <c r="B752" s="12" t="s">
        <v>71</v>
      </c>
      <c r="C752" s="10" t="s">
        <v>2120</v>
      </c>
      <c r="D752" s="11" t="str">
        <f t="shared" si="1"/>
        <v>Abrir anúncio ↗</v>
      </c>
      <c r="E752" s="10" t="s">
        <v>6171</v>
      </c>
      <c r="F752" s="10" t="s">
        <v>29</v>
      </c>
      <c r="G752" s="12"/>
    </row>
    <row r="753" ht="15.75" customHeight="1">
      <c r="A753" s="10" t="s">
        <v>5984</v>
      </c>
      <c r="B753" s="12" t="s">
        <v>71</v>
      </c>
      <c r="C753" s="10" t="s">
        <v>69</v>
      </c>
      <c r="D753" s="11" t="str">
        <f t="shared" si="1"/>
        <v>Abrir anúncio ↗</v>
      </c>
      <c r="E753" s="10" t="s">
        <v>6171</v>
      </c>
      <c r="F753" s="10" t="s">
        <v>29</v>
      </c>
      <c r="G753" s="12"/>
    </row>
    <row r="754" ht="15.75" customHeight="1">
      <c r="A754" s="10" t="s">
        <v>5984</v>
      </c>
      <c r="B754" s="12" t="s">
        <v>7853</v>
      </c>
      <c r="C754" s="10" t="s">
        <v>8384</v>
      </c>
      <c r="D754" s="11" t="str">
        <f t="shared" si="1"/>
        <v>Abrir anúncio ↗</v>
      </c>
      <c r="E754" s="10" t="s">
        <v>6157</v>
      </c>
      <c r="F754" s="10" t="s">
        <v>29</v>
      </c>
      <c r="G754" s="12"/>
    </row>
    <row r="755" ht="15.75" customHeight="1">
      <c r="A755" s="10" t="s">
        <v>5984</v>
      </c>
      <c r="B755" s="12" t="s">
        <v>7853</v>
      </c>
      <c r="C755" s="10" t="s">
        <v>7852</v>
      </c>
      <c r="D755" s="11" t="str">
        <f t="shared" si="1"/>
        <v>Abrir anúncio ↗</v>
      </c>
      <c r="E755" s="10" t="s">
        <v>6157</v>
      </c>
      <c r="F755" s="10" t="s">
        <v>29</v>
      </c>
      <c r="G755" s="12"/>
    </row>
    <row r="756" ht="15.75" customHeight="1">
      <c r="A756" s="10" t="s">
        <v>5984</v>
      </c>
      <c r="B756" s="12" t="s">
        <v>8389</v>
      </c>
      <c r="C756" s="10" t="s">
        <v>8390</v>
      </c>
      <c r="D756" s="11" t="str">
        <f t="shared" si="1"/>
        <v>Abrir anúncio ↗</v>
      </c>
      <c r="E756" s="10" t="s">
        <v>6157</v>
      </c>
      <c r="F756" s="10" t="s">
        <v>29</v>
      </c>
      <c r="G756" s="12"/>
    </row>
    <row r="757" ht="15.75" customHeight="1">
      <c r="A757" s="10" t="s">
        <v>5984</v>
      </c>
      <c r="B757" s="12" t="s">
        <v>8389</v>
      </c>
      <c r="C757" s="10" t="s">
        <v>8392</v>
      </c>
      <c r="D757" s="11" t="str">
        <f t="shared" si="1"/>
        <v>Abrir anúncio ↗</v>
      </c>
      <c r="E757" s="10" t="s">
        <v>6157</v>
      </c>
      <c r="F757" s="10" t="s">
        <v>29</v>
      </c>
      <c r="G757" s="12"/>
    </row>
    <row r="758" ht="15.75" customHeight="1">
      <c r="A758" s="10" t="s">
        <v>5984</v>
      </c>
      <c r="B758" s="12" t="s">
        <v>8394</v>
      </c>
      <c r="C758" s="10" t="s">
        <v>8395</v>
      </c>
      <c r="D758" s="11" t="str">
        <f t="shared" si="1"/>
        <v>Abrir anúncio ↗</v>
      </c>
      <c r="E758" s="10" t="s">
        <v>6157</v>
      </c>
      <c r="F758" s="10" t="s">
        <v>29</v>
      </c>
      <c r="G758" s="12"/>
    </row>
    <row r="759" ht="15.75" customHeight="1">
      <c r="A759" s="10" t="s">
        <v>5984</v>
      </c>
      <c r="B759" s="12" t="s">
        <v>8394</v>
      </c>
      <c r="C759" s="10" t="s">
        <v>8398</v>
      </c>
      <c r="D759" s="11" t="str">
        <f t="shared" si="1"/>
        <v>Abrir anúncio ↗</v>
      </c>
      <c r="E759" s="10" t="s">
        <v>6157</v>
      </c>
      <c r="F759" s="10" t="s">
        <v>29</v>
      </c>
      <c r="G759" s="12"/>
    </row>
    <row r="760" ht="15.75" customHeight="1">
      <c r="A760" s="10" t="s">
        <v>5984</v>
      </c>
      <c r="B760" s="12" t="s">
        <v>8399</v>
      </c>
      <c r="C760" s="10" t="s">
        <v>8400</v>
      </c>
      <c r="D760" s="11" t="str">
        <f t="shared" si="1"/>
        <v>Abrir anúncio ↗</v>
      </c>
      <c r="E760" s="10" t="s">
        <v>6157</v>
      </c>
      <c r="F760" s="10" t="s">
        <v>29</v>
      </c>
      <c r="G760" s="12"/>
    </row>
    <row r="761" ht="15.75" customHeight="1">
      <c r="A761" s="10" t="s">
        <v>5984</v>
      </c>
      <c r="B761" s="12" t="s">
        <v>8399</v>
      </c>
      <c r="C761" s="10" t="s">
        <v>8403</v>
      </c>
      <c r="D761" s="11" t="str">
        <f t="shared" si="1"/>
        <v>Abrir anúncio ↗</v>
      </c>
      <c r="E761" s="10" t="s">
        <v>6157</v>
      </c>
      <c r="F761" s="10" t="s">
        <v>29</v>
      </c>
      <c r="G761" s="12"/>
    </row>
    <row r="762" ht="15.75" customHeight="1">
      <c r="A762" s="10" t="s">
        <v>5984</v>
      </c>
      <c r="B762" s="12" t="s">
        <v>2575</v>
      </c>
      <c r="C762" s="10" t="s">
        <v>2574</v>
      </c>
      <c r="D762" s="11" t="str">
        <f t="shared" si="1"/>
        <v>Abrir anúncio ↗</v>
      </c>
      <c r="E762" s="10" t="s">
        <v>6171</v>
      </c>
      <c r="F762" s="10" t="s">
        <v>29</v>
      </c>
      <c r="G762" s="12"/>
    </row>
    <row r="763" ht="15.75" customHeight="1">
      <c r="A763" s="10" t="s">
        <v>5984</v>
      </c>
      <c r="B763" s="12" t="s">
        <v>2575</v>
      </c>
      <c r="C763" s="10" t="s">
        <v>3120</v>
      </c>
      <c r="D763" s="11" t="str">
        <f t="shared" si="1"/>
        <v>Abrir anúncio ↗</v>
      </c>
      <c r="E763" s="10" t="s">
        <v>6171</v>
      </c>
      <c r="F763" s="10" t="s">
        <v>29</v>
      </c>
      <c r="G763" s="12"/>
    </row>
    <row r="764" ht="15.75" customHeight="1">
      <c r="A764" s="10" t="s">
        <v>5984</v>
      </c>
      <c r="B764" s="12" t="s">
        <v>2602</v>
      </c>
      <c r="C764" s="10" t="s">
        <v>2599</v>
      </c>
      <c r="D764" s="11" t="str">
        <f t="shared" si="1"/>
        <v>Abrir anúncio ↗</v>
      </c>
      <c r="E764" s="10" t="s">
        <v>6171</v>
      </c>
      <c r="F764" s="10" t="s">
        <v>29</v>
      </c>
      <c r="G764" s="12"/>
    </row>
    <row r="765" ht="15.75" customHeight="1">
      <c r="A765" s="10" t="s">
        <v>5984</v>
      </c>
      <c r="B765" s="12" t="s">
        <v>2602</v>
      </c>
      <c r="C765" s="10" t="s">
        <v>2816</v>
      </c>
      <c r="D765" s="11" t="str">
        <f t="shared" si="1"/>
        <v>Abrir anúncio ↗</v>
      </c>
      <c r="E765" s="10" t="s">
        <v>6171</v>
      </c>
      <c r="F765" s="10" t="s">
        <v>29</v>
      </c>
      <c r="G765" s="12"/>
    </row>
    <row r="766" ht="15.75" customHeight="1">
      <c r="A766" s="10" t="s">
        <v>5984</v>
      </c>
      <c r="B766" s="12" t="s">
        <v>2608</v>
      </c>
      <c r="C766" s="10" t="s">
        <v>2607</v>
      </c>
      <c r="D766" s="11" t="str">
        <f t="shared" si="1"/>
        <v>Abrir anúncio ↗</v>
      </c>
      <c r="E766" s="10" t="s">
        <v>6171</v>
      </c>
      <c r="F766" s="10" t="s">
        <v>29</v>
      </c>
      <c r="G766" s="12"/>
    </row>
    <row r="767" ht="15.75" customHeight="1">
      <c r="A767" s="10" t="s">
        <v>5984</v>
      </c>
      <c r="B767" s="12" t="s">
        <v>2608</v>
      </c>
      <c r="C767" s="10" t="s">
        <v>3127</v>
      </c>
      <c r="D767" s="11" t="str">
        <f t="shared" si="1"/>
        <v>Abrir anúncio ↗</v>
      </c>
      <c r="E767" s="10" t="s">
        <v>6171</v>
      </c>
      <c r="F767" s="10" t="s">
        <v>29</v>
      </c>
      <c r="G767" s="12"/>
    </row>
    <row r="768" ht="15.75" customHeight="1">
      <c r="A768" s="10" t="s">
        <v>5984</v>
      </c>
      <c r="B768" s="12" t="s">
        <v>1430</v>
      </c>
      <c r="C768" s="10" t="s">
        <v>2771</v>
      </c>
      <c r="D768" s="11" t="str">
        <f t="shared" si="1"/>
        <v>Abrir anúncio ↗</v>
      </c>
      <c r="E768" s="10" t="s">
        <v>6171</v>
      </c>
      <c r="F768" s="10" t="s">
        <v>29</v>
      </c>
      <c r="G768" s="12"/>
    </row>
    <row r="769" ht="15.75" customHeight="1">
      <c r="A769" s="10" t="s">
        <v>5984</v>
      </c>
      <c r="B769" s="12" t="s">
        <v>1430</v>
      </c>
      <c r="C769" s="10" t="s">
        <v>1428</v>
      </c>
      <c r="D769" s="11" t="str">
        <f t="shared" si="1"/>
        <v>Abrir anúncio ↗</v>
      </c>
      <c r="E769" s="10" t="s">
        <v>6171</v>
      </c>
      <c r="F769" s="10" t="s">
        <v>29</v>
      </c>
      <c r="G769" s="12"/>
    </row>
    <row r="770" ht="15.75" customHeight="1">
      <c r="A770" s="10" t="s">
        <v>5984</v>
      </c>
      <c r="B770" s="12" t="s">
        <v>7335</v>
      </c>
      <c r="C770" s="10" t="s">
        <v>7623</v>
      </c>
      <c r="D770" s="11" t="str">
        <f t="shared" si="1"/>
        <v>Abrir anúncio ↗</v>
      </c>
      <c r="E770" s="10" t="s">
        <v>6171</v>
      </c>
      <c r="F770" s="10" t="s">
        <v>29</v>
      </c>
      <c r="G770" s="12"/>
    </row>
    <row r="771" ht="15.75" customHeight="1">
      <c r="A771" s="10" t="s">
        <v>5984</v>
      </c>
      <c r="B771" s="12" t="s">
        <v>7335</v>
      </c>
      <c r="C771" s="10" t="s">
        <v>7333</v>
      </c>
      <c r="D771" s="11" t="str">
        <f t="shared" si="1"/>
        <v>Abrir anúncio ↗</v>
      </c>
      <c r="E771" s="10" t="s">
        <v>6171</v>
      </c>
      <c r="F771" s="10" t="s">
        <v>29</v>
      </c>
      <c r="G771" s="12"/>
    </row>
    <row r="772" ht="15.75" customHeight="1">
      <c r="A772" s="10" t="s">
        <v>5984</v>
      </c>
      <c r="B772" s="12" t="s">
        <v>1544</v>
      </c>
      <c r="C772" s="10" t="s">
        <v>2820</v>
      </c>
      <c r="D772" s="11" t="str">
        <f t="shared" si="1"/>
        <v>Abrir anúncio ↗</v>
      </c>
      <c r="E772" s="10" t="s">
        <v>6171</v>
      </c>
      <c r="F772" s="10" t="s">
        <v>29</v>
      </c>
      <c r="G772" s="12"/>
    </row>
    <row r="773" ht="15.75" customHeight="1">
      <c r="A773" s="10" t="s">
        <v>5984</v>
      </c>
      <c r="B773" s="12" t="s">
        <v>1544</v>
      </c>
      <c r="C773" s="10" t="s">
        <v>1543</v>
      </c>
      <c r="D773" s="11" t="str">
        <f t="shared" si="1"/>
        <v>Abrir anúncio ↗</v>
      </c>
      <c r="E773" s="10" t="s">
        <v>6171</v>
      </c>
      <c r="F773" s="10" t="s">
        <v>29</v>
      </c>
      <c r="G773" s="12"/>
    </row>
    <row r="774" ht="15.75" customHeight="1">
      <c r="A774" s="10" t="s">
        <v>5984</v>
      </c>
      <c r="B774" s="12" t="s">
        <v>8420</v>
      </c>
      <c r="C774" s="10" t="s">
        <v>8421</v>
      </c>
      <c r="D774" s="11" t="str">
        <f t="shared" si="1"/>
        <v>Abrir anúncio ↗</v>
      </c>
      <c r="E774" s="10" t="s">
        <v>6157</v>
      </c>
      <c r="F774" s="10" t="s">
        <v>29</v>
      </c>
      <c r="G774" s="12"/>
    </row>
    <row r="775" ht="15.75" customHeight="1">
      <c r="A775" s="10" t="s">
        <v>5984</v>
      </c>
      <c r="B775" s="12" t="s">
        <v>8420</v>
      </c>
      <c r="C775" s="10" t="s">
        <v>8424</v>
      </c>
      <c r="D775" s="11" t="str">
        <f t="shared" si="1"/>
        <v>Abrir anúncio ↗</v>
      </c>
      <c r="E775" s="10" t="s">
        <v>6157</v>
      </c>
      <c r="F775" s="10" t="s">
        <v>29</v>
      </c>
      <c r="G775" s="12"/>
    </row>
    <row r="776" ht="15.75" customHeight="1">
      <c r="A776" s="10" t="s">
        <v>5984</v>
      </c>
      <c r="B776" s="12" t="s">
        <v>8425</v>
      </c>
      <c r="C776" s="10" t="s">
        <v>8427</v>
      </c>
      <c r="D776" s="11" t="str">
        <f t="shared" si="1"/>
        <v>Abrir anúncio ↗</v>
      </c>
      <c r="E776" s="10" t="s">
        <v>6157</v>
      </c>
      <c r="F776" s="10" t="s">
        <v>29</v>
      </c>
      <c r="G776" s="12"/>
    </row>
    <row r="777" ht="15.75" customHeight="1">
      <c r="A777" s="10" t="s">
        <v>5984</v>
      </c>
      <c r="B777" s="12" t="s">
        <v>8425</v>
      </c>
      <c r="C777" s="10" t="s">
        <v>8429</v>
      </c>
      <c r="D777" s="11" t="str">
        <f t="shared" si="1"/>
        <v>Abrir anúncio ↗</v>
      </c>
      <c r="E777" s="10" t="s">
        <v>6157</v>
      </c>
      <c r="F777" s="10" t="s">
        <v>29</v>
      </c>
      <c r="G777" s="12"/>
    </row>
    <row r="778" ht="15.75" customHeight="1">
      <c r="A778" s="10" t="s">
        <v>5984</v>
      </c>
      <c r="B778" s="12" t="s">
        <v>8433</v>
      </c>
      <c r="C778" s="10" t="s">
        <v>8435</v>
      </c>
      <c r="D778" s="11" t="str">
        <f t="shared" si="1"/>
        <v>Abrir anúncio ↗</v>
      </c>
      <c r="E778" s="10" t="s">
        <v>6157</v>
      </c>
      <c r="F778" s="10" t="s">
        <v>29</v>
      </c>
      <c r="G778" s="12"/>
    </row>
    <row r="779" ht="15.75" customHeight="1">
      <c r="A779" s="10" t="s">
        <v>5984</v>
      </c>
      <c r="B779" s="12" t="s">
        <v>8433</v>
      </c>
      <c r="C779" s="10" t="s">
        <v>8437</v>
      </c>
      <c r="D779" s="11" t="str">
        <f t="shared" si="1"/>
        <v>Abrir anúncio ↗</v>
      </c>
      <c r="E779" s="10" t="s">
        <v>6157</v>
      </c>
      <c r="F779" s="10" t="s">
        <v>29</v>
      </c>
      <c r="G779" s="12"/>
    </row>
    <row r="780" ht="15.75" customHeight="1">
      <c r="A780" s="10" t="s">
        <v>5984</v>
      </c>
      <c r="B780" s="12" t="s">
        <v>8439</v>
      </c>
      <c r="C780" s="10" t="s">
        <v>8440</v>
      </c>
      <c r="D780" s="11" t="str">
        <f t="shared" si="1"/>
        <v>Abrir anúncio ↗</v>
      </c>
      <c r="E780" s="10" t="s">
        <v>6157</v>
      </c>
      <c r="F780" s="10" t="s">
        <v>29</v>
      </c>
      <c r="G780" s="12"/>
    </row>
    <row r="781" ht="15.75" customHeight="1">
      <c r="A781" s="10" t="s">
        <v>5984</v>
      </c>
      <c r="B781" s="12" t="s">
        <v>8439</v>
      </c>
      <c r="C781" s="10" t="s">
        <v>8443</v>
      </c>
      <c r="D781" s="11" t="str">
        <f t="shared" si="1"/>
        <v>Abrir anúncio ↗</v>
      </c>
      <c r="E781" s="10" t="s">
        <v>6157</v>
      </c>
      <c r="F781" s="10" t="s">
        <v>29</v>
      </c>
      <c r="G781" s="12"/>
    </row>
    <row r="782" ht="15.75" customHeight="1">
      <c r="A782" s="10" t="s">
        <v>5984</v>
      </c>
      <c r="B782" s="12" t="s">
        <v>7784</v>
      </c>
      <c r="C782" s="10" t="s">
        <v>8445</v>
      </c>
      <c r="D782" s="11" t="str">
        <f t="shared" si="1"/>
        <v>Abrir anúncio ↗</v>
      </c>
      <c r="E782" s="10" t="s">
        <v>6157</v>
      </c>
      <c r="F782" s="10" t="s">
        <v>29</v>
      </c>
      <c r="G782" s="12"/>
    </row>
    <row r="783" ht="15.75" customHeight="1">
      <c r="A783" s="10" t="s">
        <v>5984</v>
      </c>
      <c r="B783" s="12" t="s">
        <v>7784</v>
      </c>
      <c r="C783" s="10" t="s">
        <v>7783</v>
      </c>
      <c r="D783" s="11" t="str">
        <f t="shared" si="1"/>
        <v>Abrir anúncio ↗</v>
      </c>
      <c r="E783" s="10" t="s">
        <v>6157</v>
      </c>
      <c r="F783" s="10" t="s">
        <v>29</v>
      </c>
      <c r="G783" s="12"/>
    </row>
    <row r="784" ht="15.75" customHeight="1">
      <c r="A784" s="10" t="s">
        <v>5984</v>
      </c>
      <c r="B784" s="12" t="s">
        <v>8449</v>
      </c>
      <c r="C784" s="10" t="s">
        <v>8450</v>
      </c>
      <c r="D784" s="11" t="str">
        <f t="shared" si="1"/>
        <v>Abrir anúncio ↗</v>
      </c>
      <c r="E784" s="10" t="s">
        <v>6157</v>
      </c>
      <c r="F784" s="10" t="s">
        <v>29</v>
      </c>
      <c r="G784" s="12"/>
    </row>
    <row r="785" ht="15.75" customHeight="1">
      <c r="A785" s="10" t="s">
        <v>5984</v>
      </c>
      <c r="B785" s="12" t="s">
        <v>8449</v>
      </c>
      <c r="C785" s="10" t="s">
        <v>8452</v>
      </c>
      <c r="D785" s="11" t="str">
        <f t="shared" si="1"/>
        <v>Abrir anúncio ↗</v>
      </c>
      <c r="E785" s="10" t="s">
        <v>6157</v>
      </c>
      <c r="F785" s="10" t="s">
        <v>29</v>
      </c>
      <c r="G785" s="12"/>
    </row>
    <row r="786" ht="15.75" customHeight="1">
      <c r="A786" s="10" t="s">
        <v>5984</v>
      </c>
      <c r="B786" s="12" t="s">
        <v>8454</v>
      </c>
      <c r="C786" s="10" t="s">
        <v>8455</v>
      </c>
      <c r="D786" s="11" t="str">
        <f t="shared" si="1"/>
        <v>Abrir anúncio ↗</v>
      </c>
      <c r="E786" s="10" t="s">
        <v>6157</v>
      </c>
      <c r="F786" s="10" t="s">
        <v>29</v>
      </c>
      <c r="G786" s="12"/>
    </row>
    <row r="787" ht="15.75" customHeight="1">
      <c r="A787" s="10" t="s">
        <v>5984</v>
      </c>
      <c r="B787" s="12" t="s">
        <v>8454</v>
      </c>
      <c r="C787" s="10" t="s">
        <v>8458</v>
      </c>
      <c r="D787" s="11" t="str">
        <f t="shared" si="1"/>
        <v>Abrir anúncio ↗</v>
      </c>
      <c r="E787" s="10" t="s">
        <v>6157</v>
      </c>
      <c r="F787" s="10" t="s">
        <v>29</v>
      </c>
      <c r="G787" s="12"/>
    </row>
    <row r="788" ht="15.75" customHeight="1">
      <c r="A788" s="10" t="s">
        <v>5984</v>
      </c>
      <c r="B788" s="12" t="s">
        <v>4775</v>
      </c>
      <c r="C788" s="10" t="s">
        <v>4774</v>
      </c>
      <c r="D788" s="11" t="str">
        <f t="shared" si="1"/>
        <v>Abrir anúncio ↗</v>
      </c>
      <c r="E788" s="10" t="s">
        <v>6171</v>
      </c>
      <c r="F788" s="10" t="s">
        <v>29</v>
      </c>
      <c r="G788" s="12"/>
    </row>
    <row r="789" ht="15.75" customHeight="1">
      <c r="A789" s="10" t="s">
        <v>5984</v>
      </c>
      <c r="B789" s="12" t="s">
        <v>4775</v>
      </c>
      <c r="C789" s="10" t="s">
        <v>7644</v>
      </c>
      <c r="D789" s="11" t="str">
        <f t="shared" si="1"/>
        <v>Abrir anúncio ↗</v>
      </c>
      <c r="E789" s="10" t="s">
        <v>6171</v>
      </c>
      <c r="F789" s="10" t="s">
        <v>29</v>
      </c>
      <c r="G789" s="12"/>
    </row>
    <row r="790" ht="15.75" customHeight="1">
      <c r="A790" s="10" t="s">
        <v>5984</v>
      </c>
      <c r="B790" s="12" t="s">
        <v>7263</v>
      </c>
      <c r="C790" s="10" t="s">
        <v>8463</v>
      </c>
      <c r="D790" s="11" t="str">
        <f t="shared" si="1"/>
        <v>Abrir anúncio ↗</v>
      </c>
      <c r="E790" s="10" t="s">
        <v>6157</v>
      </c>
      <c r="F790" s="10" t="s">
        <v>29</v>
      </c>
      <c r="G790" s="12"/>
    </row>
    <row r="791" ht="15.75" customHeight="1">
      <c r="A791" s="10" t="s">
        <v>5984</v>
      </c>
      <c r="B791" s="12" t="s">
        <v>7263</v>
      </c>
      <c r="C791" s="10" t="s">
        <v>7261</v>
      </c>
      <c r="D791" s="11" t="str">
        <f t="shared" si="1"/>
        <v>Abrir anúncio ↗</v>
      </c>
      <c r="E791" s="10" t="s">
        <v>6157</v>
      </c>
      <c r="F791" s="10" t="s">
        <v>29</v>
      </c>
      <c r="G791" s="12"/>
    </row>
    <row r="792" ht="15.75" customHeight="1">
      <c r="A792" s="10" t="s">
        <v>5984</v>
      </c>
      <c r="B792" s="12" t="s">
        <v>8466</v>
      </c>
      <c r="C792" s="10" t="s">
        <v>8467</v>
      </c>
      <c r="D792" s="11" t="str">
        <f t="shared" si="1"/>
        <v>Abrir anúncio ↗</v>
      </c>
      <c r="E792" s="10" t="s">
        <v>6157</v>
      </c>
      <c r="F792" s="10" t="s">
        <v>29</v>
      </c>
      <c r="G792" s="12"/>
    </row>
    <row r="793" ht="15.75" customHeight="1">
      <c r="A793" s="10" t="s">
        <v>5984</v>
      </c>
      <c r="B793" s="12" t="s">
        <v>8466</v>
      </c>
      <c r="C793" s="10" t="s">
        <v>8470</v>
      </c>
      <c r="D793" s="11" t="str">
        <f t="shared" si="1"/>
        <v>Abrir anúncio ↗</v>
      </c>
      <c r="E793" s="10" t="s">
        <v>6157</v>
      </c>
      <c r="F793" s="10" t="s">
        <v>29</v>
      </c>
      <c r="G793" s="12"/>
    </row>
    <row r="794" ht="15.75" customHeight="1">
      <c r="A794" s="10" t="s">
        <v>5984</v>
      </c>
      <c r="B794" s="12" t="s">
        <v>8472</v>
      </c>
      <c r="C794" s="10" t="s">
        <v>8474</v>
      </c>
      <c r="D794" s="11" t="str">
        <f t="shared" si="1"/>
        <v>Abrir anúncio ↗</v>
      </c>
      <c r="E794" s="10" t="s">
        <v>6243</v>
      </c>
      <c r="F794" s="10" t="s">
        <v>29</v>
      </c>
      <c r="G794" s="12"/>
    </row>
    <row r="795" ht="15.75" customHeight="1">
      <c r="A795" s="10" t="s">
        <v>5984</v>
      </c>
      <c r="B795" s="12" t="s">
        <v>8472</v>
      </c>
      <c r="C795" s="10" t="s">
        <v>8475</v>
      </c>
      <c r="D795" s="11" t="str">
        <f t="shared" si="1"/>
        <v>Abrir anúncio ↗</v>
      </c>
      <c r="E795" s="10" t="s">
        <v>6243</v>
      </c>
      <c r="F795" s="10" t="s">
        <v>29</v>
      </c>
      <c r="G795" s="12"/>
    </row>
    <row r="796" ht="15.75" customHeight="1">
      <c r="A796" s="10" t="s">
        <v>5984</v>
      </c>
      <c r="B796" s="12" t="s">
        <v>8478</v>
      </c>
      <c r="C796" s="10" t="s">
        <v>8479</v>
      </c>
      <c r="D796" s="11" t="str">
        <f t="shared" si="1"/>
        <v>Abrir anúncio ↗</v>
      </c>
      <c r="E796" s="10" t="s">
        <v>6157</v>
      </c>
      <c r="F796" s="10" t="s">
        <v>29</v>
      </c>
      <c r="G796" s="12"/>
    </row>
    <row r="797" ht="15.75" customHeight="1">
      <c r="A797" s="10" t="s">
        <v>5984</v>
      </c>
      <c r="B797" s="12" t="s">
        <v>8478</v>
      </c>
      <c r="C797" s="10" t="s">
        <v>8481</v>
      </c>
      <c r="D797" s="11" t="str">
        <f t="shared" si="1"/>
        <v>Abrir anúncio ↗</v>
      </c>
      <c r="E797" s="10" t="s">
        <v>6157</v>
      </c>
      <c r="F797" s="10" t="s">
        <v>29</v>
      </c>
      <c r="G797" s="12"/>
    </row>
    <row r="798" ht="15.75" customHeight="1">
      <c r="A798" s="10" t="s">
        <v>5984</v>
      </c>
      <c r="B798" s="12" t="s">
        <v>4892</v>
      </c>
      <c r="C798" s="10" t="s">
        <v>7723</v>
      </c>
      <c r="D798" s="11" t="str">
        <f t="shared" si="1"/>
        <v>Abrir anúncio ↗</v>
      </c>
      <c r="E798" s="10" t="s">
        <v>6171</v>
      </c>
      <c r="F798" s="10" t="s">
        <v>29</v>
      </c>
      <c r="G798" s="12"/>
    </row>
    <row r="799" ht="15.75" customHeight="1">
      <c r="A799" s="10" t="s">
        <v>5984</v>
      </c>
      <c r="B799" s="12" t="s">
        <v>4892</v>
      </c>
      <c r="C799" s="10" t="s">
        <v>4891</v>
      </c>
      <c r="D799" s="11" t="str">
        <f t="shared" si="1"/>
        <v>Abrir anúncio ↗</v>
      </c>
      <c r="E799" s="10" t="s">
        <v>6171</v>
      </c>
      <c r="F799" s="10" t="s">
        <v>29</v>
      </c>
      <c r="G799" s="12"/>
    </row>
    <row r="800" ht="15.75" customHeight="1">
      <c r="A800" s="10" t="s">
        <v>5984</v>
      </c>
      <c r="B800" s="12" t="s">
        <v>8486</v>
      </c>
      <c r="C800" s="10" t="s">
        <v>8487</v>
      </c>
      <c r="D800" s="11" t="str">
        <f t="shared" si="1"/>
        <v>Abrir anúncio ↗</v>
      </c>
      <c r="E800" s="10" t="s">
        <v>6157</v>
      </c>
      <c r="F800" s="10" t="s">
        <v>29</v>
      </c>
      <c r="G800" s="12"/>
    </row>
    <row r="801" ht="15.75" customHeight="1">
      <c r="A801" s="10" t="s">
        <v>5984</v>
      </c>
      <c r="B801" s="12" t="s">
        <v>8486</v>
      </c>
      <c r="C801" s="10" t="s">
        <v>8489</v>
      </c>
      <c r="D801" s="11" t="str">
        <f t="shared" si="1"/>
        <v>Abrir anúncio ↗</v>
      </c>
      <c r="E801" s="10" t="s">
        <v>6157</v>
      </c>
      <c r="F801" s="10" t="s">
        <v>86</v>
      </c>
      <c r="G801" s="12"/>
    </row>
    <row r="802" ht="15.75" customHeight="1">
      <c r="A802" s="10" t="s">
        <v>5984</v>
      </c>
      <c r="B802" s="12" t="s">
        <v>616</v>
      </c>
      <c r="C802" s="10" t="s">
        <v>8492</v>
      </c>
      <c r="D802" s="11" t="str">
        <f t="shared" si="1"/>
        <v>Abrir anúncio ↗</v>
      </c>
      <c r="E802" s="10" t="s">
        <v>6157</v>
      </c>
      <c r="F802" s="10" t="s">
        <v>29</v>
      </c>
      <c r="G802" s="12"/>
    </row>
    <row r="803" ht="15.75" customHeight="1">
      <c r="A803" s="10" t="s">
        <v>5984</v>
      </c>
      <c r="B803" s="12" t="s">
        <v>616</v>
      </c>
      <c r="C803" s="10" t="s">
        <v>615</v>
      </c>
      <c r="D803" s="11" t="str">
        <f t="shared" si="1"/>
        <v>Abrir anúncio ↗</v>
      </c>
      <c r="E803" s="10" t="s">
        <v>6157</v>
      </c>
      <c r="F803" s="10" t="s">
        <v>29</v>
      </c>
      <c r="G803" s="12"/>
    </row>
    <row r="804" ht="15.75" customHeight="1">
      <c r="A804" s="10" t="s">
        <v>5984</v>
      </c>
      <c r="B804" s="12" t="s">
        <v>769</v>
      </c>
      <c r="C804" s="10" t="s">
        <v>8496</v>
      </c>
      <c r="D804" s="11" t="str">
        <f t="shared" si="1"/>
        <v>Abrir anúncio ↗</v>
      </c>
      <c r="E804" s="10" t="s">
        <v>6157</v>
      </c>
      <c r="F804" s="10" t="s">
        <v>29</v>
      </c>
      <c r="G804" s="12"/>
    </row>
    <row r="805" ht="15.75" customHeight="1">
      <c r="A805" s="10" t="s">
        <v>5984</v>
      </c>
      <c r="B805" s="12" t="s">
        <v>769</v>
      </c>
      <c r="C805" s="10" t="s">
        <v>766</v>
      </c>
      <c r="D805" s="11" t="str">
        <f t="shared" si="1"/>
        <v>Abrir anúncio ↗</v>
      </c>
      <c r="E805" s="10" t="s">
        <v>6157</v>
      </c>
      <c r="F805" s="10" t="s">
        <v>29</v>
      </c>
      <c r="G805" s="12"/>
    </row>
    <row r="806" ht="15.75" customHeight="1">
      <c r="A806" s="10" t="s">
        <v>5984</v>
      </c>
      <c r="B806" s="12" t="s">
        <v>161</v>
      </c>
      <c r="C806" s="10" t="s">
        <v>159</v>
      </c>
      <c r="D806" s="11" t="str">
        <f t="shared" si="1"/>
        <v>Abrir anúncio ↗</v>
      </c>
      <c r="E806" s="10" t="s">
        <v>6171</v>
      </c>
      <c r="F806" s="10" t="s">
        <v>29</v>
      </c>
      <c r="G806" s="12"/>
    </row>
    <row r="807" ht="15.75" customHeight="1">
      <c r="A807" s="10" t="s">
        <v>5984</v>
      </c>
      <c r="B807" s="12" t="s">
        <v>161</v>
      </c>
      <c r="C807" s="10" t="s">
        <v>7250</v>
      </c>
      <c r="D807" s="11" t="str">
        <f t="shared" si="1"/>
        <v>Abrir anúncio ↗</v>
      </c>
      <c r="E807" s="10" t="s">
        <v>6171</v>
      </c>
      <c r="F807" s="10" t="s">
        <v>29</v>
      </c>
      <c r="G807" s="12"/>
    </row>
    <row r="808" ht="15.75" customHeight="1">
      <c r="A808" s="10" t="s">
        <v>5984</v>
      </c>
      <c r="B808" s="12" t="s">
        <v>8502</v>
      </c>
      <c r="C808" s="10" t="s">
        <v>8503</v>
      </c>
      <c r="D808" s="11" t="str">
        <f t="shared" si="1"/>
        <v>Abrir anúncio ↗</v>
      </c>
      <c r="E808" s="10" t="s">
        <v>6157</v>
      </c>
      <c r="F808" s="10" t="s">
        <v>29</v>
      </c>
      <c r="G808" s="12"/>
    </row>
    <row r="809" ht="15.75" customHeight="1">
      <c r="A809" s="10" t="s">
        <v>5984</v>
      </c>
      <c r="B809" s="12" t="s">
        <v>8502</v>
      </c>
      <c r="C809" s="10" t="s">
        <v>8506</v>
      </c>
      <c r="D809" s="11" t="str">
        <f t="shared" si="1"/>
        <v>Abrir anúncio ↗</v>
      </c>
      <c r="E809" s="10" t="s">
        <v>6157</v>
      </c>
      <c r="F809" s="10" t="s">
        <v>29</v>
      </c>
      <c r="G809" s="12"/>
    </row>
    <row r="810" ht="15.75" customHeight="1">
      <c r="A810" s="10" t="s">
        <v>5984</v>
      </c>
      <c r="B810" s="12" t="s">
        <v>8508</v>
      </c>
      <c r="C810" s="10" t="s">
        <v>8509</v>
      </c>
      <c r="D810" s="11" t="str">
        <f t="shared" si="1"/>
        <v>Abrir anúncio ↗</v>
      </c>
      <c r="E810" s="10" t="s">
        <v>6157</v>
      </c>
      <c r="F810" s="10" t="s">
        <v>29</v>
      </c>
      <c r="G810" s="12"/>
    </row>
    <row r="811" ht="15.75" customHeight="1">
      <c r="A811" s="10" t="s">
        <v>5984</v>
      </c>
      <c r="B811" s="12" t="s">
        <v>8508</v>
      </c>
      <c r="C811" s="10" t="s">
        <v>8511</v>
      </c>
      <c r="D811" s="11" t="str">
        <f t="shared" si="1"/>
        <v>Abrir anúncio ↗</v>
      </c>
      <c r="E811" s="10" t="s">
        <v>6157</v>
      </c>
      <c r="F811" s="10" t="s">
        <v>29</v>
      </c>
      <c r="G811" s="12"/>
    </row>
    <row r="812" ht="15.75" customHeight="1">
      <c r="A812" s="10" t="s">
        <v>5984</v>
      </c>
      <c r="B812" s="12" t="s">
        <v>2503</v>
      </c>
      <c r="C812" s="10" t="s">
        <v>2501</v>
      </c>
      <c r="D812" s="11" t="str">
        <f t="shared" si="1"/>
        <v>Abrir anúncio ↗</v>
      </c>
      <c r="E812" s="10" t="s">
        <v>6157</v>
      </c>
      <c r="F812" s="10" t="s">
        <v>29</v>
      </c>
      <c r="G812" s="12"/>
    </row>
    <row r="813" ht="15.75" customHeight="1">
      <c r="A813" s="10" t="s">
        <v>5984</v>
      </c>
      <c r="B813" s="12" t="s">
        <v>2503</v>
      </c>
      <c r="C813" s="10" t="s">
        <v>8515</v>
      </c>
      <c r="D813" s="11" t="str">
        <f t="shared" si="1"/>
        <v>Abrir anúncio ↗</v>
      </c>
      <c r="E813" s="10" t="s">
        <v>6157</v>
      </c>
      <c r="F813" s="10" t="s">
        <v>29</v>
      </c>
      <c r="G813" s="12"/>
    </row>
    <row r="814" ht="15.75" customHeight="1">
      <c r="A814" s="10" t="s">
        <v>5984</v>
      </c>
      <c r="B814" s="12" t="s">
        <v>2570</v>
      </c>
      <c r="C814" s="10" t="s">
        <v>2566</v>
      </c>
      <c r="D814" s="11" t="str">
        <f t="shared" si="1"/>
        <v>Abrir anúncio ↗</v>
      </c>
      <c r="E814" s="10" t="s">
        <v>6157</v>
      </c>
      <c r="F814" s="10" t="s">
        <v>29</v>
      </c>
      <c r="G814" s="12"/>
    </row>
    <row r="815" ht="15.75" customHeight="1">
      <c r="A815" s="10" t="s">
        <v>5984</v>
      </c>
      <c r="B815" s="12" t="s">
        <v>2570</v>
      </c>
      <c r="C815" s="10" t="s">
        <v>8519</v>
      </c>
      <c r="D815" s="11" t="str">
        <f t="shared" si="1"/>
        <v>Abrir anúncio ↗</v>
      </c>
      <c r="E815" s="10" t="s">
        <v>6157</v>
      </c>
      <c r="F815" s="10" t="s">
        <v>29</v>
      </c>
      <c r="G815" s="12"/>
    </row>
    <row r="816" ht="15.75" customHeight="1">
      <c r="A816" s="10" t="s">
        <v>5984</v>
      </c>
      <c r="B816" s="12" t="s">
        <v>4485</v>
      </c>
      <c r="C816" s="10" t="s">
        <v>5699</v>
      </c>
      <c r="D816" s="11" t="str">
        <f t="shared" si="1"/>
        <v>Abrir anúncio ↗</v>
      </c>
      <c r="E816" s="10" t="s">
        <v>6171</v>
      </c>
      <c r="F816" s="10" t="s">
        <v>29</v>
      </c>
      <c r="G816" s="12"/>
    </row>
    <row r="817" ht="15.75" customHeight="1">
      <c r="A817" s="10" t="s">
        <v>5984</v>
      </c>
      <c r="B817" s="12" t="s">
        <v>4485</v>
      </c>
      <c r="C817" s="10" t="s">
        <v>4484</v>
      </c>
      <c r="D817" s="11" t="str">
        <f t="shared" si="1"/>
        <v>Abrir anúncio ↗</v>
      </c>
      <c r="E817" s="10" t="s">
        <v>6171</v>
      </c>
      <c r="F817" s="10" t="s">
        <v>29</v>
      </c>
      <c r="G817" s="12"/>
    </row>
    <row r="818" ht="15.75" customHeight="1">
      <c r="A818" s="10" t="s">
        <v>5984</v>
      </c>
      <c r="B818" s="12" t="s">
        <v>5835</v>
      </c>
      <c r="C818" s="10" t="s">
        <v>5834</v>
      </c>
      <c r="D818" s="11" t="str">
        <f t="shared" si="1"/>
        <v>Abrir anúncio ↗</v>
      </c>
      <c r="E818" s="10" t="s">
        <v>6171</v>
      </c>
      <c r="F818" s="10" t="s">
        <v>29</v>
      </c>
      <c r="G818" s="12"/>
    </row>
    <row r="819" ht="15.75" customHeight="1">
      <c r="A819" s="10" t="s">
        <v>5984</v>
      </c>
      <c r="B819" s="12" t="s">
        <v>5835</v>
      </c>
      <c r="C819" s="10" t="s">
        <v>6785</v>
      </c>
      <c r="D819" s="11" t="str">
        <f t="shared" si="1"/>
        <v>Abrir anúncio ↗</v>
      </c>
      <c r="E819" s="10" t="s">
        <v>6171</v>
      </c>
      <c r="F819" s="10" t="s">
        <v>29</v>
      </c>
      <c r="G819" s="12"/>
    </row>
    <row r="820" ht="15.75" customHeight="1">
      <c r="A820" s="10" t="s">
        <v>5984</v>
      </c>
      <c r="B820" s="12" t="s">
        <v>5897</v>
      </c>
      <c r="C820" s="10" t="s">
        <v>5896</v>
      </c>
      <c r="D820" s="11" t="str">
        <f t="shared" si="1"/>
        <v>Abrir anúncio ↗</v>
      </c>
      <c r="E820" s="10" t="s">
        <v>6171</v>
      </c>
      <c r="F820" s="10" t="s">
        <v>29</v>
      </c>
      <c r="G820" s="12"/>
    </row>
    <row r="821" ht="15.75" customHeight="1">
      <c r="A821" s="10" t="s">
        <v>5984</v>
      </c>
      <c r="B821" s="12" t="s">
        <v>5897</v>
      </c>
      <c r="C821" s="10" t="s">
        <v>7550</v>
      </c>
      <c r="D821" s="11" t="str">
        <f t="shared" si="1"/>
        <v>Abrir anúncio ↗</v>
      </c>
      <c r="E821" s="10" t="s">
        <v>6171</v>
      </c>
      <c r="F821" s="10" t="s">
        <v>29</v>
      </c>
      <c r="G821" s="12"/>
    </row>
    <row r="822" ht="15.75" customHeight="1">
      <c r="A822" s="10" t="s">
        <v>5984</v>
      </c>
      <c r="B822" s="12" t="s">
        <v>847</v>
      </c>
      <c r="C822" s="10" t="s">
        <v>5926</v>
      </c>
      <c r="D822" s="11" t="str">
        <f t="shared" si="1"/>
        <v>Abrir anúncio ↗</v>
      </c>
      <c r="E822" s="10" t="s">
        <v>6171</v>
      </c>
      <c r="F822" s="10" t="s">
        <v>29</v>
      </c>
      <c r="G822" s="12"/>
    </row>
    <row r="823" ht="15.75" customHeight="1">
      <c r="A823" s="10" t="s">
        <v>5984</v>
      </c>
      <c r="B823" s="12" t="s">
        <v>847</v>
      </c>
      <c r="C823" s="10" t="s">
        <v>846</v>
      </c>
      <c r="D823" s="11" t="str">
        <f t="shared" si="1"/>
        <v>Abrir anúncio ↗</v>
      </c>
      <c r="E823" s="10" t="s">
        <v>6171</v>
      </c>
      <c r="F823" s="10" t="s">
        <v>29</v>
      </c>
      <c r="G823" s="12"/>
    </row>
    <row r="824" ht="15.75" customHeight="1">
      <c r="A824" s="10" t="s">
        <v>5984</v>
      </c>
      <c r="B824" s="12" t="s">
        <v>3562</v>
      </c>
      <c r="C824" s="10" t="s">
        <v>3561</v>
      </c>
      <c r="D824" s="11" t="str">
        <f t="shared" si="1"/>
        <v>Abrir anúncio ↗</v>
      </c>
      <c r="E824" s="10" t="s">
        <v>6171</v>
      </c>
      <c r="F824" s="10" t="s">
        <v>29</v>
      </c>
      <c r="G824" s="12"/>
    </row>
    <row r="825" ht="15.75" customHeight="1">
      <c r="A825" s="10" t="s">
        <v>5984</v>
      </c>
      <c r="B825" s="12" t="s">
        <v>3562</v>
      </c>
      <c r="C825" s="10" t="s">
        <v>7704</v>
      </c>
      <c r="D825" s="11" t="str">
        <f t="shared" si="1"/>
        <v>Abrir anúncio ↗</v>
      </c>
      <c r="E825" s="10" t="s">
        <v>6171</v>
      </c>
      <c r="F825" s="10" t="s">
        <v>29</v>
      </c>
      <c r="G825" s="12"/>
    </row>
    <row r="826" ht="15.75" customHeight="1">
      <c r="A826" s="10" t="s">
        <v>5984</v>
      </c>
      <c r="B826" s="12" t="s">
        <v>502</v>
      </c>
      <c r="C826" s="10" t="s">
        <v>501</v>
      </c>
      <c r="D826" s="11" t="str">
        <f t="shared" si="1"/>
        <v>Abrir anúncio ↗</v>
      </c>
      <c r="E826" s="10" t="s">
        <v>6171</v>
      </c>
      <c r="F826" s="10" t="s">
        <v>29</v>
      </c>
      <c r="G826" s="12"/>
    </row>
    <row r="827" ht="15.75" customHeight="1">
      <c r="A827" s="10" t="s">
        <v>5984</v>
      </c>
      <c r="B827" s="12" t="s">
        <v>502</v>
      </c>
      <c r="C827" s="10" t="s">
        <v>966</v>
      </c>
      <c r="D827" s="11" t="str">
        <f t="shared" si="1"/>
        <v>Abrir anúncio ↗</v>
      </c>
      <c r="E827" s="10" t="s">
        <v>6171</v>
      </c>
      <c r="F827" s="10" t="s">
        <v>29</v>
      </c>
      <c r="G827" s="12"/>
    </row>
    <row r="828" ht="15.75" customHeight="1">
      <c r="A828" s="10" t="s">
        <v>5984</v>
      </c>
      <c r="B828" s="12" t="s">
        <v>1944</v>
      </c>
      <c r="C828" s="10" t="s">
        <v>6042</v>
      </c>
      <c r="D828" s="11" t="str">
        <f t="shared" si="1"/>
        <v>Abrir anúncio ↗</v>
      </c>
      <c r="E828" s="10" t="s">
        <v>6171</v>
      </c>
      <c r="F828" s="10" t="s">
        <v>29</v>
      </c>
      <c r="G828" s="12"/>
    </row>
    <row r="829" ht="15.75" customHeight="1">
      <c r="A829" s="10" t="s">
        <v>5984</v>
      </c>
      <c r="B829" s="12" t="s">
        <v>1944</v>
      </c>
      <c r="C829" s="10" t="s">
        <v>1943</v>
      </c>
      <c r="D829" s="11" t="str">
        <f t="shared" si="1"/>
        <v>Abrir anúncio ↗</v>
      </c>
      <c r="E829" s="10" t="s">
        <v>6171</v>
      </c>
      <c r="F829" s="10" t="s">
        <v>29</v>
      </c>
      <c r="G829" s="12"/>
    </row>
    <row r="830" ht="15.75" customHeight="1">
      <c r="A830" s="10" t="s">
        <v>5984</v>
      </c>
      <c r="B830" s="12" t="s">
        <v>3716</v>
      </c>
      <c r="C830" s="10" t="s">
        <v>6072</v>
      </c>
      <c r="D830" s="11" t="str">
        <f t="shared" si="1"/>
        <v>Abrir anúncio ↗</v>
      </c>
      <c r="E830" s="10" t="s">
        <v>6171</v>
      </c>
      <c r="F830" s="10" t="s">
        <v>29</v>
      </c>
      <c r="G830" s="12"/>
    </row>
    <row r="831" ht="15.75" customHeight="1">
      <c r="A831" s="10" t="s">
        <v>5984</v>
      </c>
      <c r="B831" s="12" t="s">
        <v>3716</v>
      </c>
      <c r="C831" s="10" t="s">
        <v>3715</v>
      </c>
      <c r="D831" s="11" t="str">
        <f t="shared" si="1"/>
        <v>Abrir anúncio ↗</v>
      </c>
      <c r="E831" s="10" t="s">
        <v>6171</v>
      </c>
      <c r="F831" s="10" t="s">
        <v>29</v>
      </c>
      <c r="G831" s="12"/>
    </row>
    <row r="832" ht="15.75" customHeight="1">
      <c r="A832" s="10" t="s">
        <v>5984</v>
      </c>
      <c r="B832" s="12" t="s">
        <v>3749</v>
      </c>
      <c r="C832" s="10" t="s">
        <v>6076</v>
      </c>
      <c r="D832" s="11" t="str">
        <f t="shared" si="1"/>
        <v>Abrir anúncio ↗</v>
      </c>
      <c r="E832" s="10" t="s">
        <v>6171</v>
      </c>
      <c r="F832" s="10" t="s">
        <v>29</v>
      </c>
      <c r="G832" s="12"/>
    </row>
    <row r="833" ht="15.75" customHeight="1">
      <c r="A833" s="10" t="s">
        <v>5984</v>
      </c>
      <c r="B833" s="12" t="s">
        <v>3749</v>
      </c>
      <c r="C833" s="10" t="s">
        <v>3748</v>
      </c>
      <c r="D833" s="11" t="str">
        <f t="shared" si="1"/>
        <v>Abrir anúncio ↗</v>
      </c>
      <c r="E833" s="10" t="s">
        <v>6171</v>
      </c>
      <c r="F833" s="10" t="s">
        <v>29</v>
      </c>
      <c r="G833" s="12"/>
    </row>
    <row r="834" ht="15.75" customHeight="1">
      <c r="A834" s="10" t="s">
        <v>5984</v>
      </c>
      <c r="B834" s="12" t="s">
        <v>6089</v>
      </c>
      <c r="C834" s="10" t="s">
        <v>6088</v>
      </c>
      <c r="D834" s="11" t="str">
        <f t="shared" si="1"/>
        <v>Abrir anúncio ↗</v>
      </c>
      <c r="E834" s="10" t="s">
        <v>6171</v>
      </c>
      <c r="F834" s="10" t="s">
        <v>29</v>
      </c>
      <c r="G834" s="12"/>
    </row>
    <row r="835" ht="15.75" customHeight="1">
      <c r="A835" s="10" t="s">
        <v>5984</v>
      </c>
      <c r="B835" s="12" t="s">
        <v>6089</v>
      </c>
      <c r="C835" s="10" t="s">
        <v>6844</v>
      </c>
      <c r="D835" s="11" t="str">
        <f t="shared" si="1"/>
        <v>Abrir anúncio ↗</v>
      </c>
      <c r="E835" s="10" t="s">
        <v>6171</v>
      </c>
      <c r="F835" s="10" t="s">
        <v>29</v>
      </c>
      <c r="G835" s="12"/>
    </row>
    <row r="836" ht="15.75" customHeight="1">
      <c r="A836" s="10" t="s">
        <v>5984</v>
      </c>
      <c r="B836" s="12" t="s">
        <v>3697</v>
      </c>
      <c r="C836" s="10" t="s">
        <v>6103</v>
      </c>
      <c r="D836" s="11" t="str">
        <f t="shared" si="1"/>
        <v>Abrir anúncio ↗</v>
      </c>
      <c r="E836" s="10" t="s">
        <v>6171</v>
      </c>
      <c r="F836" s="10" t="s">
        <v>29</v>
      </c>
      <c r="G836" s="12"/>
    </row>
    <row r="837" ht="15.75" customHeight="1">
      <c r="A837" s="10" t="s">
        <v>5984</v>
      </c>
      <c r="B837" s="12" t="s">
        <v>3697</v>
      </c>
      <c r="C837" s="10" t="s">
        <v>3695</v>
      </c>
      <c r="D837" s="11" t="str">
        <f t="shared" si="1"/>
        <v>Abrir anúncio ↗</v>
      </c>
      <c r="E837" s="10" t="s">
        <v>6171</v>
      </c>
      <c r="F837" s="10" t="s">
        <v>29</v>
      </c>
      <c r="G837" s="12"/>
    </row>
    <row r="838" ht="15.75" customHeight="1">
      <c r="A838" s="10" t="s">
        <v>5984</v>
      </c>
      <c r="B838" s="12" t="s">
        <v>3704</v>
      </c>
      <c r="C838" s="10" t="s">
        <v>6108</v>
      </c>
      <c r="D838" s="11" t="str">
        <f t="shared" si="1"/>
        <v>Abrir anúncio ↗</v>
      </c>
      <c r="E838" s="10" t="s">
        <v>6171</v>
      </c>
      <c r="F838" s="10" t="s">
        <v>29</v>
      </c>
      <c r="G838" s="12"/>
    </row>
    <row r="839" ht="15.75" customHeight="1">
      <c r="A839" s="10" t="s">
        <v>5984</v>
      </c>
      <c r="B839" s="12" t="s">
        <v>3704</v>
      </c>
      <c r="C839" s="10" t="s">
        <v>3702</v>
      </c>
      <c r="D839" s="11" t="str">
        <f t="shared" si="1"/>
        <v>Abrir anúncio ↗</v>
      </c>
      <c r="E839" s="10" t="s">
        <v>6171</v>
      </c>
      <c r="F839" s="10" t="s">
        <v>29</v>
      </c>
      <c r="G839" s="12"/>
    </row>
    <row r="840" ht="15.75" customHeight="1">
      <c r="A840" s="10" t="s">
        <v>5984</v>
      </c>
      <c r="B840" s="12" t="s">
        <v>6112</v>
      </c>
      <c r="C840" s="10" t="s">
        <v>6111</v>
      </c>
      <c r="D840" s="11" t="str">
        <f t="shared" si="1"/>
        <v>Abrir anúncio ↗</v>
      </c>
      <c r="E840" s="10" t="s">
        <v>6171</v>
      </c>
      <c r="F840" s="10" t="s">
        <v>29</v>
      </c>
      <c r="G840" s="12"/>
    </row>
    <row r="841" ht="15.75" customHeight="1">
      <c r="A841" s="10" t="s">
        <v>5984</v>
      </c>
      <c r="B841" s="12" t="s">
        <v>6112</v>
      </c>
      <c r="C841" s="10" t="s">
        <v>6696</v>
      </c>
      <c r="D841" s="11" t="str">
        <f t="shared" si="1"/>
        <v>Abrir anúncio ↗</v>
      </c>
      <c r="E841" s="10" t="s">
        <v>6171</v>
      </c>
      <c r="F841" s="10" t="s">
        <v>29</v>
      </c>
      <c r="G841" s="12"/>
    </row>
    <row r="842" ht="15.75" customHeight="1">
      <c r="A842" s="10" t="s">
        <v>5984</v>
      </c>
      <c r="B842" s="12" t="s">
        <v>8548</v>
      </c>
      <c r="C842" s="10" t="s">
        <v>8549</v>
      </c>
      <c r="D842" s="11" t="str">
        <f t="shared" si="1"/>
        <v>Abrir anúncio ↗</v>
      </c>
      <c r="E842" s="10" t="s">
        <v>6157</v>
      </c>
      <c r="F842" s="10" t="s">
        <v>29</v>
      </c>
      <c r="G842" s="12"/>
    </row>
    <row r="843" ht="15.75" customHeight="1">
      <c r="A843" s="10" t="s">
        <v>5984</v>
      </c>
      <c r="B843" s="12" t="s">
        <v>8548</v>
      </c>
      <c r="C843" s="10" t="s">
        <v>8551</v>
      </c>
      <c r="D843" s="11" t="str">
        <f t="shared" si="1"/>
        <v>Abrir anúncio ↗</v>
      </c>
      <c r="E843" s="10" t="s">
        <v>6157</v>
      </c>
      <c r="F843" s="10" t="s">
        <v>29</v>
      </c>
      <c r="G843" s="12"/>
    </row>
    <row r="844" ht="15.75" customHeight="1">
      <c r="A844" s="10" t="s">
        <v>5984</v>
      </c>
      <c r="B844" s="12" t="s">
        <v>8553</v>
      </c>
      <c r="C844" s="10" t="s">
        <v>8554</v>
      </c>
      <c r="D844" s="11" t="str">
        <f t="shared" si="1"/>
        <v>Abrir anúncio ↗</v>
      </c>
      <c r="E844" s="10" t="s">
        <v>6157</v>
      </c>
      <c r="F844" s="10" t="s">
        <v>29</v>
      </c>
      <c r="G844" s="12"/>
    </row>
    <row r="845" ht="15.75" customHeight="1">
      <c r="A845" s="10" t="s">
        <v>5984</v>
      </c>
      <c r="B845" s="12" t="s">
        <v>8553</v>
      </c>
      <c r="C845" s="10" t="s">
        <v>8556</v>
      </c>
      <c r="D845" s="11" t="str">
        <f t="shared" si="1"/>
        <v>Abrir anúncio ↗</v>
      </c>
      <c r="E845" s="10" t="s">
        <v>6157</v>
      </c>
      <c r="F845" s="10" t="s">
        <v>29</v>
      </c>
      <c r="G845" s="12"/>
    </row>
    <row r="846" ht="15.75" customHeight="1">
      <c r="A846" s="10" t="s">
        <v>5984</v>
      </c>
      <c r="B846" s="12" t="s">
        <v>8559</v>
      </c>
      <c r="C846" s="10" t="s">
        <v>8560</v>
      </c>
      <c r="D846" s="11" t="str">
        <f t="shared" si="1"/>
        <v>Abrir anúncio ↗</v>
      </c>
      <c r="E846" s="10" t="s">
        <v>6157</v>
      </c>
      <c r="F846" s="10" t="s">
        <v>29</v>
      </c>
      <c r="G846" s="12"/>
    </row>
    <row r="847" ht="15.75" customHeight="1">
      <c r="A847" s="10" t="s">
        <v>5984</v>
      </c>
      <c r="B847" s="12" t="s">
        <v>8559</v>
      </c>
      <c r="C847" s="10" t="s">
        <v>8561</v>
      </c>
      <c r="D847" s="11" t="str">
        <f t="shared" si="1"/>
        <v>Abrir anúncio ↗</v>
      </c>
      <c r="E847" s="10" t="s">
        <v>6157</v>
      </c>
      <c r="F847" s="10" t="s">
        <v>29</v>
      </c>
      <c r="G847" s="12"/>
    </row>
    <row r="848" ht="15.75" customHeight="1">
      <c r="A848" s="10" t="s">
        <v>5984</v>
      </c>
      <c r="B848" s="12" t="s">
        <v>8562</v>
      </c>
      <c r="C848" s="10" t="s">
        <v>8563</v>
      </c>
      <c r="D848" s="11" t="str">
        <f t="shared" si="1"/>
        <v>Abrir anúncio ↗</v>
      </c>
      <c r="E848" s="10" t="s">
        <v>6157</v>
      </c>
      <c r="F848" s="10" t="s">
        <v>29</v>
      </c>
      <c r="G848" s="12"/>
    </row>
    <row r="849" ht="15.75" customHeight="1">
      <c r="A849" s="10" t="s">
        <v>5984</v>
      </c>
      <c r="B849" s="12" t="s">
        <v>8562</v>
      </c>
      <c r="C849" s="10" t="s">
        <v>8564</v>
      </c>
      <c r="D849" s="11" t="str">
        <f t="shared" si="1"/>
        <v>Abrir anúncio ↗</v>
      </c>
      <c r="E849" s="10" t="s">
        <v>6157</v>
      </c>
      <c r="F849" s="10" t="s">
        <v>29</v>
      </c>
      <c r="G849" s="12"/>
    </row>
    <row r="850" ht="15.75" customHeight="1">
      <c r="A850" s="10" t="s">
        <v>5984</v>
      </c>
      <c r="B850" s="12" t="s">
        <v>8565</v>
      </c>
      <c r="C850" s="10" t="s">
        <v>8566</v>
      </c>
      <c r="D850" s="11" t="str">
        <f t="shared" si="1"/>
        <v>Abrir anúncio ↗</v>
      </c>
      <c r="E850" s="10" t="s">
        <v>6157</v>
      </c>
      <c r="F850" s="10" t="s">
        <v>29</v>
      </c>
      <c r="G850" s="12"/>
    </row>
    <row r="851" ht="15.75" customHeight="1">
      <c r="A851" s="10" t="s">
        <v>5984</v>
      </c>
      <c r="B851" s="12" t="s">
        <v>8565</v>
      </c>
      <c r="C851" s="10" t="s">
        <v>8568</v>
      </c>
      <c r="D851" s="11" t="str">
        <f t="shared" si="1"/>
        <v>Abrir anúncio ↗</v>
      </c>
      <c r="E851" s="10" t="s">
        <v>6157</v>
      </c>
      <c r="F851" s="10" t="s">
        <v>29</v>
      </c>
      <c r="G851" s="12"/>
    </row>
    <row r="852" ht="15.75" customHeight="1">
      <c r="A852" s="10" t="s">
        <v>5984</v>
      </c>
      <c r="B852" s="12" t="s">
        <v>8570</v>
      </c>
      <c r="C852" s="10" t="s">
        <v>8571</v>
      </c>
      <c r="D852" s="11" t="str">
        <f t="shared" si="1"/>
        <v>Abrir anúncio ↗</v>
      </c>
      <c r="E852" s="10" t="s">
        <v>6157</v>
      </c>
      <c r="F852" s="10" t="s">
        <v>29</v>
      </c>
      <c r="G852" s="12"/>
    </row>
    <row r="853" ht="15.75" customHeight="1">
      <c r="A853" s="10" t="s">
        <v>5984</v>
      </c>
      <c r="B853" s="12" t="s">
        <v>8570</v>
      </c>
      <c r="C853" s="10" t="s">
        <v>8574</v>
      </c>
      <c r="D853" s="11" t="str">
        <f t="shared" si="1"/>
        <v>Abrir anúncio ↗</v>
      </c>
      <c r="E853" s="10" t="s">
        <v>6157</v>
      </c>
      <c r="F853" s="10" t="s">
        <v>29</v>
      </c>
      <c r="G853" s="12"/>
    </row>
    <row r="854" ht="15.75" customHeight="1">
      <c r="A854" s="10" t="s">
        <v>5984</v>
      </c>
      <c r="B854" s="12" t="s">
        <v>8575</v>
      </c>
      <c r="C854" s="10" t="s">
        <v>8576</v>
      </c>
      <c r="D854" s="11" t="str">
        <f t="shared" si="1"/>
        <v>Abrir anúncio ↗</v>
      </c>
      <c r="E854" s="10" t="s">
        <v>6157</v>
      </c>
      <c r="F854" s="10" t="s">
        <v>29</v>
      </c>
      <c r="G854" s="12"/>
    </row>
    <row r="855" ht="15.75" customHeight="1">
      <c r="A855" s="10" t="s">
        <v>5984</v>
      </c>
      <c r="B855" s="12" t="s">
        <v>8575</v>
      </c>
      <c r="C855" s="10" t="s">
        <v>8577</v>
      </c>
      <c r="D855" s="11" t="str">
        <f t="shared" si="1"/>
        <v>Abrir anúncio ↗</v>
      </c>
      <c r="E855" s="10" t="s">
        <v>6157</v>
      </c>
      <c r="F855" s="10" t="s">
        <v>29</v>
      </c>
      <c r="G855" s="12"/>
    </row>
    <row r="856" ht="15.75" customHeight="1">
      <c r="A856" s="10" t="s">
        <v>5984</v>
      </c>
      <c r="B856" s="12" t="s">
        <v>8579</v>
      </c>
      <c r="C856" s="10" t="s">
        <v>8580</v>
      </c>
      <c r="D856" s="11" t="str">
        <f t="shared" si="1"/>
        <v>Abrir anúncio ↗</v>
      </c>
      <c r="E856" s="10" t="s">
        <v>6157</v>
      </c>
      <c r="F856" s="10" t="s">
        <v>29</v>
      </c>
      <c r="G856" s="12"/>
    </row>
    <row r="857" ht="15.75" customHeight="1">
      <c r="A857" s="10" t="s">
        <v>5984</v>
      </c>
      <c r="B857" s="12" t="s">
        <v>8579</v>
      </c>
      <c r="C857" s="10" t="s">
        <v>8582</v>
      </c>
      <c r="D857" s="11" t="str">
        <f t="shared" si="1"/>
        <v>Abrir anúncio ↗</v>
      </c>
      <c r="E857" s="10" t="s">
        <v>6157</v>
      </c>
      <c r="F857" s="10" t="s">
        <v>29</v>
      </c>
      <c r="G857" s="12"/>
    </row>
    <row r="858" ht="15.75" customHeight="1">
      <c r="A858" s="10" t="s">
        <v>5984</v>
      </c>
      <c r="B858" s="12" t="s">
        <v>8584</v>
      </c>
      <c r="C858" s="10" t="s">
        <v>8586</v>
      </c>
      <c r="D858" s="11" t="str">
        <f t="shared" si="1"/>
        <v>Abrir anúncio ↗</v>
      </c>
      <c r="E858" s="10" t="s">
        <v>6157</v>
      </c>
      <c r="F858" s="10" t="s">
        <v>29</v>
      </c>
      <c r="G858" s="12"/>
    </row>
    <row r="859" ht="15.75" customHeight="1">
      <c r="A859" s="10" t="s">
        <v>5984</v>
      </c>
      <c r="B859" s="12" t="s">
        <v>8584</v>
      </c>
      <c r="C859" s="10" t="s">
        <v>8587</v>
      </c>
      <c r="D859" s="11" t="str">
        <f t="shared" si="1"/>
        <v>Abrir anúncio ↗</v>
      </c>
      <c r="E859" s="10" t="s">
        <v>6157</v>
      </c>
      <c r="F859" s="10" t="s">
        <v>29</v>
      </c>
      <c r="G859" s="12"/>
    </row>
    <row r="860" ht="15.75" customHeight="1">
      <c r="A860" s="10" t="s">
        <v>5984</v>
      </c>
      <c r="B860" s="12" t="s">
        <v>8589</v>
      </c>
      <c r="C860" s="10" t="s">
        <v>8591</v>
      </c>
      <c r="D860" s="11" t="str">
        <f t="shared" si="1"/>
        <v>Abrir anúncio ↗</v>
      </c>
      <c r="E860" s="10" t="s">
        <v>6157</v>
      </c>
      <c r="F860" s="10" t="s">
        <v>29</v>
      </c>
      <c r="G860" s="12"/>
    </row>
    <row r="861" ht="15.75" customHeight="1">
      <c r="A861" s="10" t="s">
        <v>5984</v>
      </c>
      <c r="B861" s="12" t="s">
        <v>8589</v>
      </c>
      <c r="C861" s="10" t="s">
        <v>8593</v>
      </c>
      <c r="D861" s="11" t="str">
        <f t="shared" si="1"/>
        <v>Abrir anúncio ↗</v>
      </c>
      <c r="E861" s="10" t="s">
        <v>6157</v>
      </c>
      <c r="F861" s="10" t="s">
        <v>29</v>
      </c>
      <c r="G861" s="12"/>
    </row>
    <row r="862" ht="15.75" customHeight="1">
      <c r="A862" s="10" t="s">
        <v>5984</v>
      </c>
      <c r="B862" s="12" t="s">
        <v>8595</v>
      </c>
      <c r="C862" s="10" t="s">
        <v>8596</v>
      </c>
      <c r="D862" s="11" t="str">
        <f t="shared" si="1"/>
        <v>Abrir anúncio ↗</v>
      </c>
      <c r="E862" s="10" t="s">
        <v>6157</v>
      </c>
      <c r="F862" s="10" t="s">
        <v>29</v>
      </c>
      <c r="G862" s="12"/>
    </row>
    <row r="863" ht="15.75" customHeight="1">
      <c r="A863" s="10" t="s">
        <v>5984</v>
      </c>
      <c r="B863" s="12" t="s">
        <v>8595</v>
      </c>
      <c r="C863" s="10" t="s">
        <v>8598</v>
      </c>
      <c r="D863" s="11" t="str">
        <f t="shared" si="1"/>
        <v>Abrir anúncio ↗</v>
      </c>
      <c r="E863" s="10" t="s">
        <v>6157</v>
      </c>
      <c r="F863" s="10" t="s">
        <v>29</v>
      </c>
      <c r="G863" s="12"/>
    </row>
    <row r="864" ht="15.75" customHeight="1">
      <c r="A864" s="10" t="s">
        <v>5984</v>
      </c>
      <c r="B864" s="12" t="s">
        <v>6231</v>
      </c>
      <c r="C864" s="10" t="s">
        <v>6230</v>
      </c>
      <c r="D864" s="11" t="str">
        <f t="shared" si="1"/>
        <v>Abrir anúncio ↗</v>
      </c>
      <c r="E864" s="10" t="s">
        <v>6171</v>
      </c>
      <c r="F864" s="10" t="s">
        <v>29</v>
      </c>
      <c r="G864" s="12"/>
    </row>
    <row r="865" ht="15.75" customHeight="1">
      <c r="A865" s="10" t="s">
        <v>5984</v>
      </c>
      <c r="B865" s="12" t="s">
        <v>6231</v>
      </c>
      <c r="C865" s="10" t="s">
        <v>7703</v>
      </c>
      <c r="D865" s="11" t="str">
        <f t="shared" si="1"/>
        <v>Abrir anúncio ↗</v>
      </c>
      <c r="E865" s="10" t="s">
        <v>6171</v>
      </c>
      <c r="F865" s="10" t="s">
        <v>29</v>
      </c>
      <c r="G865" s="12"/>
    </row>
    <row r="866" ht="15.75" customHeight="1">
      <c r="A866" s="10" t="s">
        <v>5984</v>
      </c>
      <c r="B866" s="12" t="s">
        <v>611</v>
      </c>
      <c r="C866" s="10" t="s">
        <v>609</v>
      </c>
      <c r="D866" s="11" t="str">
        <f t="shared" si="1"/>
        <v>Abrir anúncio ↗</v>
      </c>
      <c r="E866" s="10" t="s">
        <v>6171</v>
      </c>
      <c r="F866" s="10" t="s">
        <v>29</v>
      </c>
      <c r="G866" s="12"/>
    </row>
    <row r="867" ht="15.75" customHeight="1">
      <c r="A867" s="10" t="s">
        <v>5984</v>
      </c>
      <c r="B867" s="12" t="s">
        <v>611</v>
      </c>
      <c r="C867" s="10" t="s">
        <v>863</v>
      </c>
      <c r="D867" s="11" t="str">
        <f t="shared" si="1"/>
        <v>Abrir anúncio ↗</v>
      </c>
      <c r="E867" s="10" t="s">
        <v>6171</v>
      </c>
      <c r="F867" s="10" t="s">
        <v>29</v>
      </c>
      <c r="G867" s="12"/>
    </row>
    <row r="868" ht="15.75" customHeight="1">
      <c r="A868" s="10" t="s">
        <v>5984</v>
      </c>
      <c r="B868" s="12" t="s">
        <v>6277</v>
      </c>
      <c r="C868" s="10" t="s">
        <v>6276</v>
      </c>
      <c r="D868" s="11" t="str">
        <f t="shared" si="1"/>
        <v>Abrir anúncio ↗</v>
      </c>
      <c r="E868" s="10" t="s">
        <v>6171</v>
      </c>
      <c r="F868" s="10" t="s">
        <v>29</v>
      </c>
      <c r="G868" s="12"/>
    </row>
    <row r="869" ht="15.75" customHeight="1">
      <c r="A869" s="10" t="s">
        <v>5984</v>
      </c>
      <c r="B869" s="12" t="s">
        <v>6277</v>
      </c>
      <c r="C869" s="10" t="s">
        <v>6720</v>
      </c>
      <c r="D869" s="11" t="str">
        <f t="shared" si="1"/>
        <v>Abrir anúncio ↗</v>
      </c>
      <c r="E869" s="10" t="s">
        <v>6171</v>
      </c>
      <c r="F869" s="10" t="s">
        <v>29</v>
      </c>
      <c r="G869" s="12"/>
    </row>
    <row r="870" ht="15.75" customHeight="1">
      <c r="A870" s="10" t="s">
        <v>5984</v>
      </c>
      <c r="B870" s="12" t="s">
        <v>673</v>
      </c>
      <c r="C870" s="10" t="s">
        <v>672</v>
      </c>
      <c r="D870" s="11" t="str">
        <f t="shared" si="1"/>
        <v>Abrir anúncio ↗</v>
      </c>
      <c r="E870" s="10" t="s">
        <v>6171</v>
      </c>
      <c r="F870" s="10" t="s">
        <v>29</v>
      </c>
      <c r="G870" s="12"/>
    </row>
    <row r="871" ht="15.75" customHeight="1">
      <c r="A871" s="10" t="s">
        <v>5984</v>
      </c>
      <c r="B871" s="12" t="s">
        <v>673</v>
      </c>
      <c r="C871" s="10" t="s">
        <v>2075</v>
      </c>
      <c r="D871" s="11" t="str">
        <f t="shared" si="1"/>
        <v>Abrir anúncio ↗</v>
      </c>
      <c r="E871" s="10" t="s">
        <v>6171</v>
      </c>
      <c r="F871" s="10" t="s">
        <v>29</v>
      </c>
      <c r="G871" s="12"/>
    </row>
    <row r="872" ht="15.75" customHeight="1">
      <c r="A872" s="10" t="s">
        <v>5984</v>
      </c>
      <c r="B872" s="12" t="s">
        <v>692</v>
      </c>
      <c r="C872" s="10" t="s">
        <v>691</v>
      </c>
      <c r="D872" s="11" t="str">
        <f t="shared" si="1"/>
        <v>Abrir anúncio ↗</v>
      </c>
      <c r="E872" s="10" t="s">
        <v>6171</v>
      </c>
      <c r="F872" s="10" t="s">
        <v>29</v>
      </c>
      <c r="G872" s="12"/>
    </row>
    <row r="873" ht="15.75" customHeight="1">
      <c r="A873" s="10" t="s">
        <v>5984</v>
      </c>
      <c r="B873" s="12" t="s">
        <v>692</v>
      </c>
      <c r="C873" s="10" t="s">
        <v>2083</v>
      </c>
      <c r="D873" s="11" t="str">
        <f t="shared" si="1"/>
        <v>Abrir anúncio ↗</v>
      </c>
      <c r="E873" s="10" t="s">
        <v>6171</v>
      </c>
      <c r="F873" s="10" t="s">
        <v>29</v>
      </c>
      <c r="G873" s="12"/>
    </row>
    <row r="874" ht="15.75" customHeight="1">
      <c r="A874" s="10" t="s">
        <v>5984</v>
      </c>
      <c r="B874" s="12" t="s">
        <v>698</v>
      </c>
      <c r="C874" s="10" t="s">
        <v>697</v>
      </c>
      <c r="D874" s="11" t="str">
        <f t="shared" si="1"/>
        <v>Abrir anúncio ↗</v>
      </c>
      <c r="E874" s="10" t="s">
        <v>6171</v>
      </c>
      <c r="F874" s="10" t="s">
        <v>29</v>
      </c>
      <c r="G874" s="12"/>
    </row>
    <row r="875" ht="15.75" customHeight="1">
      <c r="A875" s="10" t="s">
        <v>5984</v>
      </c>
      <c r="B875" s="12" t="s">
        <v>698</v>
      </c>
      <c r="C875" s="10" t="s">
        <v>2070</v>
      </c>
      <c r="D875" s="11" t="str">
        <f t="shared" si="1"/>
        <v>Abrir anúncio ↗</v>
      </c>
      <c r="E875" s="10" t="s">
        <v>6171</v>
      </c>
      <c r="F875" s="10" t="s">
        <v>29</v>
      </c>
      <c r="G875" s="12"/>
    </row>
    <row r="876" ht="15.75" customHeight="1">
      <c r="A876" s="10" t="s">
        <v>5984</v>
      </c>
      <c r="B876" s="12" t="s">
        <v>6405</v>
      </c>
      <c r="C876" s="10" t="s">
        <v>6404</v>
      </c>
      <c r="D876" s="11" t="str">
        <f t="shared" si="1"/>
        <v>Abrir anúncio ↗</v>
      </c>
      <c r="E876" s="10" t="s">
        <v>6171</v>
      </c>
      <c r="F876" s="10" t="s">
        <v>29</v>
      </c>
      <c r="G876" s="12"/>
    </row>
    <row r="877" ht="15.75" customHeight="1">
      <c r="A877" s="10" t="s">
        <v>5984</v>
      </c>
      <c r="B877" s="12" t="s">
        <v>6405</v>
      </c>
      <c r="C877" s="10" t="s">
        <v>7555</v>
      </c>
      <c r="D877" s="11" t="str">
        <f t="shared" si="1"/>
        <v>Abrir anúncio ↗</v>
      </c>
      <c r="E877" s="10" t="s">
        <v>6171</v>
      </c>
      <c r="F877" s="10" t="s">
        <v>29</v>
      </c>
      <c r="G877" s="12"/>
    </row>
    <row r="878" ht="15.75" customHeight="1">
      <c r="A878" s="10" t="s">
        <v>5984</v>
      </c>
      <c r="B878" s="12" t="s">
        <v>1596</v>
      </c>
      <c r="C878" s="10" t="s">
        <v>6439</v>
      </c>
      <c r="D878" s="11" t="str">
        <f t="shared" si="1"/>
        <v>Abrir anúncio ↗</v>
      </c>
      <c r="E878" s="10" t="s">
        <v>6171</v>
      </c>
      <c r="F878" s="10" t="s">
        <v>29</v>
      </c>
      <c r="G878" s="12"/>
    </row>
    <row r="879" ht="15.75" customHeight="1">
      <c r="A879" s="10" t="s">
        <v>5984</v>
      </c>
      <c r="B879" s="12" t="s">
        <v>1596</v>
      </c>
      <c r="C879" s="10" t="s">
        <v>1593</v>
      </c>
      <c r="D879" s="11" t="str">
        <f t="shared" si="1"/>
        <v>Abrir anúncio ↗</v>
      </c>
      <c r="E879" s="10" t="s">
        <v>6171</v>
      </c>
      <c r="F879" s="10" t="s">
        <v>29</v>
      </c>
      <c r="G879" s="12"/>
    </row>
    <row r="880" ht="15.75" customHeight="1">
      <c r="A880" s="10" t="s">
        <v>5984</v>
      </c>
      <c r="B880" s="12" t="s">
        <v>6457</v>
      </c>
      <c r="C880" s="10" t="s">
        <v>6455</v>
      </c>
      <c r="D880" s="11" t="str">
        <f t="shared" si="1"/>
        <v>Abrir anúncio ↗</v>
      </c>
      <c r="E880" s="10" t="s">
        <v>6171</v>
      </c>
      <c r="F880" s="10" t="s">
        <v>29</v>
      </c>
      <c r="G880" s="12"/>
    </row>
    <row r="881" ht="15.75" customHeight="1">
      <c r="A881" s="10" t="s">
        <v>5984</v>
      </c>
      <c r="B881" s="12" t="s">
        <v>6457</v>
      </c>
      <c r="C881" s="10" t="s">
        <v>7557</v>
      </c>
      <c r="D881" s="11" t="str">
        <f t="shared" si="1"/>
        <v>Abrir anúncio ↗</v>
      </c>
      <c r="E881" s="10" t="s">
        <v>6171</v>
      </c>
      <c r="F881" s="10" t="s">
        <v>29</v>
      </c>
      <c r="G881" s="12"/>
    </row>
    <row r="882" ht="15.75" customHeight="1">
      <c r="A882" s="10" t="s">
        <v>5984</v>
      </c>
      <c r="B882" s="12" t="s">
        <v>6531</v>
      </c>
      <c r="C882" s="10" t="s">
        <v>6529</v>
      </c>
      <c r="D882" s="11" t="str">
        <f t="shared" si="1"/>
        <v>Abrir anúncio ↗</v>
      </c>
      <c r="E882" s="10" t="s">
        <v>6171</v>
      </c>
      <c r="F882" s="10" t="s">
        <v>29</v>
      </c>
      <c r="G882" s="12"/>
    </row>
    <row r="883" ht="15.75" customHeight="1">
      <c r="A883" s="10" t="s">
        <v>5984</v>
      </c>
      <c r="B883" s="12" t="s">
        <v>6531</v>
      </c>
      <c r="C883" s="10" t="s">
        <v>7574</v>
      </c>
      <c r="D883" s="11" t="str">
        <f t="shared" si="1"/>
        <v>Abrir anúncio ↗</v>
      </c>
      <c r="E883" s="10" t="s">
        <v>6171</v>
      </c>
      <c r="F883" s="10" t="s">
        <v>29</v>
      </c>
      <c r="G883" s="12"/>
    </row>
    <row r="884" ht="15.75" customHeight="1">
      <c r="A884" s="10" t="s">
        <v>5984</v>
      </c>
      <c r="B884" s="12" t="s">
        <v>3764</v>
      </c>
      <c r="C884" s="10" t="s">
        <v>3761</v>
      </c>
      <c r="D884" s="11" t="str">
        <f t="shared" si="1"/>
        <v>Abrir anúncio ↗</v>
      </c>
      <c r="E884" s="10" t="s">
        <v>6157</v>
      </c>
      <c r="F884" s="10" t="s">
        <v>29</v>
      </c>
      <c r="G884" s="12"/>
    </row>
    <row r="885" ht="15.75" customHeight="1">
      <c r="A885" s="10" t="s">
        <v>5984</v>
      </c>
      <c r="B885" s="12" t="s">
        <v>3764</v>
      </c>
      <c r="C885" s="10" t="s">
        <v>7663</v>
      </c>
      <c r="D885" s="11" t="str">
        <f t="shared" si="1"/>
        <v>Abrir anúncio ↗</v>
      </c>
      <c r="E885" s="10" t="s">
        <v>6157</v>
      </c>
      <c r="F885" s="10" t="s">
        <v>29</v>
      </c>
      <c r="G885" s="12"/>
    </row>
    <row r="886" ht="15.75" customHeight="1">
      <c r="A886" s="10" t="s">
        <v>5984</v>
      </c>
      <c r="B886" s="12" t="s">
        <v>784</v>
      </c>
      <c r="C886" s="10" t="s">
        <v>782</v>
      </c>
      <c r="D886" s="11" t="str">
        <f t="shared" si="1"/>
        <v>Abrir anúncio ↗</v>
      </c>
      <c r="E886" s="10" t="s">
        <v>6171</v>
      </c>
      <c r="F886" s="10" t="s">
        <v>29</v>
      </c>
      <c r="G886" s="12"/>
    </row>
    <row r="887" ht="15.75" customHeight="1">
      <c r="A887" s="10" t="s">
        <v>5984</v>
      </c>
      <c r="B887" s="12" t="s">
        <v>784</v>
      </c>
      <c r="C887" s="10" t="s">
        <v>2054</v>
      </c>
      <c r="D887" s="11" t="str">
        <f t="shared" si="1"/>
        <v>Abrir anúncio ↗</v>
      </c>
      <c r="E887" s="10" t="s">
        <v>6171</v>
      </c>
      <c r="F887" s="10" t="s">
        <v>29</v>
      </c>
      <c r="G887" s="12"/>
    </row>
    <row r="888" ht="15.75" customHeight="1">
      <c r="A888" s="10" t="s">
        <v>5984</v>
      </c>
      <c r="B888" s="12" t="s">
        <v>790</v>
      </c>
      <c r="C888" s="10" t="s">
        <v>788</v>
      </c>
      <c r="D888" s="11" t="str">
        <f t="shared" si="1"/>
        <v>Abrir anúncio ↗</v>
      </c>
      <c r="E888" s="10" t="s">
        <v>6171</v>
      </c>
      <c r="F888" s="10" t="s">
        <v>29</v>
      </c>
      <c r="G888" s="12"/>
    </row>
    <row r="889" ht="15.75" customHeight="1">
      <c r="A889" s="10" t="s">
        <v>5984</v>
      </c>
      <c r="B889" s="12" t="s">
        <v>790</v>
      </c>
      <c r="C889" s="10" t="s">
        <v>3154</v>
      </c>
      <c r="D889" s="11" t="str">
        <f t="shared" si="1"/>
        <v>Abrir anúncio ↗</v>
      </c>
      <c r="E889" s="10" t="s">
        <v>6171</v>
      </c>
      <c r="F889" s="10" t="s">
        <v>29</v>
      </c>
      <c r="G889" s="12"/>
    </row>
    <row r="890" ht="15.75" customHeight="1">
      <c r="A890" s="10" t="s">
        <v>5984</v>
      </c>
      <c r="B890" s="12" t="s">
        <v>8630</v>
      </c>
      <c r="C890" s="10" t="s">
        <v>8631</v>
      </c>
      <c r="D890" s="11" t="str">
        <f t="shared" si="1"/>
        <v>Abrir anúncio ↗</v>
      </c>
      <c r="E890" s="10" t="s">
        <v>6157</v>
      </c>
      <c r="F890" s="10" t="s">
        <v>29</v>
      </c>
      <c r="G890" s="12"/>
    </row>
    <row r="891" ht="15.75" customHeight="1">
      <c r="A891" s="10" t="s">
        <v>5984</v>
      </c>
      <c r="B891" s="12" t="s">
        <v>8630</v>
      </c>
      <c r="C891" s="10" t="s">
        <v>8633</v>
      </c>
      <c r="D891" s="11" t="str">
        <f t="shared" si="1"/>
        <v>Abrir anúncio ↗</v>
      </c>
      <c r="E891" s="10" t="s">
        <v>6157</v>
      </c>
      <c r="F891" s="10" t="s">
        <v>29</v>
      </c>
      <c r="G891" s="12"/>
    </row>
    <row r="892" ht="15.75" customHeight="1">
      <c r="A892" s="10" t="s">
        <v>5984</v>
      </c>
      <c r="B892" s="12" t="s">
        <v>8636</v>
      </c>
      <c r="C892" s="10" t="s">
        <v>8637</v>
      </c>
      <c r="D892" s="11" t="str">
        <f t="shared" si="1"/>
        <v>Abrir anúncio ↗</v>
      </c>
      <c r="E892" s="10" t="s">
        <v>6157</v>
      </c>
      <c r="F892" s="10" t="s">
        <v>29</v>
      </c>
      <c r="G892" s="12"/>
    </row>
    <row r="893" ht="15.75" customHeight="1">
      <c r="A893" s="10" t="s">
        <v>5984</v>
      </c>
      <c r="B893" s="12" t="s">
        <v>8636</v>
      </c>
      <c r="C893" s="10" t="s">
        <v>8639</v>
      </c>
      <c r="D893" s="11" t="str">
        <f t="shared" si="1"/>
        <v>Abrir anúncio ↗</v>
      </c>
      <c r="E893" s="10" t="s">
        <v>6157</v>
      </c>
      <c r="F893" s="10" t="s">
        <v>29</v>
      </c>
      <c r="G893" s="12"/>
    </row>
    <row r="894" ht="15.75" customHeight="1">
      <c r="A894" s="10" t="s">
        <v>5984</v>
      </c>
      <c r="B894" s="12" t="s">
        <v>6583</v>
      </c>
      <c r="C894" s="10" t="s">
        <v>6582</v>
      </c>
      <c r="D894" s="11" t="str">
        <f t="shared" si="1"/>
        <v>Abrir anúncio ↗</v>
      </c>
      <c r="E894" s="10" t="s">
        <v>6171</v>
      </c>
      <c r="F894" s="10" t="s">
        <v>29</v>
      </c>
      <c r="G894" s="12"/>
    </row>
    <row r="895" ht="15.75" customHeight="1">
      <c r="A895" s="10" t="s">
        <v>5984</v>
      </c>
      <c r="B895" s="12" t="s">
        <v>6583</v>
      </c>
      <c r="C895" s="10" t="s">
        <v>7259</v>
      </c>
      <c r="D895" s="11" t="str">
        <f t="shared" si="1"/>
        <v>Abrir anúncio ↗</v>
      </c>
      <c r="E895" s="10" t="s">
        <v>6171</v>
      </c>
      <c r="F895" s="10" t="s">
        <v>29</v>
      </c>
      <c r="G895" s="12"/>
    </row>
    <row r="896" ht="15.75" customHeight="1">
      <c r="A896" s="10" t="s">
        <v>5984</v>
      </c>
      <c r="B896" s="12" t="s">
        <v>6587</v>
      </c>
      <c r="C896" s="10" t="s">
        <v>6586</v>
      </c>
      <c r="D896" s="11" t="str">
        <f t="shared" si="1"/>
        <v>Abrir anúncio ↗</v>
      </c>
      <c r="E896" s="10" t="s">
        <v>6171</v>
      </c>
      <c r="F896" s="10" t="s">
        <v>29</v>
      </c>
      <c r="G896" s="12"/>
    </row>
    <row r="897" ht="15.75" customHeight="1">
      <c r="A897" s="10" t="s">
        <v>5984</v>
      </c>
      <c r="B897" s="12" t="s">
        <v>6587</v>
      </c>
      <c r="C897" s="10" t="s">
        <v>7546</v>
      </c>
      <c r="D897" s="11" t="str">
        <f t="shared" si="1"/>
        <v>Abrir anúncio ↗</v>
      </c>
      <c r="E897" s="10" t="s">
        <v>6171</v>
      </c>
      <c r="F897" s="10" t="s">
        <v>29</v>
      </c>
      <c r="G897" s="12"/>
    </row>
    <row r="898" ht="15.75" customHeight="1">
      <c r="A898" s="10" t="s">
        <v>5984</v>
      </c>
      <c r="B898" s="12" t="s">
        <v>6597</v>
      </c>
      <c r="C898" s="10" t="s">
        <v>6596</v>
      </c>
      <c r="D898" s="11" t="str">
        <f t="shared" si="1"/>
        <v>Abrir anúncio ↗</v>
      </c>
      <c r="E898" s="10" t="s">
        <v>6171</v>
      </c>
      <c r="F898" s="10" t="s">
        <v>29</v>
      </c>
      <c r="G898" s="12"/>
    </row>
    <row r="899" ht="15.75" customHeight="1">
      <c r="A899" s="10" t="s">
        <v>5984</v>
      </c>
      <c r="B899" s="12" t="s">
        <v>6597</v>
      </c>
      <c r="C899" s="10" t="s">
        <v>6854</v>
      </c>
      <c r="D899" s="11" t="str">
        <f t="shared" si="1"/>
        <v>Abrir anúncio ↗</v>
      </c>
      <c r="E899" s="10" t="s">
        <v>6171</v>
      </c>
      <c r="F899" s="10" t="s">
        <v>29</v>
      </c>
      <c r="G899" s="12"/>
    </row>
    <row r="900" ht="15.75" customHeight="1">
      <c r="A900" s="10" t="s">
        <v>5984</v>
      </c>
      <c r="B900" s="12" t="s">
        <v>6605</v>
      </c>
      <c r="C900" s="10" t="s">
        <v>6604</v>
      </c>
      <c r="D900" s="11" t="str">
        <f t="shared" si="1"/>
        <v>Abrir anúncio ↗</v>
      </c>
      <c r="E900" s="10" t="s">
        <v>6171</v>
      </c>
      <c r="F900" s="10" t="s">
        <v>29</v>
      </c>
      <c r="G900" s="12"/>
    </row>
    <row r="901" ht="15.75" customHeight="1">
      <c r="A901" s="10" t="s">
        <v>5984</v>
      </c>
      <c r="B901" s="12" t="s">
        <v>6605</v>
      </c>
      <c r="C901" s="10" t="s">
        <v>6837</v>
      </c>
      <c r="D901" s="11" t="str">
        <f t="shared" si="1"/>
        <v>Abrir anúncio ↗</v>
      </c>
      <c r="E901" s="10" t="s">
        <v>6171</v>
      </c>
      <c r="F901" s="10" t="s">
        <v>29</v>
      </c>
      <c r="G901" s="12"/>
    </row>
    <row r="902" ht="15.75" customHeight="1">
      <c r="A902" s="10" t="s">
        <v>5984</v>
      </c>
      <c r="B902" s="12" t="s">
        <v>6633</v>
      </c>
      <c r="C902" s="10" t="s">
        <v>6631</v>
      </c>
      <c r="D902" s="11" t="str">
        <f t="shared" si="1"/>
        <v>Abrir anúncio ↗</v>
      </c>
      <c r="E902" s="10" t="s">
        <v>6171</v>
      </c>
      <c r="F902" s="10" t="s">
        <v>29</v>
      </c>
      <c r="G902" s="12"/>
    </row>
    <row r="903" ht="15.75" customHeight="1">
      <c r="A903" s="10" t="s">
        <v>5984</v>
      </c>
      <c r="B903" s="12" t="s">
        <v>6633</v>
      </c>
      <c r="C903" s="10" t="s">
        <v>6733</v>
      </c>
      <c r="D903" s="11" t="str">
        <f t="shared" si="1"/>
        <v>Abrir anúncio ↗</v>
      </c>
      <c r="E903" s="10" t="s">
        <v>6171</v>
      </c>
      <c r="F903" s="10" t="s">
        <v>29</v>
      </c>
      <c r="G903" s="12"/>
    </row>
    <row r="904" ht="15.75" customHeight="1">
      <c r="A904" s="10" t="s">
        <v>5984</v>
      </c>
      <c r="B904" s="12" t="s">
        <v>6637</v>
      </c>
      <c r="C904" s="10" t="s">
        <v>6636</v>
      </c>
      <c r="D904" s="11" t="str">
        <f t="shared" si="1"/>
        <v>Abrir anúncio ↗</v>
      </c>
      <c r="E904" s="10" t="s">
        <v>6171</v>
      </c>
      <c r="F904" s="10" t="s">
        <v>29</v>
      </c>
      <c r="G904" s="12"/>
    </row>
    <row r="905" ht="15.75" customHeight="1">
      <c r="A905" s="10" t="s">
        <v>5984</v>
      </c>
      <c r="B905" s="12" t="s">
        <v>6637</v>
      </c>
      <c r="C905" s="10" t="s">
        <v>7520</v>
      </c>
      <c r="D905" s="11" t="str">
        <f t="shared" si="1"/>
        <v>Abrir anúncio ↗</v>
      </c>
      <c r="E905" s="10" t="s">
        <v>6171</v>
      </c>
      <c r="F905" s="10" t="s">
        <v>29</v>
      </c>
      <c r="G905" s="12"/>
    </row>
    <row r="906" ht="15.75" customHeight="1">
      <c r="A906" s="10" t="s">
        <v>5984</v>
      </c>
      <c r="B906" s="12" t="s">
        <v>6652</v>
      </c>
      <c r="C906" s="10" t="s">
        <v>6650</v>
      </c>
      <c r="D906" s="11" t="str">
        <f t="shared" si="1"/>
        <v>Abrir anúncio ↗</v>
      </c>
      <c r="E906" s="10" t="s">
        <v>6171</v>
      </c>
      <c r="F906" s="10" t="s">
        <v>29</v>
      </c>
      <c r="G906" s="12"/>
    </row>
    <row r="907" ht="15.75" customHeight="1">
      <c r="A907" s="10" t="s">
        <v>5984</v>
      </c>
      <c r="B907" s="12" t="s">
        <v>6652</v>
      </c>
      <c r="C907" s="10" t="s">
        <v>7224</v>
      </c>
      <c r="D907" s="11" t="str">
        <f t="shared" si="1"/>
        <v>Abrir anúncio ↗</v>
      </c>
      <c r="E907" s="10" t="s">
        <v>6171</v>
      </c>
      <c r="F907" s="10" t="s">
        <v>29</v>
      </c>
      <c r="G907" s="12"/>
    </row>
    <row r="908" ht="15.75" customHeight="1">
      <c r="A908" s="10" t="s">
        <v>5984</v>
      </c>
      <c r="B908" s="12" t="s">
        <v>6658</v>
      </c>
      <c r="C908" s="10" t="s">
        <v>6657</v>
      </c>
      <c r="D908" s="11" t="str">
        <f t="shared" si="1"/>
        <v>Abrir anúncio ↗</v>
      </c>
      <c r="E908" s="10" t="s">
        <v>6171</v>
      </c>
      <c r="F908" s="10" t="s">
        <v>29</v>
      </c>
      <c r="G908" s="12"/>
    </row>
    <row r="909" ht="15.75" customHeight="1">
      <c r="A909" s="10" t="s">
        <v>5984</v>
      </c>
      <c r="B909" s="12" t="s">
        <v>6658</v>
      </c>
      <c r="C909" s="10" t="s">
        <v>7265</v>
      </c>
      <c r="D909" s="11" t="str">
        <f t="shared" si="1"/>
        <v>Abrir anúncio ↗</v>
      </c>
      <c r="E909" s="10" t="s">
        <v>6171</v>
      </c>
      <c r="F909" s="10" t="s">
        <v>29</v>
      </c>
      <c r="G909" s="12"/>
    </row>
    <row r="910" ht="15.75" customHeight="1">
      <c r="A910" s="10" t="s">
        <v>5984</v>
      </c>
      <c r="B910" s="12" t="s">
        <v>8663</v>
      </c>
      <c r="C910" s="10" t="s">
        <v>8664</v>
      </c>
      <c r="D910" s="11" t="str">
        <f t="shared" si="1"/>
        <v>Abrir anúncio ↗</v>
      </c>
      <c r="E910" s="10" t="s">
        <v>6157</v>
      </c>
      <c r="F910" s="10" t="s">
        <v>29</v>
      </c>
      <c r="G910" s="12"/>
    </row>
    <row r="911" ht="15.75" customHeight="1">
      <c r="A911" s="10" t="s">
        <v>5984</v>
      </c>
      <c r="B911" s="12" t="s">
        <v>8663</v>
      </c>
      <c r="C911" s="10" t="s">
        <v>8666</v>
      </c>
      <c r="D911" s="11" t="str">
        <f t="shared" si="1"/>
        <v>Abrir anúncio ↗</v>
      </c>
      <c r="E911" s="10" t="s">
        <v>6157</v>
      </c>
      <c r="F911" s="10" t="s">
        <v>29</v>
      </c>
      <c r="G911" s="12"/>
    </row>
    <row r="912" ht="15.75" customHeight="1">
      <c r="A912" s="10" t="s">
        <v>5984</v>
      </c>
      <c r="B912" s="12" t="s">
        <v>4120</v>
      </c>
      <c r="C912" s="10" t="s">
        <v>4117</v>
      </c>
      <c r="D912" s="11" t="str">
        <f t="shared" si="1"/>
        <v>Abrir anúncio ↗</v>
      </c>
      <c r="E912" s="10" t="s">
        <v>6157</v>
      </c>
      <c r="F912" s="10" t="s">
        <v>29</v>
      </c>
      <c r="G912" s="12"/>
    </row>
    <row r="913" ht="15.75" customHeight="1">
      <c r="A913" s="10" t="s">
        <v>5984</v>
      </c>
      <c r="B913" s="12" t="s">
        <v>4120</v>
      </c>
      <c r="C913" s="10" t="s">
        <v>7712</v>
      </c>
      <c r="D913" s="11" t="str">
        <f t="shared" si="1"/>
        <v>Abrir anúncio ↗</v>
      </c>
      <c r="E913" s="10" t="s">
        <v>6157</v>
      </c>
      <c r="F913" s="10" t="s">
        <v>29</v>
      </c>
      <c r="G913" s="12"/>
    </row>
    <row r="914" ht="15.75" customHeight="1">
      <c r="A914" s="10" t="s">
        <v>5984</v>
      </c>
      <c r="B914" s="12" t="s">
        <v>6761</v>
      </c>
      <c r="C914" s="10" t="s">
        <v>6759</v>
      </c>
      <c r="D914" s="11" t="str">
        <f t="shared" si="1"/>
        <v>Abrir anúncio ↗</v>
      </c>
      <c r="E914" s="10" t="s">
        <v>6171</v>
      </c>
      <c r="F914" s="10" t="s">
        <v>29</v>
      </c>
      <c r="G914" s="12"/>
    </row>
    <row r="915" ht="15.75" customHeight="1">
      <c r="A915" s="10" t="s">
        <v>5984</v>
      </c>
      <c r="B915" s="12" t="s">
        <v>6761</v>
      </c>
      <c r="C915" s="10" t="s">
        <v>7112</v>
      </c>
      <c r="D915" s="11" t="str">
        <f t="shared" si="1"/>
        <v>Abrir anúncio ↗</v>
      </c>
      <c r="E915" s="10" t="s">
        <v>6171</v>
      </c>
      <c r="F915" s="10" t="s">
        <v>29</v>
      </c>
      <c r="G915" s="12"/>
    </row>
    <row r="916" ht="15.75" customHeight="1">
      <c r="A916" s="10" t="s">
        <v>5984</v>
      </c>
      <c r="B916" s="12" t="s">
        <v>6892</v>
      </c>
      <c r="C916" s="10" t="s">
        <v>6891</v>
      </c>
      <c r="D916" s="11" t="str">
        <f t="shared" si="1"/>
        <v>Abrir anúncio ↗</v>
      </c>
      <c r="E916" s="10" t="s">
        <v>6171</v>
      </c>
      <c r="F916" s="10" t="s">
        <v>29</v>
      </c>
      <c r="G916" s="12"/>
    </row>
    <row r="917" ht="15.75" customHeight="1">
      <c r="A917" s="10" t="s">
        <v>5984</v>
      </c>
      <c r="B917" s="12" t="s">
        <v>6892</v>
      </c>
      <c r="C917" s="10" t="s">
        <v>7190</v>
      </c>
      <c r="D917" s="11" t="str">
        <f t="shared" si="1"/>
        <v>Abrir anúncio ↗</v>
      </c>
      <c r="E917" s="10" t="s">
        <v>6171</v>
      </c>
      <c r="F917" s="10" t="s">
        <v>29</v>
      </c>
      <c r="G917" s="12"/>
    </row>
    <row r="918" ht="15.75" customHeight="1">
      <c r="A918" s="10" t="s">
        <v>5984</v>
      </c>
      <c r="B918" s="12" t="s">
        <v>4571</v>
      </c>
      <c r="C918" s="10" t="s">
        <v>6908</v>
      </c>
      <c r="D918" s="11" t="str">
        <f t="shared" si="1"/>
        <v>Abrir anúncio ↗</v>
      </c>
      <c r="E918" s="10" t="s">
        <v>6171</v>
      </c>
      <c r="F918" s="10" t="s">
        <v>29</v>
      </c>
      <c r="G918" s="12"/>
    </row>
    <row r="919" ht="15.75" customHeight="1">
      <c r="A919" s="10" t="s">
        <v>5984</v>
      </c>
      <c r="B919" s="12" t="s">
        <v>4571</v>
      </c>
      <c r="C919" s="10" t="s">
        <v>4569</v>
      </c>
      <c r="D919" s="11" t="str">
        <f t="shared" si="1"/>
        <v>Abrir anúncio ↗</v>
      </c>
      <c r="E919" s="10" t="s">
        <v>6171</v>
      </c>
      <c r="F919" s="10" t="s">
        <v>29</v>
      </c>
      <c r="G919" s="12"/>
    </row>
    <row r="920" ht="15.75" customHeight="1">
      <c r="A920" s="10" t="s">
        <v>5984</v>
      </c>
      <c r="B920" s="12" t="s">
        <v>6928</v>
      </c>
      <c r="C920" s="10" t="s">
        <v>6926</v>
      </c>
      <c r="D920" s="11" t="str">
        <f t="shared" si="1"/>
        <v>Abrir anúncio ↗</v>
      </c>
      <c r="E920" s="10" t="s">
        <v>6171</v>
      </c>
      <c r="F920" s="10" t="s">
        <v>29</v>
      </c>
      <c r="G920" s="12"/>
    </row>
    <row r="921" ht="15.75" customHeight="1">
      <c r="A921" s="10" t="s">
        <v>5984</v>
      </c>
      <c r="B921" s="12" t="s">
        <v>6928</v>
      </c>
      <c r="C921" s="10" t="s">
        <v>7196</v>
      </c>
      <c r="D921" s="11" t="str">
        <f t="shared" si="1"/>
        <v>Abrir anúncio ↗</v>
      </c>
      <c r="E921" s="10" t="s">
        <v>6171</v>
      </c>
      <c r="F921" s="10" t="s">
        <v>29</v>
      </c>
      <c r="G921" s="12"/>
    </row>
    <row r="922" ht="15.75" customHeight="1">
      <c r="A922" s="10" t="s">
        <v>5984</v>
      </c>
      <c r="B922" s="12" t="s">
        <v>4109</v>
      </c>
      <c r="C922" s="10" t="s">
        <v>6934</v>
      </c>
      <c r="D922" s="11" t="str">
        <f t="shared" si="1"/>
        <v>Abrir anúncio ↗</v>
      </c>
      <c r="E922" s="10" t="s">
        <v>6171</v>
      </c>
      <c r="F922" s="10" t="s">
        <v>29</v>
      </c>
      <c r="G922" s="12"/>
    </row>
    <row r="923" ht="15.75" customHeight="1">
      <c r="A923" s="10" t="s">
        <v>5984</v>
      </c>
      <c r="B923" s="12" t="s">
        <v>4109</v>
      </c>
      <c r="C923" s="10" t="s">
        <v>4108</v>
      </c>
      <c r="D923" s="11" t="str">
        <f t="shared" si="1"/>
        <v>Abrir anúncio ↗</v>
      </c>
      <c r="E923" s="10" t="s">
        <v>6171</v>
      </c>
      <c r="F923" s="10" t="s">
        <v>29</v>
      </c>
      <c r="G923" s="12"/>
    </row>
    <row r="924" ht="15.75" customHeight="1">
      <c r="A924" s="10" t="s">
        <v>5984</v>
      </c>
      <c r="B924" s="12" t="s">
        <v>4156</v>
      </c>
      <c r="C924" s="10" t="s">
        <v>6938</v>
      </c>
      <c r="D924" s="11" t="str">
        <f t="shared" si="1"/>
        <v>Abrir anúncio ↗</v>
      </c>
      <c r="E924" s="10" t="s">
        <v>6171</v>
      </c>
      <c r="F924" s="10" t="s">
        <v>29</v>
      </c>
      <c r="G924" s="12"/>
    </row>
    <row r="925" ht="15.75" customHeight="1">
      <c r="A925" s="10" t="s">
        <v>5984</v>
      </c>
      <c r="B925" s="12" t="s">
        <v>4156</v>
      </c>
      <c r="C925" s="10" t="s">
        <v>4154</v>
      </c>
      <c r="D925" s="11" t="str">
        <f t="shared" si="1"/>
        <v>Abrir anúncio ↗</v>
      </c>
      <c r="E925" s="10" t="s">
        <v>6171</v>
      </c>
      <c r="F925" s="10" t="s">
        <v>29</v>
      </c>
      <c r="G925" s="12"/>
    </row>
    <row r="926" ht="15.75" customHeight="1">
      <c r="A926" s="10" t="s">
        <v>5984</v>
      </c>
      <c r="B926" s="12" t="s">
        <v>4606</v>
      </c>
      <c r="C926" s="10" t="s">
        <v>6983</v>
      </c>
      <c r="D926" s="11" t="str">
        <f t="shared" si="1"/>
        <v>Abrir anúncio ↗</v>
      </c>
      <c r="E926" s="10" t="s">
        <v>6171</v>
      </c>
      <c r="F926" s="10" t="s">
        <v>29</v>
      </c>
      <c r="G926" s="12"/>
    </row>
    <row r="927" ht="15.75" customHeight="1">
      <c r="A927" s="10" t="s">
        <v>5984</v>
      </c>
      <c r="B927" s="12" t="s">
        <v>4606</v>
      </c>
      <c r="C927" s="10" t="s">
        <v>4604</v>
      </c>
      <c r="D927" s="11" t="str">
        <f t="shared" si="1"/>
        <v>Abrir anúncio ↗</v>
      </c>
      <c r="E927" s="10" t="s">
        <v>6171</v>
      </c>
      <c r="F927" s="10" t="s">
        <v>29</v>
      </c>
      <c r="G927" s="12"/>
    </row>
    <row r="928" ht="15.75" customHeight="1">
      <c r="A928" s="10" t="s">
        <v>5984</v>
      </c>
      <c r="B928" s="12" t="s">
        <v>6992</v>
      </c>
      <c r="C928" s="10" t="s">
        <v>6991</v>
      </c>
      <c r="D928" s="11" t="str">
        <f t="shared" si="1"/>
        <v>Abrir anúncio ↗</v>
      </c>
      <c r="E928" s="10" t="s">
        <v>6171</v>
      </c>
      <c r="F928" s="10" t="s">
        <v>29</v>
      </c>
      <c r="G928" s="12"/>
    </row>
    <row r="929" ht="15.75" customHeight="1">
      <c r="A929" s="10" t="s">
        <v>5984</v>
      </c>
      <c r="B929" s="12" t="s">
        <v>6992</v>
      </c>
      <c r="C929" s="10" t="s">
        <v>7213</v>
      </c>
      <c r="D929" s="11" t="str">
        <f t="shared" si="1"/>
        <v>Abrir anúncio ↗</v>
      </c>
      <c r="E929" s="10" t="s">
        <v>6171</v>
      </c>
      <c r="F929" s="10" t="s">
        <v>29</v>
      </c>
      <c r="G929" s="12"/>
    </row>
    <row r="930" ht="15.75" customHeight="1">
      <c r="A930" s="10" t="s">
        <v>5984</v>
      </c>
      <c r="B930" s="12" t="s">
        <v>4150</v>
      </c>
      <c r="C930" s="10" t="s">
        <v>7003</v>
      </c>
      <c r="D930" s="11" t="str">
        <f t="shared" si="1"/>
        <v>Abrir anúncio ↗</v>
      </c>
      <c r="E930" s="10" t="s">
        <v>6171</v>
      </c>
      <c r="F930" s="10" t="s">
        <v>29</v>
      </c>
      <c r="G930" s="12"/>
    </row>
    <row r="931" ht="15.75" customHeight="1">
      <c r="A931" s="10" t="s">
        <v>5984</v>
      </c>
      <c r="B931" s="12" t="s">
        <v>4150</v>
      </c>
      <c r="C931" s="10" t="s">
        <v>4149</v>
      </c>
      <c r="D931" s="11" t="str">
        <f t="shared" si="1"/>
        <v>Abrir anúncio ↗</v>
      </c>
      <c r="E931" s="10" t="s">
        <v>6171</v>
      </c>
      <c r="F931" s="10" t="s">
        <v>29</v>
      </c>
      <c r="G931" s="12"/>
    </row>
    <row r="932" ht="15.75" customHeight="1">
      <c r="A932" s="10" t="s">
        <v>5984</v>
      </c>
      <c r="B932" s="12" t="s">
        <v>7032</v>
      </c>
      <c r="C932" s="10" t="s">
        <v>7031</v>
      </c>
      <c r="D932" s="11" t="str">
        <f t="shared" si="1"/>
        <v>Abrir anúncio ↗</v>
      </c>
      <c r="E932" s="10" t="s">
        <v>6171</v>
      </c>
      <c r="F932" s="10" t="s">
        <v>29</v>
      </c>
      <c r="G932" s="12"/>
    </row>
    <row r="933" ht="15.75" customHeight="1">
      <c r="A933" s="10" t="s">
        <v>5984</v>
      </c>
      <c r="B933" s="12" t="s">
        <v>7032</v>
      </c>
      <c r="C933" s="10" t="s">
        <v>7610</v>
      </c>
      <c r="D933" s="11" t="str">
        <f t="shared" si="1"/>
        <v>Abrir anúncio ↗</v>
      </c>
      <c r="E933" s="10" t="s">
        <v>6171</v>
      </c>
      <c r="F933" s="10" t="s">
        <v>29</v>
      </c>
      <c r="G933" s="12"/>
    </row>
    <row r="934" ht="15.75" customHeight="1">
      <c r="A934" s="10" t="s">
        <v>5984</v>
      </c>
      <c r="B934" s="12" t="s">
        <v>7041</v>
      </c>
      <c r="C934" s="10" t="s">
        <v>7040</v>
      </c>
      <c r="D934" s="11" t="str">
        <f t="shared" si="1"/>
        <v>Abrir anúncio ↗</v>
      </c>
      <c r="E934" s="10" t="s">
        <v>6171</v>
      </c>
      <c r="F934" s="10" t="s">
        <v>29</v>
      </c>
      <c r="G934" s="12"/>
    </row>
    <row r="935" ht="15.75" customHeight="1">
      <c r="A935" s="10" t="s">
        <v>5984</v>
      </c>
      <c r="B935" s="12" t="s">
        <v>7041</v>
      </c>
      <c r="C935" s="10" t="s">
        <v>7631</v>
      </c>
      <c r="D935" s="11" t="str">
        <f t="shared" si="1"/>
        <v>Abrir anúncio ↗</v>
      </c>
      <c r="E935" s="10" t="s">
        <v>6171</v>
      </c>
      <c r="F935" s="10" t="s">
        <v>29</v>
      </c>
      <c r="G935" s="12"/>
    </row>
    <row r="936" ht="15.75" customHeight="1">
      <c r="A936" s="10" t="s">
        <v>5984</v>
      </c>
      <c r="B936" s="12" t="s">
        <v>4133</v>
      </c>
      <c r="C936" s="10" t="s">
        <v>7070</v>
      </c>
      <c r="D936" s="11" t="str">
        <f t="shared" si="1"/>
        <v>Abrir anúncio ↗</v>
      </c>
      <c r="E936" s="10" t="s">
        <v>6171</v>
      </c>
      <c r="F936" s="10" t="s">
        <v>29</v>
      </c>
      <c r="G936" s="12"/>
    </row>
    <row r="937" ht="15.75" customHeight="1">
      <c r="A937" s="10" t="s">
        <v>5984</v>
      </c>
      <c r="B937" s="12" t="s">
        <v>4133</v>
      </c>
      <c r="C937" s="10" t="s">
        <v>4132</v>
      </c>
      <c r="D937" s="11" t="str">
        <f t="shared" si="1"/>
        <v>Abrir anúncio ↗</v>
      </c>
      <c r="E937" s="10" t="s">
        <v>6171</v>
      </c>
      <c r="F937" s="10" t="s">
        <v>29</v>
      </c>
      <c r="G937" s="12"/>
    </row>
    <row r="938" ht="15.75" customHeight="1">
      <c r="A938" s="10" t="s">
        <v>5984</v>
      </c>
      <c r="B938" s="12" t="s">
        <v>4667</v>
      </c>
      <c r="C938" s="10" t="s">
        <v>7088</v>
      </c>
      <c r="D938" s="11" t="str">
        <f t="shared" si="1"/>
        <v>Abrir anúncio ↗</v>
      </c>
      <c r="E938" s="10" t="s">
        <v>6171</v>
      </c>
      <c r="F938" s="10" t="s">
        <v>29</v>
      </c>
      <c r="G938" s="12"/>
    </row>
    <row r="939" ht="15.75" customHeight="1">
      <c r="A939" s="10" t="s">
        <v>5984</v>
      </c>
      <c r="B939" s="12" t="s">
        <v>4667</v>
      </c>
      <c r="C939" s="10" t="s">
        <v>4666</v>
      </c>
      <c r="D939" s="11" t="str">
        <f t="shared" si="1"/>
        <v>Abrir anúncio ↗</v>
      </c>
      <c r="E939" s="10" t="s">
        <v>6171</v>
      </c>
      <c r="F939" s="10" t="s">
        <v>29</v>
      </c>
      <c r="G939" s="12"/>
    </row>
    <row r="940" ht="15.75" customHeight="1">
      <c r="A940" s="10" t="s">
        <v>5984</v>
      </c>
      <c r="B940" s="12" t="s">
        <v>4622</v>
      </c>
      <c r="C940" s="10" t="s">
        <v>7095</v>
      </c>
      <c r="D940" s="11" t="str">
        <f t="shared" si="1"/>
        <v>Abrir anúncio ↗</v>
      </c>
      <c r="E940" s="10" t="s">
        <v>6171</v>
      </c>
      <c r="F940" s="10" t="s">
        <v>29</v>
      </c>
      <c r="G940" s="12"/>
    </row>
    <row r="941" ht="15.75" customHeight="1">
      <c r="A941" s="10" t="s">
        <v>5984</v>
      </c>
      <c r="B941" s="12" t="s">
        <v>4622</v>
      </c>
      <c r="C941" s="10" t="s">
        <v>4621</v>
      </c>
      <c r="D941" s="11" t="str">
        <f t="shared" si="1"/>
        <v>Abrir anúncio ↗</v>
      </c>
      <c r="E941" s="10" t="s">
        <v>6171</v>
      </c>
      <c r="F941" s="10" t="s">
        <v>29</v>
      </c>
      <c r="G941" s="12"/>
    </row>
    <row r="942" ht="15.75" customHeight="1">
      <c r="A942" s="10" t="s">
        <v>5984</v>
      </c>
      <c r="B942" s="12" t="s">
        <v>1264</v>
      </c>
      <c r="C942" s="10" t="s">
        <v>1262</v>
      </c>
      <c r="D942" s="11" t="str">
        <f t="shared" si="1"/>
        <v>Abrir anúncio ↗</v>
      </c>
      <c r="E942" s="10" t="s">
        <v>6171</v>
      </c>
      <c r="F942" s="10" t="s">
        <v>29</v>
      </c>
      <c r="G942" s="12"/>
    </row>
    <row r="943" ht="15.75" customHeight="1">
      <c r="A943" s="10" t="s">
        <v>5984</v>
      </c>
      <c r="B943" s="12" t="s">
        <v>1264</v>
      </c>
      <c r="C943" s="10" t="s">
        <v>2504</v>
      </c>
      <c r="D943" s="11" t="str">
        <f t="shared" si="1"/>
        <v>Abrir anúncio ↗</v>
      </c>
      <c r="E943" s="10" t="s">
        <v>6171</v>
      </c>
      <c r="F943" s="10" t="s">
        <v>29</v>
      </c>
      <c r="G943" s="12"/>
    </row>
    <row r="944" ht="15.75" customHeight="1">
      <c r="A944" s="10" t="s">
        <v>5984</v>
      </c>
      <c r="B944" s="12" t="s">
        <v>1283</v>
      </c>
      <c r="C944" s="10" t="s">
        <v>1281</v>
      </c>
      <c r="D944" s="11" t="str">
        <f t="shared" si="1"/>
        <v>Abrir anúncio ↗</v>
      </c>
      <c r="E944" s="10" t="s">
        <v>6171</v>
      </c>
      <c r="F944" s="10" t="s">
        <v>29</v>
      </c>
      <c r="G944" s="12"/>
    </row>
    <row r="945" ht="15.75" customHeight="1">
      <c r="A945" s="10" t="s">
        <v>5984</v>
      </c>
      <c r="B945" s="12" t="s">
        <v>1283</v>
      </c>
      <c r="C945" s="10" t="s">
        <v>1330</v>
      </c>
      <c r="D945" s="11" t="str">
        <f t="shared" si="1"/>
        <v>Abrir anúncio ↗</v>
      </c>
      <c r="E945" s="10" t="s">
        <v>6171</v>
      </c>
      <c r="F945" s="10" t="s">
        <v>29</v>
      </c>
      <c r="G945" s="12"/>
    </row>
    <row r="946" ht="15.75" customHeight="1">
      <c r="A946" s="10" t="s">
        <v>5984</v>
      </c>
      <c r="B946" s="12" t="s">
        <v>1294</v>
      </c>
      <c r="C946" s="10" t="s">
        <v>1291</v>
      </c>
      <c r="D946" s="11" t="str">
        <f t="shared" si="1"/>
        <v>Abrir anúncio ↗</v>
      </c>
      <c r="E946" s="10" t="s">
        <v>6171</v>
      </c>
      <c r="F946" s="10" t="s">
        <v>29</v>
      </c>
      <c r="G946" s="12"/>
    </row>
    <row r="947" ht="15.75" customHeight="1">
      <c r="A947" s="10" t="s">
        <v>5984</v>
      </c>
      <c r="B947" s="12" t="s">
        <v>1294</v>
      </c>
      <c r="C947" s="10" t="s">
        <v>1304</v>
      </c>
      <c r="D947" s="11" t="str">
        <f t="shared" si="1"/>
        <v>Abrir anúncio ↗</v>
      </c>
      <c r="E947" s="10" t="s">
        <v>6171</v>
      </c>
      <c r="F947" s="10" t="s">
        <v>29</v>
      </c>
      <c r="G947" s="12"/>
    </row>
    <row r="948" ht="15.75" customHeight="1">
      <c r="A948" s="10" t="s">
        <v>5984</v>
      </c>
      <c r="B948" s="12" t="s">
        <v>1319</v>
      </c>
      <c r="C948" s="10" t="s">
        <v>1317</v>
      </c>
      <c r="D948" s="11" t="str">
        <f t="shared" si="1"/>
        <v>Abrir anúncio ↗</v>
      </c>
      <c r="E948" s="10" t="s">
        <v>6171</v>
      </c>
      <c r="F948" s="10" t="s">
        <v>29</v>
      </c>
      <c r="G948" s="12"/>
    </row>
    <row r="949" ht="15.75" customHeight="1">
      <c r="A949" s="10" t="s">
        <v>5984</v>
      </c>
      <c r="B949" s="12" t="s">
        <v>1319</v>
      </c>
      <c r="C949" s="10" t="s">
        <v>2500</v>
      </c>
      <c r="D949" s="11" t="str">
        <f t="shared" si="1"/>
        <v>Abrir anúncio ↗</v>
      </c>
      <c r="E949" s="10" t="s">
        <v>6171</v>
      </c>
      <c r="F949" s="10" t="s">
        <v>29</v>
      </c>
      <c r="G949" s="12"/>
    </row>
    <row r="950" ht="15.75" customHeight="1">
      <c r="A950" s="10" t="s">
        <v>5984</v>
      </c>
      <c r="B950" s="12" t="s">
        <v>1357</v>
      </c>
      <c r="C950" s="10" t="s">
        <v>1356</v>
      </c>
      <c r="D950" s="11" t="str">
        <f t="shared" si="1"/>
        <v>Abrir anúncio ↗</v>
      </c>
      <c r="E950" s="10" t="s">
        <v>6171</v>
      </c>
      <c r="F950" s="10" t="s">
        <v>29</v>
      </c>
      <c r="G950" s="12"/>
    </row>
    <row r="951" ht="15.75" customHeight="1">
      <c r="A951" s="10" t="s">
        <v>5984</v>
      </c>
      <c r="B951" s="12" t="s">
        <v>1357</v>
      </c>
      <c r="C951" s="10" t="s">
        <v>1573</v>
      </c>
      <c r="D951" s="11" t="str">
        <f t="shared" si="1"/>
        <v>Abrir anúncio ↗</v>
      </c>
      <c r="E951" s="10" t="s">
        <v>6171</v>
      </c>
      <c r="F951" s="10" t="s">
        <v>29</v>
      </c>
      <c r="G951" s="12"/>
    </row>
    <row r="952" ht="15.75" customHeight="1">
      <c r="A952" s="10" t="s">
        <v>5984</v>
      </c>
      <c r="B952" s="12" t="s">
        <v>1376</v>
      </c>
      <c r="C952" s="10" t="s">
        <v>1375</v>
      </c>
      <c r="D952" s="11" t="str">
        <f t="shared" si="1"/>
        <v>Abrir anúncio ↗</v>
      </c>
      <c r="E952" s="10" t="s">
        <v>6171</v>
      </c>
      <c r="F952" s="10" t="s">
        <v>29</v>
      </c>
      <c r="G952" s="12"/>
    </row>
    <row r="953" ht="15.75" customHeight="1">
      <c r="A953" s="10" t="s">
        <v>5984</v>
      </c>
      <c r="B953" s="12" t="s">
        <v>1376</v>
      </c>
      <c r="C953" s="10" t="s">
        <v>2723</v>
      </c>
      <c r="D953" s="11" t="str">
        <f t="shared" si="1"/>
        <v>Abrir anúncio ↗</v>
      </c>
      <c r="E953" s="10" t="s">
        <v>6171</v>
      </c>
      <c r="F953" s="10" t="s">
        <v>29</v>
      </c>
      <c r="G953" s="12"/>
    </row>
    <row r="954" ht="15.75" customHeight="1">
      <c r="A954" s="10" t="s">
        <v>5984</v>
      </c>
      <c r="B954" s="12" t="s">
        <v>1423</v>
      </c>
      <c r="C954" s="10" t="s">
        <v>1422</v>
      </c>
      <c r="D954" s="11" t="str">
        <f t="shared" si="1"/>
        <v>Abrir anúncio ↗</v>
      </c>
      <c r="E954" s="10" t="s">
        <v>6171</v>
      </c>
      <c r="F954" s="10" t="s">
        <v>29</v>
      </c>
      <c r="G954" s="12"/>
    </row>
    <row r="955" ht="15.75" customHeight="1">
      <c r="A955" s="10" t="s">
        <v>5984</v>
      </c>
      <c r="B955" s="12" t="s">
        <v>1423</v>
      </c>
      <c r="C955" s="10" t="s">
        <v>3118</v>
      </c>
      <c r="D955" s="11" t="str">
        <f t="shared" si="1"/>
        <v>Abrir anúncio ↗</v>
      </c>
      <c r="E955" s="10" t="s">
        <v>6171</v>
      </c>
      <c r="F955" s="10" t="s">
        <v>29</v>
      </c>
      <c r="G955" s="12"/>
    </row>
    <row r="956" ht="15.75" customHeight="1">
      <c r="A956" s="10" t="s">
        <v>5984</v>
      </c>
      <c r="B956" s="12" t="s">
        <v>1442</v>
      </c>
      <c r="C956" s="10" t="s">
        <v>1440</v>
      </c>
      <c r="D956" s="11" t="str">
        <f t="shared" si="1"/>
        <v>Abrir anúncio ↗</v>
      </c>
      <c r="E956" s="10" t="s">
        <v>6171</v>
      </c>
      <c r="F956" s="10" t="s">
        <v>29</v>
      </c>
      <c r="G956" s="12"/>
    </row>
    <row r="957" ht="15.75" customHeight="1">
      <c r="A957" s="10" t="s">
        <v>5984</v>
      </c>
      <c r="B957" s="12" t="s">
        <v>1442</v>
      </c>
      <c r="C957" s="10" t="s">
        <v>2968</v>
      </c>
      <c r="D957" s="11" t="str">
        <f t="shared" si="1"/>
        <v>Abrir anúncio ↗</v>
      </c>
      <c r="E957" s="10" t="s">
        <v>6171</v>
      </c>
      <c r="F957" s="10" t="s">
        <v>29</v>
      </c>
      <c r="G957" s="12"/>
    </row>
    <row r="958" ht="15.75" customHeight="1">
      <c r="A958" s="10" t="s">
        <v>5984</v>
      </c>
      <c r="B958" s="12" t="s">
        <v>1448</v>
      </c>
      <c r="C958" s="10" t="s">
        <v>1446</v>
      </c>
      <c r="D958" s="11" t="str">
        <f t="shared" si="1"/>
        <v>Abrir anúncio ↗</v>
      </c>
      <c r="E958" s="10" t="s">
        <v>6171</v>
      </c>
      <c r="F958" s="10" t="s">
        <v>29</v>
      </c>
      <c r="G958" s="12"/>
    </row>
    <row r="959" ht="15.75" customHeight="1">
      <c r="A959" s="10" t="s">
        <v>5984</v>
      </c>
      <c r="B959" s="12" t="s">
        <v>1448</v>
      </c>
      <c r="C959" s="10" t="s">
        <v>2712</v>
      </c>
      <c r="D959" s="11" t="str">
        <f t="shared" si="1"/>
        <v>Abrir anúncio ↗</v>
      </c>
      <c r="E959" s="10" t="s">
        <v>6171</v>
      </c>
      <c r="F959" s="10" t="s">
        <v>29</v>
      </c>
      <c r="G959" s="12"/>
    </row>
    <row r="960" ht="15.75" customHeight="1">
      <c r="A960" s="10" t="s">
        <v>5984</v>
      </c>
      <c r="B960" s="12" t="s">
        <v>1453</v>
      </c>
      <c r="C960" s="10" t="s">
        <v>1452</v>
      </c>
      <c r="D960" s="11" t="str">
        <f t="shared" si="1"/>
        <v>Abrir anúncio ↗</v>
      </c>
      <c r="E960" s="10" t="s">
        <v>6171</v>
      </c>
      <c r="F960" s="10" t="s">
        <v>29</v>
      </c>
      <c r="G960" s="12"/>
    </row>
    <row r="961" ht="15.75" customHeight="1">
      <c r="A961" s="10" t="s">
        <v>5984</v>
      </c>
      <c r="B961" s="12" t="s">
        <v>1453</v>
      </c>
      <c r="C961" s="10" t="s">
        <v>2676</v>
      </c>
      <c r="D961" s="11" t="str">
        <f t="shared" si="1"/>
        <v>Abrir anúncio ↗</v>
      </c>
      <c r="E961" s="10" t="s">
        <v>6171</v>
      </c>
      <c r="F961" s="10" t="s">
        <v>29</v>
      </c>
      <c r="G961" s="12"/>
    </row>
    <row r="962" ht="15.75" customHeight="1">
      <c r="A962" s="10" t="s">
        <v>5984</v>
      </c>
      <c r="B962" s="12" t="s">
        <v>1470</v>
      </c>
      <c r="C962" s="10" t="s">
        <v>1468</v>
      </c>
      <c r="D962" s="11" t="str">
        <f t="shared" si="1"/>
        <v>Abrir anúncio ↗</v>
      </c>
      <c r="E962" s="10" t="s">
        <v>6171</v>
      </c>
      <c r="F962" s="10" t="s">
        <v>29</v>
      </c>
      <c r="G962" s="12"/>
    </row>
    <row r="963" ht="15.75" customHeight="1">
      <c r="A963" s="10" t="s">
        <v>5984</v>
      </c>
      <c r="B963" s="12" t="s">
        <v>1470</v>
      </c>
      <c r="C963" s="10" t="s">
        <v>1819</v>
      </c>
      <c r="D963" s="11" t="str">
        <f t="shared" si="1"/>
        <v>Abrir anúncio ↗</v>
      </c>
      <c r="E963" s="10" t="s">
        <v>6171</v>
      </c>
      <c r="F963" s="10" t="s">
        <v>29</v>
      </c>
      <c r="G963" s="12"/>
    </row>
    <row r="964" ht="15.75" customHeight="1">
      <c r="A964" s="10" t="s">
        <v>5984</v>
      </c>
      <c r="B964" s="12" t="s">
        <v>1477</v>
      </c>
      <c r="C964" s="10" t="s">
        <v>1474</v>
      </c>
      <c r="D964" s="11" t="str">
        <f t="shared" si="1"/>
        <v>Abrir anúncio ↗</v>
      </c>
      <c r="E964" s="10" t="s">
        <v>6171</v>
      </c>
      <c r="F964" s="10" t="s">
        <v>29</v>
      </c>
      <c r="G964" s="12"/>
    </row>
    <row r="965" ht="15.75" customHeight="1">
      <c r="A965" s="10" t="s">
        <v>5984</v>
      </c>
      <c r="B965" s="12" t="s">
        <v>1477</v>
      </c>
      <c r="C965" s="10" t="s">
        <v>2703</v>
      </c>
      <c r="D965" s="11" t="str">
        <f t="shared" si="1"/>
        <v>Abrir anúncio ↗</v>
      </c>
      <c r="E965" s="10" t="s">
        <v>6171</v>
      </c>
      <c r="F965" s="10" t="s">
        <v>29</v>
      </c>
      <c r="G965" s="12"/>
    </row>
    <row r="966" ht="15.75" customHeight="1">
      <c r="A966" s="10" t="s">
        <v>5984</v>
      </c>
      <c r="B966" s="12" t="s">
        <v>1501</v>
      </c>
      <c r="C966" s="10" t="s">
        <v>1500</v>
      </c>
      <c r="D966" s="11" t="str">
        <f t="shared" si="1"/>
        <v>Abrir anúncio ↗</v>
      </c>
      <c r="E966" s="10" t="s">
        <v>6171</v>
      </c>
      <c r="F966" s="10" t="s">
        <v>29</v>
      </c>
      <c r="G966" s="12"/>
    </row>
    <row r="967" ht="15.75" customHeight="1">
      <c r="A967" s="10" t="s">
        <v>5984</v>
      </c>
      <c r="B967" s="12" t="s">
        <v>1501</v>
      </c>
      <c r="C967" s="10" t="s">
        <v>1748</v>
      </c>
      <c r="D967" s="11" t="str">
        <f t="shared" si="1"/>
        <v>Abrir anúncio ↗</v>
      </c>
      <c r="E967" s="10" t="s">
        <v>6171</v>
      </c>
      <c r="F967" s="10" t="s">
        <v>29</v>
      </c>
      <c r="G967" s="12"/>
    </row>
    <row r="968" ht="15.75" customHeight="1">
      <c r="A968" s="10" t="s">
        <v>5984</v>
      </c>
      <c r="B968" s="12" t="s">
        <v>1507</v>
      </c>
      <c r="C968" s="10" t="s">
        <v>1505</v>
      </c>
      <c r="D968" s="11" t="str">
        <f t="shared" si="1"/>
        <v>Abrir anúncio ↗</v>
      </c>
      <c r="E968" s="10" t="s">
        <v>6171</v>
      </c>
      <c r="F968" s="10" t="s">
        <v>29</v>
      </c>
      <c r="G968" s="12"/>
    </row>
    <row r="969" ht="15.75" customHeight="1">
      <c r="A969" s="10" t="s">
        <v>5984</v>
      </c>
      <c r="B969" s="12" t="s">
        <v>1507</v>
      </c>
      <c r="C969" s="10" t="s">
        <v>2899</v>
      </c>
      <c r="D969" s="11" t="str">
        <f t="shared" si="1"/>
        <v>Abrir anúncio ↗</v>
      </c>
      <c r="E969" s="10" t="s">
        <v>6171</v>
      </c>
      <c r="F969" s="10" t="s">
        <v>29</v>
      </c>
      <c r="G969" s="12"/>
    </row>
    <row r="970" ht="15.75" customHeight="1">
      <c r="A970" s="10" t="s">
        <v>5984</v>
      </c>
      <c r="B970" s="12" t="s">
        <v>1520</v>
      </c>
      <c r="C970" s="10" t="s">
        <v>1518</v>
      </c>
      <c r="D970" s="11" t="str">
        <f t="shared" si="1"/>
        <v>Abrir anúncio ↗</v>
      </c>
      <c r="E970" s="10" t="s">
        <v>6171</v>
      </c>
      <c r="F970" s="10" t="s">
        <v>29</v>
      </c>
      <c r="G970" s="12"/>
    </row>
    <row r="971" ht="15.75" customHeight="1">
      <c r="A971" s="10" t="s">
        <v>5984</v>
      </c>
      <c r="B971" s="12" t="s">
        <v>1520</v>
      </c>
      <c r="C971" s="10" t="s">
        <v>1881</v>
      </c>
      <c r="D971" s="11" t="str">
        <f t="shared" si="1"/>
        <v>Abrir anúncio ↗</v>
      </c>
      <c r="E971" s="10" t="s">
        <v>6171</v>
      </c>
      <c r="F971" s="10" t="s">
        <v>29</v>
      </c>
      <c r="G971" s="12"/>
    </row>
    <row r="972" ht="15.75" customHeight="1">
      <c r="A972" s="10" t="s">
        <v>5984</v>
      </c>
      <c r="B972" s="12" t="s">
        <v>1540</v>
      </c>
      <c r="C972" s="10" t="s">
        <v>1539</v>
      </c>
      <c r="D972" s="11" t="str">
        <f t="shared" si="1"/>
        <v>Abrir anúncio ↗</v>
      </c>
      <c r="E972" s="10" t="s">
        <v>6171</v>
      </c>
      <c r="F972" s="10" t="s">
        <v>29</v>
      </c>
      <c r="G972" s="12"/>
    </row>
    <row r="973" ht="15.75" customHeight="1">
      <c r="A973" s="10" t="s">
        <v>5984</v>
      </c>
      <c r="B973" s="12" t="s">
        <v>1540</v>
      </c>
      <c r="C973" s="10" t="s">
        <v>2953</v>
      </c>
      <c r="D973" s="11" t="str">
        <f t="shared" si="1"/>
        <v>Abrir anúncio ↗</v>
      </c>
      <c r="E973" s="10" t="s">
        <v>6171</v>
      </c>
      <c r="F973" s="10" t="s">
        <v>29</v>
      </c>
      <c r="G973" s="12"/>
    </row>
    <row r="974" ht="15.75" customHeight="1">
      <c r="A974" s="10" t="s">
        <v>5984</v>
      </c>
      <c r="B974" s="12" t="s">
        <v>1551</v>
      </c>
      <c r="C974" s="10" t="s">
        <v>1547</v>
      </c>
      <c r="D974" s="11" t="str">
        <f t="shared" si="1"/>
        <v>Abrir anúncio ↗</v>
      </c>
      <c r="E974" s="10" t="s">
        <v>6171</v>
      </c>
      <c r="F974" s="10" t="s">
        <v>29</v>
      </c>
      <c r="G974" s="12"/>
    </row>
    <row r="975" ht="15.75" customHeight="1">
      <c r="A975" s="10" t="s">
        <v>5984</v>
      </c>
      <c r="B975" s="12" t="s">
        <v>1551</v>
      </c>
      <c r="C975" s="10" t="s">
        <v>1641</v>
      </c>
      <c r="D975" s="11" t="str">
        <f t="shared" si="1"/>
        <v>Abrir anúncio ↗</v>
      </c>
      <c r="E975" s="10" t="s">
        <v>6171</v>
      </c>
      <c r="F975" s="10" t="s">
        <v>29</v>
      </c>
      <c r="G975" s="12"/>
    </row>
    <row r="976" ht="15.75" customHeight="1">
      <c r="A976" s="10" t="s">
        <v>5984</v>
      </c>
      <c r="B976" s="12" t="s">
        <v>1607</v>
      </c>
      <c r="C976" s="10" t="s">
        <v>1605</v>
      </c>
      <c r="D976" s="11" t="str">
        <f t="shared" si="1"/>
        <v>Abrir anúncio ↗</v>
      </c>
      <c r="E976" s="10" t="s">
        <v>6171</v>
      </c>
      <c r="F976" s="10" t="s">
        <v>29</v>
      </c>
      <c r="G976" s="12"/>
    </row>
    <row r="977" ht="15.75" customHeight="1">
      <c r="A977" s="10" t="s">
        <v>5984</v>
      </c>
      <c r="B977" s="12" t="s">
        <v>1607</v>
      </c>
      <c r="C977" s="10" t="s">
        <v>2926</v>
      </c>
      <c r="D977" s="11" t="str">
        <f t="shared" si="1"/>
        <v>Abrir anúncio ↗</v>
      </c>
      <c r="E977" s="10" t="s">
        <v>6171</v>
      </c>
      <c r="F977" s="10" t="s">
        <v>29</v>
      </c>
      <c r="G977" s="12"/>
    </row>
    <row r="978" ht="15.75" customHeight="1">
      <c r="A978" s="10" t="s">
        <v>5984</v>
      </c>
      <c r="B978" s="12" t="s">
        <v>3001</v>
      </c>
      <c r="C978" s="10" t="s">
        <v>3098</v>
      </c>
      <c r="D978" s="11" t="str">
        <f t="shared" si="1"/>
        <v>Abrir anúncio ↗</v>
      </c>
      <c r="E978" s="10" t="s">
        <v>6179</v>
      </c>
      <c r="F978" s="10" t="s">
        <v>29</v>
      </c>
      <c r="G978" s="12"/>
    </row>
    <row r="979" ht="15.75" customHeight="1">
      <c r="A979" s="10" t="s">
        <v>5984</v>
      </c>
      <c r="B979" s="12" t="s">
        <v>3001</v>
      </c>
      <c r="C979" s="10" t="s">
        <v>2998</v>
      </c>
      <c r="D979" s="11" t="str">
        <f t="shared" si="1"/>
        <v>Abrir anúncio ↗</v>
      </c>
      <c r="E979" s="10" t="s">
        <v>6179</v>
      </c>
      <c r="F979" s="10" t="s">
        <v>86</v>
      </c>
      <c r="G979" s="12"/>
    </row>
    <row r="980" ht="15.75" customHeight="1">
      <c r="A980" s="10" t="s">
        <v>5984</v>
      </c>
      <c r="B980" s="12" t="s">
        <v>4238</v>
      </c>
      <c r="C980" s="10" t="s">
        <v>4236</v>
      </c>
      <c r="D980" s="11" t="str">
        <f t="shared" si="1"/>
        <v>Abrir anúncio ↗</v>
      </c>
      <c r="E980" s="10" t="s">
        <v>6171</v>
      </c>
      <c r="F980" s="10" t="s">
        <v>29</v>
      </c>
      <c r="G980" s="12"/>
    </row>
    <row r="981" ht="15.75" customHeight="1">
      <c r="A981" s="10" t="s">
        <v>5984</v>
      </c>
      <c r="B981" s="12" t="s">
        <v>4238</v>
      </c>
      <c r="C981" s="10" t="s">
        <v>7399</v>
      </c>
      <c r="D981" s="11" t="str">
        <f t="shared" si="1"/>
        <v>Abrir anúncio ↗</v>
      </c>
      <c r="E981" s="10" t="s">
        <v>6171</v>
      </c>
      <c r="F981" s="10" t="s">
        <v>29</v>
      </c>
      <c r="G981" s="12"/>
    </row>
    <row r="982" ht="15.75" customHeight="1">
      <c r="A982" s="10" t="s">
        <v>5984</v>
      </c>
      <c r="B982" s="12" t="s">
        <v>6667</v>
      </c>
      <c r="C982" s="10" t="s">
        <v>8755</v>
      </c>
      <c r="D982" s="11" t="str">
        <f t="shared" si="1"/>
        <v>Abrir anúncio ↗</v>
      </c>
      <c r="E982" s="10" t="s">
        <v>6157</v>
      </c>
      <c r="F982" s="10" t="s">
        <v>29</v>
      </c>
      <c r="G982" s="12"/>
    </row>
    <row r="983" ht="15.75" customHeight="1">
      <c r="A983" s="10" t="s">
        <v>5984</v>
      </c>
      <c r="B983" s="12" t="s">
        <v>6667</v>
      </c>
      <c r="C983" s="10" t="s">
        <v>6666</v>
      </c>
      <c r="D983" s="11" t="str">
        <f t="shared" si="1"/>
        <v>Abrir anúncio ↗</v>
      </c>
      <c r="E983" s="10" t="s">
        <v>6157</v>
      </c>
      <c r="F983" s="10" t="s">
        <v>29</v>
      </c>
      <c r="G983" s="12"/>
    </row>
    <row r="984" ht="15.75" customHeight="1">
      <c r="A984" s="10" t="s">
        <v>5984</v>
      </c>
      <c r="B984" s="12" t="s">
        <v>8497</v>
      </c>
      <c r="C984" s="10" t="s">
        <v>8759</v>
      </c>
      <c r="D984" s="11" t="str">
        <f t="shared" si="1"/>
        <v>Abrir anúncio ↗</v>
      </c>
      <c r="E984" s="10" t="s">
        <v>6157</v>
      </c>
      <c r="F984" s="10" t="s">
        <v>29</v>
      </c>
      <c r="G984" s="12"/>
    </row>
    <row r="985" ht="15.75" customHeight="1">
      <c r="A985" s="10" t="s">
        <v>5984</v>
      </c>
      <c r="B985" s="12" t="s">
        <v>8497</v>
      </c>
      <c r="C985" s="10" t="s">
        <v>8495</v>
      </c>
      <c r="D985" s="11" t="str">
        <f t="shared" si="1"/>
        <v>Abrir anúncio ↗</v>
      </c>
      <c r="E985" s="10" t="s">
        <v>6157</v>
      </c>
      <c r="F985" s="10" t="s">
        <v>29</v>
      </c>
      <c r="G985" s="12"/>
    </row>
    <row r="986" ht="15.75" customHeight="1">
      <c r="A986" s="10" t="s">
        <v>5984</v>
      </c>
      <c r="B986" s="12" t="s">
        <v>8652</v>
      </c>
      <c r="C986" s="10" t="s">
        <v>8763</v>
      </c>
      <c r="D986" s="11" t="str">
        <f t="shared" si="1"/>
        <v>Abrir anúncio ↗</v>
      </c>
      <c r="E986" s="10" t="s">
        <v>6157</v>
      </c>
      <c r="F986" s="10" t="s">
        <v>29</v>
      </c>
      <c r="G986" s="12"/>
    </row>
    <row r="987" ht="15.75" customHeight="1">
      <c r="A987" s="10" t="s">
        <v>5984</v>
      </c>
      <c r="B987" s="12" t="s">
        <v>8652</v>
      </c>
      <c r="C987" s="10" t="s">
        <v>8651</v>
      </c>
      <c r="D987" s="11" t="str">
        <f t="shared" si="1"/>
        <v>Abrir anúncio ↗</v>
      </c>
      <c r="E987" s="10" t="s">
        <v>6157</v>
      </c>
      <c r="F987" s="10" t="s">
        <v>29</v>
      </c>
      <c r="G987" s="12"/>
    </row>
    <row r="988" ht="15.75" customHeight="1">
      <c r="A988" s="10" t="s">
        <v>5984</v>
      </c>
      <c r="B988" s="12" t="s">
        <v>8703</v>
      </c>
      <c r="C988" s="10" t="s">
        <v>8766</v>
      </c>
      <c r="D988" s="11" t="str">
        <f t="shared" si="1"/>
        <v>Abrir anúncio ↗</v>
      </c>
      <c r="E988" s="10" t="s">
        <v>6157</v>
      </c>
      <c r="F988" s="10" t="s">
        <v>29</v>
      </c>
      <c r="G988" s="12"/>
    </row>
    <row r="989" ht="15.75" customHeight="1">
      <c r="A989" s="10" t="s">
        <v>5984</v>
      </c>
      <c r="B989" s="12" t="s">
        <v>8703</v>
      </c>
      <c r="C989" s="10" t="s">
        <v>8702</v>
      </c>
      <c r="D989" s="11" t="str">
        <f t="shared" si="1"/>
        <v>Abrir anúncio ↗</v>
      </c>
      <c r="E989" s="10" t="s">
        <v>6157</v>
      </c>
      <c r="F989" s="10" t="s">
        <v>29</v>
      </c>
      <c r="G989" s="12"/>
    </row>
    <row r="990" ht="15.75" customHeight="1">
      <c r="A990" s="10" t="s">
        <v>5984</v>
      </c>
      <c r="B990" s="12" t="s">
        <v>8769</v>
      </c>
      <c r="C990" s="10" t="s">
        <v>8770</v>
      </c>
      <c r="D990" s="11" t="str">
        <f t="shared" si="1"/>
        <v>Abrir anúncio ↗</v>
      </c>
      <c r="E990" s="10" t="s">
        <v>6157</v>
      </c>
      <c r="F990" s="10" t="s">
        <v>29</v>
      </c>
      <c r="G990" s="12"/>
    </row>
    <row r="991" ht="15.75" customHeight="1">
      <c r="A991" s="10" t="s">
        <v>5984</v>
      </c>
      <c r="B991" s="12" t="s">
        <v>8769</v>
      </c>
      <c r="C991" s="10" t="s">
        <v>8773</v>
      </c>
      <c r="D991" s="11" t="str">
        <f t="shared" si="1"/>
        <v>Abrir anúncio ↗</v>
      </c>
      <c r="E991" s="10" t="s">
        <v>6157</v>
      </c>
      <c r="F991" s="10" t="s">
        <v>29</v>
      </c>
      <c r="G991" s="12"/>
    </row>
    <row r="992" ht="15.75" customHeight="1">
      <c r="A992" s="10" t="s">
        <v>5984</v>
      </c>
      <c r="B992" s="12" t="s">
        <v>6895</v>
      </c>
      <c r="C992" s="10" t="s">
        <v>8776</v>
      </c>
      <c r="D992" s="11" t="str">
        <f t="shared" si="1"/>
        <v>Abrir anúncio ↗</v>
      </c>
      <c r="E992" s="10" t="s">
        <v>6157</v>
      </c>
      <c r="F992" s="10" t="s">
        <v>29</v>
      </c>
      <c r="G992" s="12"/>
    </row>
    <row r="993" ht="15.75" customHeight="1">
      <c r="A993" s="10" t="s">
        <v>5984</v>
      </c>
      <c r="B993" s="12" t="s">
        <v>6895</v>
      </c>
      <c r="C993" s="10" t="s">
        <v>6893</v>
      </c>
      <c r="D993" s="11" t="str">
        <f t="shared" si="1"/>
        <v>Abrir anúncio ↗</v>
      </c>
      <c r="E993" s="10" t="s">
        <v>6157</v>
      </c>
      <c r="F993" s="10" t="s">
        <v>29</v>
      </c>
      <c r="G993" s="12"/>
    </row>
    <row r="994" ht="15.75" customHeight="1">
      <c r="A994" s="10" t="s">
        <v>5984</v>
      </c>
      <c r="B994" s="12" t="s">
        <v>8417</v>
      </c>
      <c r="C994" s="10" t="s">
        <v>8779</v>
      </c>
      <c r="D994" s="11" t="str">
        <f t="shared" si="1"/>
        <v>Abrir anúncio ↗</v>
      </c>
      <c r="E994" s="10" t="s">
        <v>6157</v>
      </c>
      <c r="F994" s="10" t="s">
        <v>29</v>
      </c>
      <c r="G994" s="12"/>
    </row>
    <row r="995" ht="15.75" customHeight="1">
      <c r="A995" s="10" t="s">
        <v>5984</v>
      </c>
      <c r="B995" s="12" t="s">
        <v>8417</v>
      </c>
      <c r="C995" s="10" t="s">
        <v>8416</v>
      </c>
      <c r="D995" s="11" t="str">
        <f t="shared" si="1"/>
        <v>Abrir anúncio ↗</v>
      </c>
      <c r="E995" s="10" t="s">
        <v>6157</v>
      </c>
      <c r="F995" s="10" t="s">
        <v>29</v>
      </c>
      <c r="G995" s="12"/>
    </row>
    <row r="996" ht="15.75" customHeight="1">
      <c r="A996" s="10" t="s">
        <v>5984</v>
      </c>
      <c r="B996" s="12" t="s">
        <v>6856</v>
      </c>
      <c r="C996" s="10" t="s">
        <v>8782</v>
      </c>
      <c r="D996" s="11" t="str">
        <f t="shared" si="1"/>
        <v>Abrir anúncio ↗</v>
      </c>
      <c r="E996" s="10" t="s">
        <v>6157</v>
      </c>
      <c r="F996" s="10" t="s">
        <v>29</v>
      </c>
      <c r="G996" s="12"/>
    </row>
    <row r="997" ht="15.75" customHeight="1">
      <c r="A997" s="10" t="s">
        <v>5984</v>
      </c>
      <c r="B997" s="12" t="s">
        <v>6856</v>
      </c>
      <c r="C997" s="10" t="s">
        <v>6855</v>
      </c>
      <c r="D997" s="11" t="str">
        <f t="shared" si="1"/>
        <v>Abrir anúncio ↗</v>
      </c>
      <c r="E997" s="10" t="s">
        <v>6157</v>
      </c>
      <c r="F997" s="10" t="s">
        <v>29</v>
      </c>
      <c r="G997" s="12"/>
    </row>
    <row r="998" ht="15.75" customHeight="1">
      <c r="A998" s="10" t="s">
        <v>5984</v>
      </c>
      <c r="B998" s="12" t="s">
        <v>8648</v>
      </c>
      <c r="C998" s="10" t="s">
        <v>8785</v>
      </c>
      <c r="D998" s="11" t="str">
        <f t="shared" si="1"/>
        <v>Abrir anúncio ↗</v>
      </c>
      <c r="E998" s="10" t="s">
        <v>6157</v>
      </c>
      <c r="F998" s="10" t="s">
        <v>29</v>
      </c>
      <c r="G998" s="12"/>
    </row>
    <row r="999" ht="15.75" customHeight="1">
      <c r="A999" s="10" t="s">
        <v>5984</v>
      </c>
      <c r="B999" s="12" t="s">
        <v>8648</v>
      </c>
      <c r="C999" s="10" t="s">
        <v>8647</v>
      </c>
      <c r="D999" s="11" t="str">
        <f t="shared" si="1"/>
        <v>Abrir anúncio ↗</v>
      </c>
      <c r="E999" s="10" t="s">
        <v>6157</v>
      </c>
      <c r="F999" s="10" t="s">
        <v>29</v>
      </c>
      <c r="G999" s="12"/>
    </row>
    <row r="1000" ht="15.75" customHeight="1">
      <c r="A1000" s="10" t="s">
        <v>5984</v>
      </c>
      <c r="B1000" s="12" t="s">
        <v>8671</v>
      </c>
      <c r="C1000" s="10" t="s">
        <v>8790</v>
      </c>
      <c r="D1000" s="11" t="str">
        <f t="shared" si="1"/>
        <v>Abrir anúncio ↗</v>
      </c>
      <c r="E1000" s="10" t="s">
        <v>6157</v>
      </c>
      <c r="F1000" s="10" t="s">
        <v>29</v>
      </c>
      <c r="G1000" s="12"/>
    </row>
    <row r="1001" ht="15.75" customHeight="1">
      <c r="A1001" s="10" t="s">
        <v>5984</v>
      </c>
      <c r="B1001" s="12" t="s">
        <v>8671</v>
      </c>
      <c r="C1001" s="10" t="s">
        <v>8670</v>
      </c>
      <c r="D1001" s="11" t="str">
        <f t="shared" si="1"/>
        <v>Abrir anúncio ↗</v>
      </c>
      <c r="E1001" s="10" t="s">
        <v>6157</v>
      </c>
      <c r="F1001" s="10" t="s">
        <v>29</v>
      </c>
      <c r="G1001" s="12"/>
    </row>
    <row r="1002" ht="15.75" customHeight="1">
      <c r="A1002" s="10" t="s">
        <v>5984</v>
      </c>
      <c r="B1002" s="12" t="s">
        <v>6852</v>
      </c>
      <c r="C1002" s="10" t="s">
        <v>8793</v>
      </c>
      <c r="D1002" s="11" t="str">
        <f t="shared" si="1"/>
        <v>Abrir anúncio ↗</v>
      </c>
      <c r="E1002" s="10" t="s">
        <v>6157</v>
      </c>
      <c r="F1002" s="10" t="s">
        <v>29</v>
      </c>
      <c r="G1002" s="12"/>
    </row>
    <row r="1003" ht="15.75" customHeight="1">
      <c r="A1003" s="10" t="s">
        <v>5984</v>
      </c>
      <c r="B1003" s="12" t="s">
        <v>6852</v>
      </c>
      <c r="C1003" s="10" t="s">
        <v>6851</v>
      </c>
      <c r="D1003" s="11" t="str">
        <f t="shared" si="1"/>
        <v>Abrir anúncio ↗</v>
      </c>
      <c r="E1003" s="10" t="s">
        <v>6157</v>
      </c>
      <c r="F1003" s="10" t="s">
        <v>29</v>
      </c>
      <c r="G1003" s="12"/>
    </row>
    <row r="1004" ht="15.75" customHeight="1">
      <c r="A1004" s="10" t="s">
        <v>5984</v>
      </c>
      <c r="B1004" s="12" t="s">
        <v>8635</v>
      </c>
      <c r="C1004" s="10" t="s">
        <v>8796</v>
      </c>
      <c r="D1004" s="11" t="str">
        <f t="shared" si="1"/>
        <v>Abrir anúncio ↗</v>
      </c>
      <c r="E1004" s="10" t="s">
        <v>6157</v>
      </c>
      <c r="F1004" s="10" t="s">
        <v>29</v>
      </c>
      <c r="G1004" s="12"/>
    </row>
    <row r="1005" ht="15.75" customHeight="1">
      <c r="A1005" s="10" t="s">
        <v>5984</v>
      </c>
      <c r="B1005" s="12" t="s">
        <v>8635</v>
      </c>
      <c r="C1005" s="10" t="s">
        <v>8634</v>
      </c>
      <c r="D1005" s="11" t="str">
        <f t="shared" si="1"/>
        <v>Abrir anúncio ↗</v>
      </c>
      <c r="E1005" s="10" t="s">
        <v>6157</v>
      </c>
      <c r="F1005" s="10" t="s">
        <v>29</v>
      </c>
      <c r="G1005" s="12"/>
    </row>
    <row r="1006" ht="15.75" customHeight="1">
      <c r="A1006" s="10" t="s">
        <v>5984</v>
      </c>
      <c r="B1006" s="12" t="s">
        <v>8675</v>
      </c>
      <c r="C1006" s="10" t="s">
        <v>8799</v>
      </c>
      <c r="D1006" s="11" t="str">
        <f t="shared" si="1"/>
        <v>Abrir anúncio ↗</v>
      </c>
      <c r="E1006" s="10" t="s">
        <v>6157</v>
      </c>
      <c r="F1006" s="10" t="s">
        <v>29</v>
      </c>
      <c r="G1006" s="12"/>
    </row>
    <row r="1007" ht="15.75" customHeight="1">
      <c r="A1007" s="10" t="s">
        <v>5984</v>
      </c>
      <c r="B1007" s="12" t="s">
        <v>8675</v>
      </c>
      <c r="C1007" s="10" t="s">
        <v>8674</v>
      </c>
      <c r="D1007" s="11" t="str">
        <f t="shared" si="1"/>
        <v>Abrir anúncio ↗</v>
      </c>
      <c r="E1007" s="10" t="s">
        <v>6157</v>
      </c>
      <c r="F1007" s="10" t="s">
        <v>29</v>
      </c>
      <c r="G1007" s="12"/>
    </row>
    <row r="1008" ht="15.75" customHeight="1">
      <c r="A1008" s="10" t="s">
        <v>5984</v>
      </c>
      <c r="B1008" s="12" t="s">
        <v>8802</v>
      </c>
      <c r="C1008" s="10" t="s">
        <v>8804</v>
      </c>
      <c r="D1008" s="11" t="str">
        <f t="shared" si="1"/>
        <v>Abrir anúncio ↗</v>
      </c>
      <c r="E1008" s="10" t="s">
        <v>6157</v>
      </c>
      <c r="F1008" s="10" t="s">
        <v>29</v>
      </c>
      <c r="G1008" s="12"/>
    </row>
    <row r="1009" ht="15.75" customHeight="1">
      <c r="A1009" s="10" t="s">
        <v>5984</v>
      </c>
      <c r="B1009" s="12" t="s">
        <v>8802</v>
      </c>
      <c r="C1009" s="10" t="s">
        <v>8806</v>
      </c>
      <c r="D1009" s="11" t="str">
        <f t="shared" si="1"/>
        <v>Abrir anúncio ↗</v>
      </c>
      <c r="E1009" s="10" t="s">
        <v>6157</v>
      </c>
      <c r="F1009" s="10" t="s">
        <v>29</v>
      </c>
      <c r="G1009" s="12"/>
    </row>
    <row r="1010" ht="15.75" customHeight="1">
      <c r="A1010" s="10" t="s">
        <v>5984</v>
      </c>
      <c r="B1010" s="12" t="s">
        <v>6846</v>
      </c>
      <c r="C1010" s="10" t="s">
        <v>8809</v>
      </c>
      <c r="D1010" s="11" t="str">
        <f t="shared" si="1"/>
        <v>Abrir anúncio ↗</v>
      </c>
      <c r="E1010" s="10" t="s">
        <v>6157</v>
      </c>
      <c r="F1010" s="10" t="s">
        <v>29</v>
      </c>
      <c r="G1010" s="12"/>
    </row>
    <row r="1011" ht="15.75" customHeight="1">
      <c r="A1011" s="10" t="s">
        <v>5984</v>
      </c>
      <c r="B1011" s="12" t="s">
        <v>6846</v>
      </c>
      <c r="C1011" s="10" t="s">
        <v>6845</v>
      </c>
      <c r="D1011" s="11" t="str">
        <f t="shared" si="1"/>
        <v>Abrir anúncio ↗</v>
      </c>
      <c r="E1011" s="10" t="s">
        <v>6157</v>
      </c>
      <c r="F1011" s="10" t="s">
        <v>29</v>
      </c>
      <c r="G1011" s="12"/>
    </row>
    <row r="1012" ht="15.75" customHeight="1">
      <c r="A1012" s="10" t="s">
        <v>5984</v>
      </c>
      <c r="B1012" s="12" t="s">
        <v>8812</v>
      </c>
      <c r="C1012" s="10" t="s">
        <v>8813</v>
      </c>
      <c r="D1012" s="11" t="str">
        <f t="shared" si="1"/>
        <v>Abrir anúncio ↗</v>
      </c>
      <c r="E1012" s="10" t="s">
        <v>6157</v>
      </c>
      <c r="F1012" s="10" t="s">
        <v>29</v>
      </c>
      <c r="G1012" s="12"/>
    </row>
    <row r="1013" ht="15.75" customHeight="1">
      <c r="A1013" s="10" t="s">
        <v>5984</v>
      </c>
      <c r="B1013" s="12" t="s">
        <v>8812</v>
      </c>
      <c r="C1013" s="10" t="s">
        <v>8816</v>
      </c>
      <c r="D1013" s="11" t="str">
        <f t="shared" si="1"/>
        <v>Abrir anúncio ↗</v>
      </c>
      <c r="E1013" s="10" t="s">
        <v>6157</v>
      </c>
      <c r="F1013" s="10" t="s">
        <v>29</v>
      </c>
      <c r="G1013" s="12"/>
    </row>
    <row r="1014" ht="15.75" customHeight="1">
      <c r="A1014" s="10" t="s">
        <v>5984</v>
      </c>
      <c r="B1014" s="12" t="s">
        <v>6799</v>
      </c>
      <c r="C1014" s="10" t="s">
        <v>8819</v>
      </c>
      <c r="D1014" s="11" t="str">
        <f t="shared" si="1"/>
        <v>Abrir anúncio ↗</v>
      </c>
      <c r="E1014" s="10" t="s">
        <v>6157</v>
      </c>
      <c r="F1014" s="10" t="s">
        <v>29</v>
      </c>
      <c r="G1014" s="12"/>
    </row>
    <row r="1015" ht="15.75" customHeight="1">
      <c r="A1015" s="10" t="s">
        <v>5984</v>
      </c>
      <c r="B1015" s="12" t="s">
        <v>6799</v>
      </c>
      <c r="C1015" s="10" t="s">
        <v>6798</v>
      </c>
      <c r="D1015" s="11" t="str">
        <f t="shared" si="1"/>
        <v>Abrir anúncio ↗</v>
      </c>
      <c r="E1015" s="10" t="s">
        <v>6157</v>
      </c>
      <c r="F1015" s="10" t="s">
        <v>29</v>
      </c>
      <c r="G1015" s="12"/>
    </row>
    <row r="1016" ht="15.75" customHeight="1">
      <c r="A1016" s="10" t="s">
        <v>5984</v>
      </c>
      <c r="B1016" s="12" t="s">
        <v>7173</v>
      </c>
      <c r="C1016" s="10" t="s">
        <v>8823</v>
      </c>
      <c r="D1016" s="11" t="str">
        <f t="shared" si="1"/>
        <v>Abrir anúncio ↗</v>
      </c>
      <c r="E1016" s="10" t="s">
        <v>6157</v>
      </c>
      <c r="F1016" s="10" t="s">
        <v>29</v>
      </c>
      <c r="G1016" s="12"/>
    </row>
    <row r="1017" ht="15.75" customHeight="1">
      <c r="A1017" s="10" t="s">
        <v>5984</v>
      </c>
      <c r="B1017" s="12" t="s">
        <v>7173</v>
      </c>
      <c r="C1017" s="10" t="s">
        <v>7171</v>
      </c>
      <c r="D1017" s="11" t="str">
        <f t="shared" si="1"/>
        <v>Abrir anúncio ↗</v>
      </c>
      <c r="E1017" s="10" t="s">
        <v>6157</v>
      </c>
      <c r="F1017" s="10" t="s">
        <v>29</v>
      </c>
      <c r="G1017" s="12"/>
    </row>
    <row r="1018" ht="15.75" customHeight="1">
      <c r="A1018" s="10" t="s">
        <v>5984</v>
      </c>
      <c r="B1018" s="12" t="s">
        <v>8614</v>
      </c>
      <c r="C1018" s="10" t="s">
        <v>8826</v>
      </c>
      <c r="D1018" s="11" t="str">
        <f t="shared" si="1"/>
        <v>Abrir anúncio ↗</v>
      </c>
      <c r="E1018" s="10" t="s">
        <v>6157</v>
      </c>
      <c r="F1018" s="10" t="s">
        <v>29</v>
      </c>
      <c r="G1018" s="12"/>
    </row>
    <row r="1019" ht="15.75" customHeight="1">
      <c r="A1019" s="10" t="s">
        <v>5984</v>
      </c>
      <c r="B1019" s="12" t="s">
        <v>8614</v>
      </c>
      <c r="C1019" s="10" t="s">
        <v>8613</v>
      </c>
      <c r="D1019" s="11" t="str">
        <f t="shared" si="1"/>
        <v>Abrir anúncio ↗</v>
      </c>
      <c r="E1019" s="10" t="s">
        <v>6157</v>
      </c>
      <c r="F1019" s="10" t="s">
        <v>29</v>
      </c>
      <c r="G1019" s="12"/>
    </row>
    <row r="1020" ht="15.75" customHeight="1">
      <c r="A1020" s="10" t="s">
        <v>5984</v>
      </c>
      <c r="B1020" s="12" t="s">
        <v>6673</v>
      </c>
      <c r="C1020" s="10" t="s">
        <v>8829</v>
      </c>
      <c r="D1020" s="11" t="str">
        <f t="shared" si="1"/>
        <v>Abrir anúncio ↗</v>
      </c>
      <c r="E1020" s="10" t="s">
        <v>6157</v>
      </c>
      <c r="F1020" s="10" t="s">
        <v>29</v>
      </c>
      <c r="G1020" s="12"/>
    </row>
    <row r="1021" ht="15.75" customHeight="1">
      <c r="A1021" s="10" t="s">
        <v>5984</v>
      </c>
      <c r="B1021" s="12" t="s">
        <v>6673</v>
      </c>
      <c r="C1021" s="10" t="s">
        <v>6670</v>
      </c>
      <c r="D1021" s="11" t="str">
        <f t="shared" si="1"/>
        <v>Abrir anúncio ↗</v>
      </c>
      <c r="E1021" s="10" t="s">
        <v>6157</v>
      </c>
      <c r="F1021" s="10" t="s">
        <v>29</v>
      </c>
      <c r="G1021" s="12"/>
    </row>
    <row r="1022" ht="15.75" customHeight="1">
      <c r="A1022" s="10" t="s">
        <v>5984</v>
      </c>
      <c r="B1022" s="12" t="s">
        <v>6911</v>
      </c>
      <c r="C1022" s="10" t="s">
        <v>8834</v>
      </c>
      <c r="D1022" s="11" t="str">
        <f t="shared" si="1"/>
        <v>Abrir anúncio ↗</v>
      </c>
      <c r="E1022" s="10" t="s">
        <v>6157</v>
      </c>
      <c r="F1022" s="10" t="s">
        <v>29</v>
      </c>
      <c r="G1022" s="12"/>
    </row>
    <row r="1023" ht="15.75" customHeight="1">
      <c r="A1023" s="10" t="s">
        <v>5984</v>
      </c>
      <c r="B1023" s="12" t="s">
        <v>6911</v>
      </c>
      <c r="C1023" s="10" t="s">
        <v>6909</v>
      </c>
      <c r="D1023" s="11" t="str">
        <f t="shared" si="1"/>
        <v>Abrir anúncio ↗</v>
      </c>
      <c r="E1023" s="10" t="s">
        <v>6157</v>
      </c>
      <c r="F1023" s="10" t="s">
        <v>29</v>
      </c>
      <c r="G1023" s="12"/>
    </row>
    <row r="1024" ht="15.75" customHeight="1">
      <c r="A1024" s="10" t="s">
        <v>5984</v>
      </c>
      <c r="B1024" s="12" t="s">
        <v>6810</v>
      </c>
      <c r="C1024" s="10" t="s">
        <v>8837</v>
      </c>
      <c r="D1024" s="11" t="str">
        <f t="shared" si="1"/>
        <v>Abrir anúncio ↗</v>
      </c>
      <c r="E1024" s="10" t="s">
        <v>6157</v>
      </c>
      <c r="F1024" s="10" t="s">
        <v>29</v>
      </c>
      <c r="G1024" s="12"/>
    </row>
    <row r="1025" ht="15.75" customHeight="1">
      <c r="A1025" s="10" t="s">
        <v>5984</v>
      </c>
      <c r="B1025" s="12" t="s">
        <v>6810</v>
      </c>
      <c r="C1025" s="10" t="s">
        <v>6808</v>
      </c>
      <c r="D1025" s="11" t="str">
        <f t="shared" si="1"/>
        <v>Abrir anúncio ↗</v>
      </c>
      <c r="E1025" s="10" t="s">
        <v>6157</v>
      </c>
      <c r="F1025" s="10" t="s">
        <v>29</v>
      </c>
      <c r="G1025" s="12"/>
    </row>
    <row r="1026" ht="15.75" customHeight="1">
      <c r="A1026" s="10" t="s">
        <v>5984</v>
      </c>
      <c r="B1026" s="12" t="s">
        <v>8693</v>
      </c>
      <c r="C1026" s="10" t="s">
        <v>8841</v>
      </c>
      <c r="D1026" s="11" t="str">
        <f t="shared" si="1"/>
        <v>Abrir anúncio ↗</v>
      </c>
      <c r="E1026" s="10" t="s">
        <v>6157</v>
      </c>
      <c r="F1026" s="10" t="s">
        <v>29</v>
      </c>
      <c r="G1026" s="12"/>
    </row>
    <row r="1027" ht="15.75" customHeight="1">
      <c r="A1027" s="10" t="s">
        <v>5984</v>
      </c>
      <c r="B1027" s="12" t="s">
        <v>8693</v>
      </c>
      <c r="C1027" s="10" t="s">
        <v>8692</v>
      </c>
      <c r="D1027" s="11" t="str">
        <f t="shared" si="1"/>
        <v>Abrir anúncio ↗</v>
      </c>
      <c r="E1027" s="10" t="s">
        <v>6157</v>
      </c>
      <c r="F1027" s="10" t="s">
        <v>29</v>
      </c>
      <c r="G1027" s="12"/>
    </row>
    <row r="1028" ht="15.75" customHeight="1">
      <c r="A1028" s="10" t="s">
        <v>5984</v>
      </c>
      <c r="B1028" s="12" t="s">
        <v>8620</v>
      </c>
      <c r="C1028" s="10" t="s">
        <v>8845</v>
      </c>
      <c r="D1028" s="11" t="str">
        <f t="shared" si="1"/>
        <v>Abrir anúncio ↗</v>
      </c>
      <c r="E1028" s="10" t="s">
        <v>6157</v>
      </c>
      <c r="F1028" s="10" t="s">
        <v>29</v>
      </c>
      <c r="G1028" s="12"/>
    </row>
    <row r="1029" ht="15.75" customHeight="1">
      <c r="A1029" s="10" t="s">
        <v>5984</v>
      </c>
      <c r="B1029" s="12" t="s">
        <v>8620</v>
      </c>
      <c r="C1029" s="10" t="s">
        <v>8619</v>
      </c>
      <c r="D1029" s="11" t="str">
        <f t="shared" si="1"/>
        <v>Abrir anúncio ↗</v>
      </c>
      <c r="E1029" s="10" t="s">
        <v>6157</v>
      </c>
      <c r="F1029" s="10" t="s">
        <v>29</v>
      </c>
      <c r="G1029" s="12"/>
    </row>
    <row r="1030" ht="15.75" customHeight="1">
      <c r="A1030" s="10" t="s">
        <v>5984</v>
      </c>
      <c r="B1030" s="12" t="s">
        <v>6841</v>
      </c>
      <c r="C1030" s="10" t="s">
        <v>8848</v>
      </c>
      <c r="D1030" s="11" t="str">
        <f t="shared" si="1"/>
        <v>Abrir anúncio ↗</v>
      </c>
      <c r="E1030" s="10" t="s">
        <v>6157</v>
      </c>
      <c r="F1030" s="10" t="s">
        <v>29</v>
      </c>
      <c r="G1030" s="12"/>
    </row>
    <row r="1031" ht="15.75" customHeight="1">
      <c r="A1031" s="10" t="s">
        <v>5984</v>
      </c>
      <c r="B1031" s="12" t="s">
        <v>6841</v>
      </c>
      <c r="C1031" s="10" t="s">
        <v>6839</v>
      </c>
      <c r="D1031" s="11" t="str">
        <f t="shared" si="1"/>
        <v>Abrir anúncio ↗</v>
      </c>
      <c r="E1031" s="10" t="s">
        <v>6157</v>
      </c>
      <c r="F1031" s="10" t="s">
        <v>29</v>
      </c>
      <c r="G1031" s="12"/>
    </row>
    <row r="1032" ht="15.75" customHeight="1">
      <c r="A1032" s="10" t="s">
        <v>5984</v>
      </c>
      <c r="B1032" s="12" t="s">
        <v>8660</v>
      </c>
      <c r="C1032" s="10" t="s">
        <v>8852</v>
      </c>
      <c r="D1032" s="11" t="str">
        <f t="shared" si="1"/>
        <v>Abrir anúncio ↗</v>
      </c>
      <c r="E1032" s="10" t="s">
        <v>6157</v>
      </c>
      <c r="F1032" s="10" t="s">
        <v>29</v>
      </c>
      <c r="G1032" s="12"/>
    </row>
    <row r="1033" ht="15.75" customHeight="1">
      <c r="A1033" s="10" t="s">
        <v>5984</v>
      </c>
      <c r="B1033" s="12" t="s">
        <v>8660</v>
      </c>
      <c r="C1033" s="10" t="s">
        <v>8659</v>
      </c>
      <c r="D1033" s="11" t="str">
        <f t="shared" si="1"/>
        <v>Abrir anúncio ↗</v>
      </c>
      <c r="E1033" s="10" t="s">
        <v>6157</v>
      </c>
      <c r="F1033" s="10" t="s">
        <v>29</v>
      </c>
      <c r="G1033" s="12"/>
    </row>
    <row r="1034" ht="15.75" customHeight="1">
      <c r="A1034" s="10" t="s">
        <v>5984</v>
      </c>
      <c r="B1034" s="12" t="s">
        <v>8612</v>
      </c>
      <c r="C1034" s="10" t="s">
        <v>8856</v>
      </c>
      <c r="D1034" s="11" t="str">
        <f t="shared" si="1"/>
        <v>Abrir anúncio ↗</v>
      </c>
      <c r="E1034" s="10" t="s">
        <v>6157</v>
      </c>
      <c r="F1034" s="10" t="s">
        <v>29</v>
      </c>
      <c r="G1034" s="12"/>
    </row>
    <row r="1035" ht="15.75" customHeight="1">
      <c r="A1035" s="10" t="s">
        <v>5984</v>
      </c>
      <c r="B1035" s="12" t="s">
        <v>8612</v>
      </c>
      <c r="C1035" s="10" t="s">
        <v>8611</v>
      </c>
      <c r="D1035" s="11" t="str">
        <f t="shared" si="1"/>
        <v>Abrir anúncio ↗</v>
      </c>
      <c r="E1035" s="10" t="s">
        <v>6157</v>
      </c>
      <c r="F1035" s="10" t="s">
        <v>29</v>
      </c>
      <c r="G1035" s="12"/>
    </row>
    <row r="1036" ht="15.75" customHeight="1">
      <c r="A1036" s="10" t="s">
        <v>5984</v>
      </c>
      <c r="B1036" s="12" t="s">
        <v>8597</v>
      </c>
      <c r="C1036" s="10" t="s">
        <v>8859</v>
      </c>
      <c r="D1036" s="11" t="str">
        <f t="shared" si="1"/>
        <v>Abrir anúncio ↗</v>
      </c>
      <c r="E1036" s="10" t="s">
        <v>6157</v>
      </c>
      <c r="F1036" s="10" t="s">
        <v>29</v>
      </c>
      <c r="G1036" s="12"/>
    </row>
    <row r="1037" ht="15.75" customHeight="1">
      <c r="A1037" s="10" t="s">
        <v>5984</v>
      </c>
      <c r="B1037" s="12" t="s">
        <v>8597</v>
      </c>
      <c r="C1037" s="10" t="s">
        <v>8594</v>
      </c>
      <c r="D1037" s="11" t="str">
        <f t="shared" si="1"/>
        <v>Abrir anúncio ↗</v>
      </c>
      <c r="E1037" s="10" t="s">
        <v>6157</v>
      </c>
      <c r="F1037" s="10" t="s">
        <v>29</v>
      </c>
      <c r="G1037" s="12"/>
    </row>
    <row r="1038" ht="15.75" customHeight="1">
      <c r="A1038" s="10" t="s">
        <v>5984</v>
      </c>
      <c r="B1038" s="12" t="s">
        <v>8642</v>
      </c>
      <c r="C1038" s="10" t="s">
        <v>8864</v>
      </c>
      <c r="D1038" s="11" t="str">
        <f t="shared" si="1"/>
        <v>Abrir anúncio ↗</v>
      </c>
      <c r="E1038" s="10" t="s">
        <v>6157</v>
      </c>
      <c r="F1038" s="10" t="s">
        <v>29</v>
      </c>
      <c r="G1038" s="12"/>
    </row>
    <row r="1039" ht="15.75" customHeight="1">
      <c r="A1039" s="10" t="s">
        <v>5984</v>
      </c>
      <c r="B1039" s="12" t="s">
        <v>8642</v>
      </c>
      <c r="C1039" s="10" t="s">
        <v>8641</v>
      </c>
      <c r="D1039" s="11" t="str">
        <f t="shared" si="1"/>
        <v>Abrir anúncio ↗</v>
      </c>
      <c r="E1039" s="10" t="s">
        <v>6157</v>
      </c>
      <c r="F1039" s="10" t="s">
        <v>29</v>
      </c>
      <c r="G1039" s="12"/>
    </row>
    <row r="1040" ht="15.75" customHeight="1">
      <c r="A1040" s="10" t="s">
        <v>5984</v>
      </c>
      <c r="B1040" s="12" t="s">
        <v>8677</v>
      </c>
      <c r="C1040" s="10" t="s">
        <v>8867</v>
      </c>
      <c r="D1040" s="11" t="str">
        <f t="shared" si="1"/>
        <v>Abrir anúncio ↗</v>
      </c>
      <c r="E1040" s="10" t="s">
        <v>6157</v>
      </c>
      <c r="F1040" s="10" t="s">
        <v>29</v>
      </c>
      <c r="G1040" s="12"/>
    </row>
    <row r="1041" ht="15.75" customHeight="1">
      <c r="A1041" s="10" t="s">
        <v>5984</v>
      </c>
      <c r="B1041" s="12" t="s">
        <v>8677</v>
      </c>
      <c r="C1041" s="10" t="s">
        <v>8676</v>
      </c>
      <c r="D1041" s="11" t="str">
        <f t="shared" si="1"/>
        <v>Abrir anúncio ↗</v>
      </c>
      <c r="E1041" s="10" t="s">
        <v>6157</v>
      </c>
      <c r="F1041" s="10" t="s">
        <v>29</v>
      </c>
      <c r="G1041" s="12"/>
    </row>
    <row r="1042" ht="15.75" customHeight="1">
      <c r="A1042" s="10" t="s">
        <v>5984</v>
      </c>
      <c r="B1042" s="12" t="s">
        <v>8871</v>
      </c>
      <c r="C1042" s="10" t="s">
        <v>8872</v>
      </c>
      <c r="D1042" s="11" t="str">
        <f t="shared" si="1"/>
        <v>Abrir anúncio ↗</v>
      </c>
      <c r="E1042" s="10" t="s">
        <v>6157</v>
      </c>
      <c r="F1042" s="10" t="s">
        <v>29</v>
      </c>
      <c r="G1042" s="12"/>
    </row>
    <row r="1043" ht="15.75" customHeight="1">
      <c r="A1043" s="10" t="s">
        <v>5984</v>
      </c>
      <c r="B1043" s="12" t="s">
        <v>8871</v>
      </c>
      <c r="C1043" s="10" t="s">
        <v>8875</v>
      </c>
      <c r="D1043" s="11" t="str">
        <f t="shared" si="1"/>
        <v>Abrir anúncio ↗</v>
      </c>
      <c r="E1043" s="10" t="s">
        <v>6157</v>
      </c>
      <c r="F1043" s="10" t="s">
        <v>29</v>
      </c>
      <c r="G1043" s="12"/>
    </row>
    <row r="1044" ht="15.75" customHeight="1">
      <c r="A1044" s="10" t="s">
        <v>5984</v>
      </c>
      <c r="B1044" s="12" t="s">
        <v>6796</v>
      </c>
      <c r="C1044" s="10" t="s">
        <v>8876</v>
      </c>
      <c r="D1044" s="11" t="str">
        <f t="shared" si="1"/>
        <v>Abrir anúncio ↗</v>
      </c>
      <c r="E1044" s="10" t="s">
        <v>6157</v>
      </c>
      <c r="F1044" s="10" t="s">
        <v>29</v>
      </c>
      <c r="G1044" s="12"/>
    </row>
    <row r="1045" ht="15.75" customHeight="1">
      <c r="A1045" s="10" t="s">
        <v>5984</v>
      </c>
      <c r="B1045" s="12" t="s">
        <v>6796</v>
      </c>
      <c r="C1045" s="10" t="s">
        <v>6795</v>
      </c>
      <c r="D1045" s="11" t="str">
        <f t="shared" si="1"/>
        <v>Abrir anúncio ↗</v>
      </c>
      <c r="E1045" s="10" t="s">
        <v>6157</v>
      </c>
      <c r="F1045" s="10" t="s">
        <v>29</v>
      </c>
      <c r="G1045" s="12"/>
    </row>
    <row r="1046" ht="15.75" customHeight="1">
      <c r="A1046" s="10" t="s">
        <v>5984</v>
      </c>
      <c r="B1046" s="12" t="s">
        <v>6738</v>
      </c>
      <c r="C1046" s="10" t="s">
        <v>6736</v>
      </c>
      <c r="D1046" s="11" t="str">
        <f t="shared" si="1"/>
        <v>Abrir anúncio ↗</v>
      </c>
      <c r="E1046" s="10" t="s">
        <v>6157</v>
      </c>
      <c r="F1046" s="10" t="s">
        <v>29</v>
      </c>
      <c r="G1046" s="12"/>
    </row>
    <row r="1047" ht="15.75" customHeight="1">
      <c r="A1047" s="10" t="s">
        <v>5984</v>
      </c>
      <c r="B1047" s="12" t="s">
        <v>6738</v>
      </c>
      <c r="C1047" s="10" t="s">
        <v>8879</v>
      </c>
      <c r="D1047" s="11" t="str">
        <f t="shared" si="1"/>
        <v>Abrir anúncio ↗</v>
      </c>
      <c r="E1047" s="10" t="s">
        <v>6157</v>
      </c>
      <c r="F1047" s="10" t="s">
        <v>29</v>
      </c>
      <c r="G1047" s="12"/>
    </row>
    <row r="1048" ht="15.75" customHeight="1">
      <c r="A1048" s="10" t="s">
        <v>5984</v>
      </c>
      <c r="B1048" s="12" t="s">
        <v>6902</v>
      </c>
      <c r="C1048" s="10" t="s">
        <v>6900</v>
      </c>
      <c r="D1048" s="11" t="str">
        <f t="shared" si="1"/>
        <v>Abrir anúncio ↗</v>
      </c>
      <c r="E1048" s="10" t="s">
        <v>6157</v>
      </c>
      <c r="F1048" s="10" t="s">
        <v>29</v>
      </c>
      <c r="G1048" s="12"/>
    </row>
    <row r="1049" ht="15.75" customHeight="1">
      <c r="A1049" s="10" t="s">
        <v>5984</v>
      </c>
      <c r="B1049" s="12" t="s">
        <v>6902</v>
      </c>
      <c r="C1049" s="10" t="s">
        <v>8882</v>
      </c>
      <c r="D1049" s="11" t="str">
        <f t="shared" si="1"/>
        <v>Abrir anúncio ↗</v>
      </c>
      <c r="E1049" s="10" t="s">
        <v>6157</v>
      </c>
      <c r="F1049" s="10" t="s">
        <v>29</v>
      </c>
      <c r="G1049" s="12"/>
    </row>
    <row r="1050" ht="15.75" customHeight="1">
      <c r="A1050" s="10" t="s">
        <v>5984</v>
      </c>
      <c r="B1050" s="12" t="s">
        <v>8884</v>
      </c>
      <c r="C1050" s="10" t="s">
        <v>8886</v>
      </c>
      <c r="D1050" s="11" t="str">
        <f t="shared" si="1"/>
        <v>Abrir anúncio ↗</v>
      </c>
      <c r="E1050" s="10" t="s">
        <v>6157</v>
      </c>
      <c r="F1050" s="10" t="s">
        <v>29</v>
      </c>
      <c r="G1050" s="12"/>
    </row>
    <row r="1051" ht="15.75" customHeight="1">
      <c r="A1051" s="10" t="s">
        <v>5984</v>
      </c>
      <c r="B1051" s="12" t="s">
        <v>8884</v>
      </c>
      <c r="C1051" s="10" t="s">
        <v>8888</v>
      </c>
      <c r="D1051" s="11" t="str">
        <f t="shared" si="1"/>
        <v>Abrir anúncio ↗</v>
      </c>
      <c r="E1051" s="10" t="s">
        <v>6157</v>
      </c>
      <c r="F1051" s="10" t="s">
        <v>29</v>
      </c>
      <c r="G1051" s="12"/>
    </row>
    <row r="1052" ht="15.75" customHeight="1">
      <c r="A1052" s="10" t="s">
        <v>5984</v>
      </c>
      <c r="B1052" s="12" t="s">
        <v>7038</v>
      </c>
      <c r="C1052" s="10" t="s">
        <v>7037</v>
      </c>
      <c r="D1052" s="11" t="str">
        <f t="shared" si="1"/>
        <v>Abrir anúncio ↗</v>
      </c>
      <c r="E1052" s="10" t="s">
        <v>6157</v>
      </c>
      <c r="F1052" s="10" t="s">
        <v>29</v>
      </c>
      <c r="G1052" s="12"/>
    </row>
    <row r="1053" ht="15.75" customHeight="1">
      <c r="A1053" s="10" t="s">
        <v>5984</v>
      </c>
      <c r="B1053" s="12" t="s">
        <v>7038</v>
      </c>
      <c r="C1053" s="10" t="s">
        <v>8893</v>
      </c>
      <c r="D1053" s="11" t="str">
        <f t="shared" si="1"/>
        <v>Abrir anúncio ↗</v>
      </c>
      <c r="E1053" s="10" t="s">
        <v>6157</v>
      </c>
      <c r="F1053" s="10" t="s">
        <v>29</v>
      </c>
      <c r="G1053" s="12"/>
    </row>
    <row r="1054" ht="15.75" customHeight="1">
      <c r="A1054" s="10" t="s">
        <v>5984</v>
      </c>
      <c r="B1054" s="12" t="s">
        <v>4778</v>
      </c>
      <c r="C1054" s="10" t="s">
        <v>7286</v>
      </c>
      <c r="D1054" s="11" t="str">
        <f t="shared" si="1"/>
        <v>Abrir anúncio ↗</v>
      </c>
      <c r="E1054" s="10" t="s">
        <v>6171</v>
      </c>
      <c r="F1054" s="10" t="s">
        <v>29</v>
      </c>
      <c r="G1054" s="12"/>
    </row>
    <row r="1055" ht="15.75" customHeight="1">
      <c r="A1055" s="10" t="s">
        <v>5984</v>
      </c>
      <c r="B1055" s="12" t="s">
        <v>4778</v>
      </c>
      <c r="C1055" s="10" t="s">
        <v>4777</v>
      </c>
      <c r="D1055" s="11" t="str">
        <f t="shared" si="1"/>
        <v>Abrir anúncio ↗</v>
      </c>
      <c r="E1055" s="10" t="s">
        <v>6171</v>
      </c>
      <c r="F1055" s="10" t="s">
        <v>29</v>
      </c>
      <c r="G1055" s="12"/>
    </row>
    <row r="1056" ht="15.75" customHeight="1">
      <c r="A1056" s="10" t="s">
        <v>5984</v>
      </c>
      <c r="B1056" s="12" t="s">
        <v>4819</v>
      </c>
      <c r="C1056" s="10" t="s">
        <v>7292</v>
      </c>
      <c r="D1056" s="11" t="str">
        <f t="shared" si="1"/>
        <v>Abrir anúncio ↗</v>
      </c>
      <c r="E1056" s="10" t="s">
        <v>6171</v>
      </c>
      <c r="F1056" s="10" t="s">
        <v>29</v>
      </c>
      <c r="G1056" s="12"/>
    </row>
    <row r="1057" ht="15.75" customHeight="1">
      <c r="A1057" s="10" t="s">
        <v>5984</v>
      </c>
      <c r="B1057" s="12" t="s">
        <v>4819</v>
      </c>
      <c r="C1057" s="10" t="s">
        <v>4817</v>
      </c>
      <c r="D1057" s="11" t="str">
        <f t="shared" si="1"/>
        <v>Abrir anúncio ↗</v>
      </c>
      <c r="E1057" s="10" t="s">
        <v>6171</v>
      </c>
      <c r="F1057" s="10" t="s">
        <v>29</v>
      </c>
      <c r="G1057" s="12"/>
    </row>
    <row r="1058" ht="15.75" customHeight="1">
      <c r="A1058" s="10" t="s">
        <v>5984</v>
      </c>
      <c r="B1058" s="12" t="s">
        <v>7285</v>
      </c>
      <c r="C1058" s="10" t="s">
        <v>7282</v>
      </c>
      <c r="D1058" s="11" t="str">
        <f t="shared" si="1"/>
        <v>Abrir anúncio ↗</v>
      </c>
      <c r="E1058" s="10" t="s">
        <v>6157</v>
      </c>
      <c r="F1058" s="10" t="s">
        <v>29</v>
      </c>
      <c r="G1058" s="12"/>
    </row>
    <row r="1059" ht="15.75" customHeight="1">
      <c r="A1059" s="10" t="s">
        <v>5984</v>
      </c>
      <c r="B1059" s="12" t="s">
        <v>7285</v>
      </c>
      <c r="C1059" s="10" t="s">
        <v>8902</v>
      </c>
      <c r="D1059" s="11" t="str">
        <f t="shared" si="1"/>
        <v>Abrir anúncio ↗</v>
      </c>
      <c r="E1059" s="10" t="s">
        <v>6157</v>
      </c>
      <c r="F1059" s="10" t="s">
        <v>29</v>
      </c>
      <c r="G1059" s="12"/>
    </row>
    <row r="1060" ht="15.75" customHeight="1">
      <c r="A1060" s="10" t="s">
        <v>5984</v>
      </c>
      <c r="B1060" s="12" t="s">
        <v>4705</v>
      </c>
      <c r="C1060" s="10" t="s">
        <v>7363</v>
      </c>
      <c r="D1060" s="11" t="str">
        <f t="shared" si="1"/>
        <v>Abrir anúncio ↗</v>
      </c>
      <c r="E1060" s="10" t="s">
        <v>6171</v>
      </c>
      <c r="F1060" s="10" t="s">
        <v>29</v>
      </c>
      <c r="G1060" s="12"/>
    </row>
    <row r="1061" ht="15.75" customHeight="1">
      <c r="A1061" s="10" t="s">
        <v>5984</v>
      </c>
      <c r="B1061" s="12" t="s">
        <v>4705</v>
      </c>
      <c r="C1061" s="10" t="s">
        <v>4703</v>
      </c>
      <c r="D1061" s="11" t="str">
        <f t="shared" si="1"/>
        <v>Abrir anúncio ↗</v>
      </c>
      <c r="E1061" s="10" t="s">
        <v>6171</v>
      </c>
      <c r="F1061" s="10" t="s">
        <v>29</v>
      </c>
      <c r="G1061" s="12"/>
    </row>
    <row r="1062" ht="15.75" customHeight="1">
      <c r="A1062" s="10" t="s">
        <v>5984</v>
      </c>
      <c r="B1062" s="12" t="s">
        <v>4870</v>
      </c>
      <c r="C1062" s="10" t="s">
        <v>7563</v>
      </c>
      <c r="D1062" s="11" t="str">
        <f t="shared" si="1"/>
        <v>Abrir anúncio ↗</v>
      </c>
      <c r="E1062" s="10" t="s">
        <v>6171</v>
      </c>
      <c r="F1062" s="10" t="s">
        <v>29</v>
      </c>
      <c r="G1062" s="12"/>
    </row>
    <row r="1063" ht="15.75" customHeight="1">
      <c r="A1063" s="10" t="s">
        <v>5984</v>
      </c>
      <c r="B1063" s="12" t="s">
        <v>4870</v>
      </c>
      <c r="C1063" s="10" t="s">
        <v>4868</v>
      </c>
      <c r="D1063" s="11" t="str">
        <f t="shared" si="1"/>
        <v>Abrir anúncio ↗</v>
      </c>
      <c r="E1063" s="10" t="s">
        <v>6171</v>
      </c>
      <c r="F1063" s="10" t="s">
        <v>29</v>
      </c>
      <c r="G1063" s="12"/>
    </row>
    <row r="1064" ht="15.75" customHeight="1">
      <c r="A1064" s="10" t="s">
        <v>5984</v>
      </c>
      <c r="B1064" s="12" t="s">
        <v>7614</v>
      </c>
      <c r="C1064" s="10" t="s">
        <v>7613</v>
      </c>
      <c r="D1064" s="11" t="str">
        <f t="shared" si="1"/>
        <v>Abrir anúncio ↗</v>
      </c>
      <c r="E1064" s="10" t="s">
        <v>6157</v>
      </c>
      <c r="F1064" s="10" t="s">
        <v>29</v>
      </c>
      <c r="G1064" s="12"/>
    </row>
    <row r="1065" ht="15.75" customHeight="1">
      <c r="A1065" s="10" t="s">
        <v>5984</v>
      </c>
      <c r="B1065" s="12" t="s">
        <v>7614</v>
      </c>
      <c r="C1065" s="10" t="s">
        <v>8913</v>
      </c>
      <c r="D1065" s="11" t="str">
        <f t="shared" si="1"/>
        <v>Abrir anúncio ↗</v>
      </c>
      <c r="E1065" s="10" t="s">
        <v>6157</v>
      </c>
      <c r="F1065" s="10" t="s">
        <v>29</v>
      </c>
      <c r="G1065" s="12"/>
    </row>
    <row r="1066" ht="15.75" customHeight="1">
      <c r="A1066" s="10" t="s">
        <v>5984</v>
      </c>
      <c r="B1066" s="12" t="s">
        <v>8916</v>
      </c>
      <c r="C1066" s="10" t="s">
        <v>8917</v>
      </c>
      <c r="D1066" s="11" t="str">
        <f t="shared" si="1"/>
        <v>Abrir anúncio ↗</v>
      </c>
      <c r="E1066" s="10" t="s">
        <v>6157</v>
      </c>
      <c r="F1066" s="10" t="s">
        <v>29</v>
      </c>
      <c r="G1066" s="12"/>
    </row>
    <row r="1067" ht="15.75" customHeight="1">
      <c r="A1067" s="10" t="s">
        <v>5984</v>
      </c>
      <c r="B1067" s="12" t="s">
        <v>8916</v>
      </c>
      <c r="C1067" s="10" t="s">
        <v>8920</v>
      </c>
      <c r="D1067" s="11" t="str">
        <f t="shared" si="1"/>
        <v>Abrir anúncio ↗</v>
      </c>
      <c r="E1067" s="10" t="s">
        <v>6157</v>
      </c>
      <c r="F1067" s="10" t="s">
        <v>29</v>
      </c>
      <c r="G1067" s="12"/>
    </row>
    <row r="1068" ht="15.75" customHeight="1">
      <c r="A1068" s="10" t="s">
        <v>5984</v>
      </c>
      <c r="B1068" s="12" t="s">
        <v>7855</v>
      </c>
      <c r="C1068" s="10" t="s">
        <v>8923</v>
      </c>
      <c r="D1068" s="11" t="str">
        <f t="shared" si="1"/>
        <v>Abrir anúncio ↗</v>
      </c>
      <c r="E1068" s="10" t="s">
        <v>6157</v>
      </c>
      <c r="F1068" s="10" t="s">
        <v>29</v>
      </c>
      <c r="G1068" s="12"/>
    </row>
    <row r="1069" ht="15.75" customHeight="1">
      <c r="A1069" s="10" t="s">
        <v>5984</v>
      </c>
      <c r="B1069" s="12" t="s">
        <v>7855</v>
      </c>
      <c r="C1069" s="10" t="s">
        <v>7854</v>
      </c>
      <c r="D1069" s="11" t="str">
        <f t="shared" si="1"/>
        <v>Abrir anúncio ↗</v>
      </c>
      <c r="E1069" s="10" t="s">
        <v>6157</v>
      </c>
      <c r="F1069" s="10" t="s">
        <v>29</v>
      </c>
      <c r="G1069" s="12"/>
    </row>
    <row r="1070" ht="15.75" customHeight="1">
      <c r="A1070" s="10" t="s">
        <v>5984</v>
      </c>
      <c r="B1070" s="12" t="s">
        <v>8926</v>
      </c>
      <c r="C1070" s="10" t="s">
        <v>8927</v>
      </c>
      <c r="D1070" s="11" t="str">
        <f t="shared" si="1"/>
        <v>Abrir anúncio ↗</v>
      </c>
      <c r="E1070" s="10" t="s">
        <v>6157</v>
      </c>
      <c r="F1070" s="10" t="s">
        <v>29</v>
      </c>
      <c r="G1070" s="12"/>
    </row>
    <row r="1071" ht="15.75" customHeight="1">
      <c r="A1071" s="10" t="s">
        <v>5984</v>
      </c>
      <c r="B1071" s="12" t="s">
        <v>8926</v>
      </c>
      <c r="C1071" s="10" t="s">
        <v>8931</v>
      </c>
      <c r="D1071" s="11" t="str">
        <f t="shared" si="1"/>
        <v>Abrir anúncio ↗</v>
      </c>
      <c r="E1071" s="10" t="s">
        <v>6157</v>
      </c>
      <c r="F1071" s="10" t="s">
        <v>29</v>
      </c>
      <c r="G1071" s="12"/>
    </row>
    <row r="1072" ht="15.75" customHeight="1">
      <c r="A1072" s="10" t="s">
        <v>5984</v>
      </c>
      <c r="B1072" s="12" t="s">
        <v>7878</v>
      </c>
      <c r="C1072" s="10" t="s">
        <v>7877</v>
      </c>
      <c r="D1072" s="11" t="str">
        <f t="shared" si="1"/>
        <v>Abrir anúncio ↗</v>
      </c>
      <c r="E1072" s="10" t="s">
        <v>6157</v>
      </c>
      <c r="F1072" s="10" t="s">
        <v>29</v>
      </c>
      <c r="G1072" s="12"/>
    </row>
    <row r="1073" ht="15.75" customHeight="1">
      <c r="A1073" s="10" t="s">
        <v>5984</v>
      </c>
      <c r="B1073" s="12" t="s">
        <v>7878</v>
      </c>
      <c r="C1073" s="10" t="s">
        <v>8934</v>
      </c>
      <c r="D1073" s="11" t="str">
        <f t="shared" si="1"/>
        <v>Abrir anúncio ↗</v>
      </c>
      <c r="E1073" s="10" t="s">
        <v>6157</v>
      </c>
      <c r="F1073" s="10" t="s">
        <v>29</v>
      </c>
      <c r="G1073" s="12"/>
    </row>
    <row r="1074" ht="15.75" customHeight="1">
      <c r="A1074" s="10" t="s">
        <v>5984</v>
      </c>
      <c r="B1074" s="12" t="s">
        <v>8937</v>
      </c>
      <c r="C1074" s="10" t="s">
        <v>8938</v>
      </c>
      <c r="D1074" s="11" t="str">
        <f t="shared" si="1"/>
        <v>Abrir anúncio ↗</v>
      </c>
      <c r="E1074" s="10" t="s">
        <v>6157</v>
      </c>
      <c r="F1074" s="10" t="s">
        <v>29</v>
      </c>
      <c r="G1074" s="12"/>
    </row>
    <row r="1075" ht="15.75" customHeight="1">
      <c r="A1075" s="10" t="s">
        <v>5984</v>
      </c>
      <c r="B1075" s="12" t="s">
        <v>8937</v>
      </c>
      <c r="C1075" s="10" t="s">
        <v>8940</v>
      </c>
      <c r="D1075" s="11" t="str">
        <f t="shared" si="1"/>
        <v>Abrir anúncio ↗</v>
      </c>
      <c r="E1075" s="10" t="s">
        <v>6157</v>
      </c>
      <c r="F1075" s="10" t="s">
        <v>29</v>
      </c>
      <c r="G1075" s="12"/>
    </row>
    <row r="1076" ht="15.75" customHeight="1">
      <c r="A1076" s="10" t="s">
        <v>5984</v>
      </c>
      <c r="B1076" s="12" t="s">
        <v>2539</v>
      </c>
      <c r="C1076" s="10" t="s">
        <v>2536</v>
      </c>
      <c r="D1076" s="11" t="str">
        <f t="shared" si="1"/>
        <v>Abrir anúncio ↗</v>
      </c>
      <c r="E1076" s="10" t="s">
        <v>6171</v>
      </c>
      <c r="F1076" s="10" t="s">
        <v>29</v>
      </c>
      <c r="G1076" s="12"/>
    </row>
    <row r="1077" ht="15.75" customHeight="1">
      <c r="A1077" s="10" t="s">
        <v>5984</v>
      </c>
      <c r="B1077" s="12" t="s">
        <v>2539</v>
      </c>
      <c r="C1077" s="10" t="s">
        <v>3029</v>
      </c>
      <c r="D1077" s="11" t="str">
        <f t="shared" si="1"/>
        <v>Abrir anúncio ↗</v>
      </c>
      <c r="E1077" s="10" t="s">
        <v>6171</v>
      </c>
      <c r="F1077" s="10" t="s">
        <v>29</v>
      </c>
      <c r="G1077" s="12"/>
    </row>
    <row r="1078" ht="15.75" customHeight="1">
      <c r="A1078" s="10" t="s">
        <v>5984</v>
      </c>
      <c r="B1078" s="12" t="s">
        <v>2549</v>
      </c>
      <c r="C1078" s="10" t="s">
        <v>2546</v>
      </c>
      <c r="D1078" s="11" t="str">
        <f t="shared" si="1"/>
        <v>Abrir anúncio ↗</v>
      </c>
      <c r="E1078" s="10" t="s">
        <v>6171</v>
      </c>
      <c r="F1078" s="10" t="s">
        <v>29</v>
      </c>
      <c r="G1078" s="12"/>
    </row>
    <row r="1079" ht="15.75" customHeight="1">
      <c r="A1079" s="10" t="s">
        <v>5984</v>
      </c>
      <c r="B1079" s="12" t="s">
        <v>2549</v>
      </c>
      <c r="C1079" s="10" t="s">
        <v>3089</v>
      </c>
      <c r="D1079" s="11" t="str">
        <f t="shared" si="1"/>
        <v>Abrir anúncio ↗</v>
      </c>
      <c r="E1079" s="10" t="s">
        <v>6171</v>
      </c>
      <c r="F1079" s="10" t="s">
        <v>29</v>
      </c>
      <c r="G1079" s="12"/>
    </row>
    <row r="1080" ht="15.75" customHeight="1">
      <c r="A1080" s="10" t="s">
        <v>5984</v>
      </c>
      <c r="B1080" s="12" t="s">
        <v>2615</v>
      </c>
      <c r="C1080" s="10" t="s">
        <v>2612</v>
      </c>
      <c r="D1080" s="11" t="str">
        <f t="shared" si="1"/>
        <v>Abrir anúncio ↗</v>
      </c>
      <c r="E1080" s="10" t="s">
        <v>6171</v>
      </c>
      <c r="F1080" s="10" t="s">
        <v>29</v>
      </c>
      <c r="G1080" s="12"/>
    </row>
    <row r="1081" ht="15.75" customHeight="1">
      <c r="A1081" s="10" t="s">
        <v>5984</v>
      </c>
      <c r="B1081" s="12" t="s">
        <v>2615</v>
      </c>
      <c r="C1081" s="10" t="s">
        <v>3003</v>
      </c>
      <c r="D1081" s="11" t="str">
        <f t="shared" si="1"/>
        <v>Abrir anúncio ↗</v>
      </c>
      <c r="E1081" s="10" t="s">
        <v>6171</v>
      </c>
      <c r="F1081" s="10" t="s">
        <v>29</v>
      </c>
      <c r="G1081" s="12"/>
    </row>
    <row r="1082" ht="15.75" customHeight="1">
      <c r="A1082" s="10" t="s">
        <v>5984</v>
      </c>
      <c r="B1082" s="12" t="s">
        <v>2629</v>
      </c>
      <c r="C1082" s="10" t="s">
        <v>2627</v>
      </c>
      <c r="D1082" s="11" t="str">
        <f t="shared" si="1"/>
        <v>Abrir anúncio ↗</v>
      </c>
      <c r="E1082" s="10" t="s">
        <v>6171</v>
      </c>
      <c r="F1082" s="10" t="s">
        <v>29</v>
      </c>
      <c r="G1082" s="12"/>
    </row>
    <row r="1083" ht="15.75" customHeight="1">
      <c r="A1083" s="10" t="s">
        <v>5984</v>
      </c>
      <c r="B1083" s="12" t="s">
        <v>2629</v>
      </c>
      <c r="C1083" s="10" t="s">
        <v>2746</v>
      </c>
      <c r="D1083" s="11" t="str">
        <f t="shared" si="1"/>
        <v>Abrir anúncio ↗</v>
      </c>
      <c r="E1083" s="10" t="s">
        <v>6171</v>
      </c>
      <c r="F1083" s="10" t="s">
        <v>29</v>
      </c>
      <c r="G1083" s="12"/>
    </row>
    <row r="1084" ht="15.75" customHeight="1">
      <c r="A1084" s="10" t="s">
        <v>5984</v>
      </c>
      <c r="B1084" s="12" t="s">
        <v>2634</v>
      </c>
      <c r="C1084" s="10" t="s">
        <v>2633</v>
      </c>
      <c r="D1084" s="11" t="str">
        <f t="shared" si="1"/>
        <v>Abrir anúncio ↗</v>
      </c>
      <c r="E1084" s="10" t="s">
        <v>6171</v>
      </c>
      <c r="F1084" s="10" t="s">
        <v>29</v>
      </c>
      <c r="G1084" s="12"/>
    </row>
    <row r="1085" ht="15.75" customHeight="1">
      <c r="A1085" s="10" t="s">
        <v>5984</v>
      </c>
      <c r="B1085" s="12" t="s">
        <v>2634</v>
      </c>
      <c r="C1085" s="10" t="s">
        <v>2810</v>
      </c>
      <c r="D1085" s="11" t="str">
        <f t="shared" si="1"/>
        <v>Abrir anúncio ↗</v>
      </c>
      <c r="E1085" s="10" t="s">
        <v>6171</v>
      </c>
      <c r="F1085" s="10" t="s">
        <v>29</v>
      </c>
      <c r="G1085" s="12"/>
    </row>
    <row r="1086" ht="15.75" customHeight="1">
      <c r="A1086" s="10" t="s">
        <v>5984</v>
      </c>
      <c r="B1086" s="12" t="s">
        <v>2643</v>
      </c>
      <c r="C1086" s="10" t="s">
        <v>2642</v>
      </c>
      <c r="D1086" s="11" t="str">
        <f t="shared" si="1"/>
        <v>Abrir anúncio ↗</v>
      </c>
      <c r="E1086" s="10" t="s">
        <v>6171</v>
      </c>
      <c r="F1086" s="10" t="s">
        <v>29</v>
      </c>
      <c r="G1086" s="12"/>
    </row>
    <row r="1087" ht="15.75" customHeight="1">
      <c r="A1087" s="10" t="s">
        <v>5984</v>
      </c>
      <c r="B1087" s="12" t="s">
        <v>2643</v>
      </c>
      <c r="C1087" s="10" t="s">
        <v>2697</v>
      </c>
      <c r="D1087" s="11" t="str">
        <f t="shared" si="1"/>
        <v>Abrir anúncio ↗</v>
      </c>
      <c r="E1087" s="10" t="s">
        <v>6171</v>
      </c>
      <c r="F1087" s="10" t="s">
        <v>29</v>
      </c>
      <c r="G1087" s="12"/>
    </row>
    <row r="1088" ht="15.75" customHeight="1">
      <c r="A1088" s="10" t="s">
        <v>5984</v>
      </c>
      <c r="B1088" s="12" t="s">
        <v>2650</v>
      </c>
      <c r="C1088" s="10" t="s">
        <v>2649</v>
      </c>
      <c r="D1088" s="11" t="str">
        <f t="shared" si="1"/>
        <v>Abrir anúncio ↗</v>
      </c>
      <c r="E1088" s="10" t="s">
        <v>6171</v>
      </c>
      <c r="F1088" s="10" t="s">
        <v>29</v>
      </c>
      <c r="G1088" s="12"/>
    </row>
    <row r="1089" ht="15.75" customHeight="1">
      <c r="A1089" s="10" t="s">
        <v>5984</v>
      </c>
      <c r="B1089" s="12" t="s">
        <v>2650</v>
      </c>
      <c r="C1089" s="10" t="s">
        <v>3057</v>
      </c>
      <c r="D1089" s="11" t="str">
        <f t="shared" si="1"/>
        <v>Abrir anúncio ↗</v>
      </c>
      <c r="E1089" s="10" t="s">
        <v>6171</v>
      </c>
      <c r="F1089" s="10" t="s">
        <v>29</v>
      </c>
      <c r="G1089" s="12"/>
    </row>
    <row r="1090" ht="15.75" customHeight="1">
      <c r="A1090" s="10" t="s">
        <v>5984</v>
      </c>
      <c r="B1090" s="12" t="s">
        <v>2661</v>
      </c>
      <c r="C1090" s="10" t="s">
        <v>2659</v>
      </c>
      <c r="D1090" s="11" t="str">
        <f t="shared" si="1"/>
        <v>Abrir anúncio ↗</v>
      </c>
      <c r="E1090" s="10" t="s">
        <v>6171</v>
      </c>
      <c r="F1090" s="10" t="s">
        <v>29</v>
      </c>
      <c r="G1090" s="12"/>
    </row>
    <row r="1091" ht="15.75" customHeight="1">
      <c r="A1091" s="10" t="s">
        <v>5984</v>
      </c>
      <c r="B1091" s="12" t="s">
        <v>2661</v>
      </c>
      <c r="C1091" s="10" t="s">
        <v>2992</v>
      </c>
      <c r="D1091" s="11" t="str">
        <f t="shared" si="1"/>
        <v>Abrir anúncio ↗</v>
      </c>
      <c r="E1091" s="10" t="s">
        <v>6171</v>
      </c>
      <c r="F1091" s="10" t="s">
        <v>29</v>
      </c>
      <c r="G1091" s="12"/>
    </row>
    <row r="1092" ht="15.75" customHeight="1">
      <c r="A1092" s="10" t="s">
        <v>5984</v>
      </c>
      <c r="B1092" s="12" t="s">
        <v>2667</v>
      </c>
      <c r="C1092" s="10" t="s">
        <v>2666</v>
      </c>
      <c r="D1092" s="11" t="str">
        <f t="shared" si="1"/>
        <v>Abrir anúncio ↗</v>
      </c>
      <c r="E1092" s="10" t="s">
        <v>6171</v>
      </c>
      <c r="F1092" s="10" t="s">
        <v>29</v>
      </c>
      <c r="G1092" s="12"/>
    </row>
    <row r="1093" ht="15.75" customHeight="1">
      <c r="A1093" s="10" t="s">
        <v>5984</v>
      </c>
      <c r="B1093" s="12" t="s">
        <v>2667</v>
      </c>
      <c r="C1093" s="10" t="s">
        <v>2932</v>
      </c>
      <c r="D1093" s="11" t="str">
        <f t="shared" si="1"/>
        <v>Abrir anúncio ↗</v>
      </c>
      <c r="E1093" s="10" t="s">
        <v>6171</v>
      </c>
      <c r="F1093" s="10" t="s">
        <v>29</v>
      </c>
      <c r="G1093" s="12"/>
    </row>
    <row r="1094" ht="15.75" customHeight="1">
      <c r="A1094" s="10" t="s">
        <v>5984</v>
      </c>
      <c r="B1094" s="12" t="s">
        <v>8969</v>
      </c>
      <c r="C1094" s="10" t="s">
        <v>8970</v>
      </c>
      <c r="D1094" s="11" t="str">
        <f t="shared" si="1"/>
        <v>Abrir anúncio ↗</v>
      </c>
      <c r="E1094" s="10" t="s">
        <v>6157</v>
      </c>
      <c r="F1094" s="10" t="s">
        <v>29</v>
      </c>
      <c r="G1094" s="12"/>
    </row>
    <row r="1095" ht="15.75" customHeight="1">
      <c r="A1095" s="10" t="s">
        <v>5984</v>
      </c>
      <c r="B1095" s="12" t="s">
        <v>8969</v>
      </c>
      <c r="C1095" s="10" t="s">
        <v>8973</v>
      </c>
      <c r="D1095" s="11" t="str">
        <f t="shared" si="1"/>
        <v>Abrir anúncio ↗</v>
      </c>
      <c r="E1095" s="10" t="s">
        <v>6157</v>
      </c>
      <c r="F1095" s="10" t="s">
        <v>29</v>
      </c>
      <c r="G1095" s="12"/>
    </row>
    <row r="1096" ht="15.75" customHeight="1">
      <c r="A1096" s="10" t="s">
        <v>5984</v>
      </c>
      <c r="B1096" s="12" t="s">
        <v>8974</v>
      </c>
      <c r="C1096" s="10" t="s">
        <v>8975</v>
      </c>
      <c r="D1096" s="11" t="str">
        <f t="shared" si="1"/>
        <v>Abrir anúncio ↗</v>
      </c>
      <c r="E1096" s="10" t="s">
        <v>6157</v>
      </c>
      <c r="F1096" s="10" t="s">
        <v>29</v>
      </c>
      <c r="G1096" s="12"/>
    </row>
    <row r="1097" ht="15.75" customHeight="1">
      <c r="A1097" s="10" t="s">
        <v>5984</v>
      </c>
      <c r="B1097" s="12" t="s">
        <v>8974</v>
      </c>
      <c r="C1097" s="10" t="s">
        <v>8978</v>
      </c>
      <c r="D1097" s="11" t="str">
        <f t="shared" si="1"/>
        <v>Abrir anúncio ↗</v>
      </c>
      <c r="E1097" s="10" t="s">
        <v>6157</v>
      </c>
      <c r="F1097" s="10" t="s">
        <v>29</v>
      </c>
      <c r="G1097" s="12"/>
    </row>
    <row r="1098" ht="15.75" customHeight="1">
      <c r="A1098" s="10" t="s">
        <v>5984</v>
      </c>
      <c r="B1098" s="12" t="s">
        <v>8662</v>
      </c>
      <c r="C1098" s="10" t="s">
        <v>8979</v>
      </c>
      <c r="D1098" s="11" t="str">
        <f t="shared" si="1"/>
        <v>Abrir anúncio ↗</v>
      </c>
      <c r="E1098" s="10" t="s">
        <v>6157</v>
      </c>
      <c r="F1098" s="10" t="s">
        <v>29</v>
      </c>
      <c r="G1098" s="12"/>
    </row>
    <row r="1099" ht="15.75" customHeight="1">
      <c r="A1099" s="10" t="s">
        <v>5984</v>
      </c>
      <c r="B1099" s="12" t="s">
        <v>8662</v>
      </c>
      <c r="C1099" s="10" t="s">
        <v>8661</v>
      </c>
      <c r="D1099" s="11" t="str">
        <f t="shared" si="1"/>
        <v>Abrir anúncio ↗</v>
      </c>
      <c r="E1099" s="10" t="s">
        <v>6157</v>
      </c>
      <c r="F1099" s="10" t="s">
        <v>29</v>
      </c>
      <c r="G1099" s="12"/>
    </row>
    <row r="1100" ht="15.75" customHeight="1">
      <c r="A1100" s="10" t="s">
        <v>5984</v>
      </c>
      <c r="B1100" s="12" t="s">
        <v>8673</v>
      </c>
      <c r="C1100" s="10" t="s">
        <v>8983</v>
      </c>
      <c r="D1100" s="11" t="str">
        <f t="shared" si="1"/>
        <v>Abrir anúncio ↗</v>
      </c>
      <c r="E1100" s="10" t="s">
        <v>6157</v>
      </c>
      <c r="F1100" s="10" t="s">
        <v>29</v>
      </c>
      <c r="G1100" s="12"/>
    </row>
    <row r="1101" ht="15.75" customHeight="1">
      <c r="A1101" s="10" t="s">
        <v>5984</v>
      </c>
      <c r="B1101" s="12" t="s">
        <v>8673</v>
      </c>
      <c r="C1101" s="10" t="s">
        <v>8672</v>
      </c>
      <c r="D1101" s="11" t="str">
        <f t="shared" si="1"/>
        <v>Abrir anúncio ↗</v>
      </c>
      <c r="E1101" s="10" t="s">
        <v>6157</v>
      </c>
      <c r="F1101" s="10" t="s">
        <v>29</v>
      </c>
      <c r="G1101" s="12"/>
    </row>
    <row r="1102" ht="15.75" customHeight="1">
      <c r="A1102" s="10" t="s">
        <v>5984</v>
      </c>
      <c r="B1102" s="12" t="s">
        <v>8431</v>
      </c>
      <c r="C1102" s="10" t="s">
        <v>8986</v>
      </c>
      <c r="D1102" s="11" t="str">
        <f t="shared" si="1"/>
        <v>Abrir anúncio ↗</v>
      </c>
      <c r="E1102" s="10" t="s">
        <v>6157</v>
      </c>
      <c r="F1102" s="10" t="s">
        <v>29</v>
      </c>
      <c r="G1102" s="12"/>
    </row>
    <row r="1103" ht="15.75" customHeight="1">
      <c r="A1103" s="10" t="s">
        <v>5984</v>
      </c>
      <c r="B1103" s="12" t="s">
        <v>8431</v>
      </c>
      <c r="C1103" s="10" t="s">
        <v>8430</v>
      </c>
      <c r="D1103" s="11" t="str">
        <f t="shared" si="1"/>
        <v>Abrir anúncio ↗</v>
      </c>
      <c r="E1103" s="10" t="s">
        <v>6157</v>
      </c>
      <c r="F1103" s="10" t="s">
        <v>29</v>
      </c>
      <c r="G1103" s="12"/>
    </row>
    <row r="1104" ht="15.75" customHeight="1">
      <c r="A1104" s="10" t="s">
        <v>5984</v>
      </c>
      <c r="B1104" s="12" t="s">
        <v>6705</v>
      </c>
      <c r="C1104" s="10" t="s">
        <v>8567</v>
      </c>
      <c r="D1104" s="11" t="str">
        <f t="shared" si="1"/>
        <v>Abrir anúncio ↗</v>
      </c>
      <c r="E1104" s="10" t="s">
        <v>6157</v>
      </c>
      <c r="F1104" s="10" t="s">
        <v>29</v>
      </c>
      <c r="G1104" s="12"/>
    </row>
    <row r="1105" ht="15.75" customHeight="1">
      <c r="A1105" s="10" t="s">
        <v>5984</v>
      </c>
      <c r="B1105" s="12" t="s">
        <v>6705</v>
      </c>
      <c r="C1105" s="10" t="s">
        <v>6704</v>
      </c>
      <c r="D1105" s="11" t="str">
        <f t="shared" si="1"/>
        <v>Abrir anúncio ↗</v>
      </c>
      <c r="E1105" s="10" t="s">
        <v>6157</v>
      </c>
      <c r="F1105" s="10" t="s">
        <v>86</v>
      </c>
      <c r="G1105" s="12"/>
    </row>
    <row r="1106" ht="15.75" customHeight="1">
      <c r="A1106" s="10" t="s">
        <v>5984</v>
      </c>
      <c r="B1106" s="12" t="s">
        <v>2059</v>
      </c>
      <c r="C1106" s="10" t="s">
        <v>3915</v>
      </c>
      <c r="D1106" s="11" t="str">
        <f t="shared" si="1"/>
        <v>Abrir anúncio ↗</v>
      </c>
      <c r="E1106" s="10" t="s">
        <v>6184</v>
      </c>
      <c r="F1106" s="10" t="s">
        <v>29</v>
      </c>
      <c r="G1106" s="12"/>
    </row>
    <row r="1107" ht="15.75" customHeight="1">
      <c r="A1107" s="10" t="s">
        <v>5984</v>
      </c>
      <c r="B1107" s="12" t="s">
        <v>2059</v>
      </c>
      <c r="C1107" s="10" t="s">
        <v>2056</v>
      </c>
      <c r="D1107" s="11" t="str">
        <f t="shared" si="1"/>
        <v>Abrir anúncio ↗</v>
      </c>
      <c r="E1107" s="10" t="s">
        <v>6184</v>
      </c>
      <c r="F1107" s="10" t="s">
        <v>86</v>
      </c>
      <c r="G1107" s="12"/>
    </row>
    <row r="1108" ht="15.75" customHeight="1">
      <c r="A1108" s="10" t="s">
        <v>5984</v>
      </c>
      <c r="B1108" s="12" t="s">
        <v>8995</v>
      </c>
      <c r="C1108" s="10" t="s">
        <v>8996</v>
      </c>
      <c r="D1108" s="11" t="str">
        <f t="shared" si="1"/>
        <v>Abrir anúncio ↗</v>
      </c>
      <c r="E1108" s="10" t="s">
        <v>6157</v>
      </c>
      <c r="F1108" s="10" t="s">
        <v>29</v>
      </c>
      <c r="G1108" s="12"/>
    </row>
    <row r="1109" ht="15.75" customHeight="1">
      <c r="A1109" s="10" t="s">
        <v>5984</v>
      </c>
      <c r="B1109" s="12" t="s">
        <v>8995</v>
      </c>
      <c r="C1109" s="10" t="s">
        <v>8999</v>
      </c>
      <c r="D1109" s="11" t="str">
        <f t="shared" si="1"/>
        <v>Abrir anúncio ↗</v>
      </c>
      <c r="E1109" s="10" t="s">
        <v>6157</v>
      </c>
      <c r="F1109" s="10" t="s">
        <v>29</v>
      </c>
      <c r="G1109" s="12"/>
    </row>
    <row r="1110" ht="15.75" customHeight="1">
      <c r="A1110" s="10" t="s">
        <v>5984</v>
      </c>
      <c r="B1110" s="12" t="s">
        <v>9000</v>
      </c>
      <c r="C1110" s="10" t="s">
        <v>9001</v>
      </c>
      <c r="D1110" s="11" t="str">
        <f t="shared" si="1"/>
        <v>Abrir anúncio ↗</v>
      </c>
      <c r="E1110" s="10" t="s">
        <v>6157</v>
      </c>
      <c r="F1110" s="10" t="s">
        <v>29</v>
      </c>
      <c r="G1110" s="12"/>
    </row>
    <row r="1111" ht="15.75" customHeight="1">
      <c r="A1111" s="10" t="s">
        <v>5984</v>
      </c>
      <c r="B1111" s="12" t="s">
        <v>9000</v>
      </c>
      <c r="C1111" s="10" t="s">
        <v>9002</v>
      </c>
      <c r="D1111" s="11" t="str">
        <f t="shared" si="1"/>
        <v>Abrir anúncio ↗</v>
      </c>
      <c r="E1111" s="10" t="s">
        <v>6157</v>
      </c>
      <c r="F1111" s="10" t="s">
        <v>29</v>
      </c>
      <c r="G1111" s="12"/>
    </row>
    <row r="1112" ht="15.75" customHeight="1">
      <c r="A1112" s="10" t="s">
        <v>5984</v>
      </c>
      <c r="B1112" s="12" t="s">
        <v>8992</v>
      </c>
      <c r="C1112" s="10" t="s">
        <v>9005</v>
      </c>
      <c r="D1112" s="11" t="str">
        <f t="shared" si="1"/>
        <v>Abrir anúncio ↗</v>
      </c>
      <c r="E1112" s="10" t="s">
        <v>6157</v>
      </c>
      <c r="F1112" s="10" t="s">
        <v>29</v>
      </c>
      <c r="G1112" s="12"/>
    </row>
    <row r="1113" ht="15.75" customHeight="1">
      <c r="A1113" s="10" t="s">
        <v>5984</v>
      </c>
      <c r="B1113" s="12" t="s">
        <v>8992</v>
      </c>
      <c r="C1113" s="10" t="s">
        <v>8991</v>
      </c>
      <c r="D1113" s="11" t="str">
        <f t="shared" si="1"/>
        <v>Abrir anúncio ↗</v>
      </c>
      <c r="E1113" s="10" t="s">
        <v>6157</v>
      </c>
      <c r="F1113" s="10" t="s">
        <v>29</v>
      </c>
      <c r="G1113" s="12"/>
    </row>
    <row r="1114" ht="15.75" customHeight="1">
      <c r="A1114" s="10" t="s">
        <v>5984</v>
      </c>
      <c r="B1114" s="12" t="s">
        <v>9006</v>
      </c>
      <c r="C1114" s="10" t="s">
        <v>9007</v>
      </c>
      <c r="D1114" s="11" t="str">
        <f t="shared" si="1"/>
        <v>Abrir anúncio ↗</v>
      </c>
      <c r="E1114" s="10" t="s">
        <v>6157</v>
      </c>
      <c r="F1114" s="10" t="s">
        <v>29</v>
      </c>
      <c r="G1114" s="12"/>
    </row>
    <row r="1115" ht="15.75" customHeight="1">
      <c r="A1115" s="10" t="s">
        <v>5984</v>
      </c>
      <c r="B1115" s="12" t="s">
        <v>9006</v>
      </c>
      <c r="C1115" s="10" t="s">
        <v>9010</v>
      </c>
      <c r="D1115" s="11" t="str">
        <f t="shared" si="1"/>
        <v>Abrir anúncio ↗</v>
      </c>
      <c r="E1115" s="10" t="s">
        <v>6157</v>
      </c>
      <c r="F1115" s="10" t="s">
        <v>29</v>
      </c>
      <c r="G1115" s="12"/>
    </row>
    <row r="1116" ht="15.75" customHeight="1">
      <c r="A1116" s="10" t="s">
        <v>5984</v>
      </c>
      <c r="B1116" s="12" t="s">
        <v>9012</v>
      </c>
      <c r="C1116" s="10" t="s">
        <v>9014</v>
      </c>
      <c r="D1116" s="11" t="str">
        <f t="shared" si="1"/>
        <v>Abrir anúncio ↗</v>
      </c>
      <c r="E1116" s="10" t="s">
        <v>6157</v>
      </c>
      <c r="F1116" s="10" t="s">
        <v>29</v>
      </c>
      <c r="G1116" s="12"/>
    </row>
    <row r="1117" ht="15.75" customHeight="1">
      <c r="A1117" s="10" t="s">
        <v>5984</v>
      </c>
      <c r="B1117" s="12" t="s">
        <v>9012</v>
      </c>
      <c r="C1117" s="10" t="s">
        <v>9015</v>
      </c>
      <c r="D1117" s="11" t="str">
        <f t="shared" si="1"/>
        <v>Abrir anúncio ↗</v>
      </c>
      <c r="E1117" s="10" t="s">
        <v>6157</v>
      </c>
      <c r="F1117" s="10" t="s">
        <v>29</v>
      </c>
      <c r="G1117" s="12"/>
    </row>
    <row r="1118" ht="15.75" customHeight="1">
      <c r="A1118" s="10" t="s">
        <v>5984</v>
      </c>
      <c r="B1118" s="12" t="s">
        <v>4885</v>
      </c>
      <c r="C1118" s="10" t="s">
        <v>7716</v>
      </c>
      <c r="D1118" s="11" t="str">
        <f t="shared" si="1"/>
        <v>Abrir anúncio ↗</v>
      </c>
      <c r="E1118" s="10" t="s">
        <v>6171</v>
      </c>
      <c r="F1118" s="10" t="s">
        <v>29</v>
      </c>
      <c r="G1118" s="12"/>
    </row>
    <row r="1119" ht="15.75" customHeight="1">
      <c r="A1119" s="10" t="s">
        <v>5984</v>
      </c>
      <c r="B1119" s="12" t="s">
        <v>4885</v>
      </c>
      <c r="C1119" s="10" t="s">
        <v>4883</v>
      </c>
      <c r="D1119" s="11" t="str">
        <f t="shared" si="1"/>
        <v>Abrir anúncio ↗</v>
      </c>
      <c r="E1119" s="10" t="s">
        <v>6171</v>
      </c>
      <c r="F1119" s="10" t="s">
        <v>29</v>
      </c>
      <c r="G1119" s="12"/>
    </row>
    <row r="1120" ht="15.75" customHeight="1">
      <c r="A1120" s="10" t="s">
        <v>5984</v>
      </c>
      <c r="B1120" s="12" t="s">
        <v>3553</v>
      </c>
      <c r="C1120" s="10" t="s">
        <v>3551</v>
      </c>
      <c r="D1120" s="11" t="str">
        <f t="shared" si="1"/>
        <v>Abrir anúncio ↗</v>
      </c>
      <c r="E1120" s="10" t="s">
        <v>6179</v>
      </c>
      <c r="F1120" s="10" t="s">
        <v>86</v>
      </c>
      <c r="G1120" s="12"/>
    </row>
    <row r="1121" ht="15.75" customHeight="1">
      <c r="A1121" s="10" t="s">
        <v>5984</v>
      </c>
      <c r="B1121" s="12" t="s">
        <v>3553</v>
      </c>
      <c r="C1121" s="10" t="s">
        <v>9022</v>
      </c>
      <c r="D1121" s="11" t="str">
        <f t="shared" si="1"/>
        <v>Abrir anúncio ↗</v>
      </c>
      <c r="E1121" s="10" t="s">
        <v>6179</v>
      </c>
      <c r="F1121" s="10" t="s">
        <v>86</v>
      </c>
      <c r="G1121" s="12"/>
    </row>
    <row r="1122" ht="15.75" customHeight="1">
      <c r="A1122" s="10" t="s">
        <v>5984</v>
      </c>
      <c r="B1122" s="12" t="s">
        <v>811</v>
      </c>
      <c r="C1122" s="10" t="s">
        <v>810</v>
      </c>
      <c r="D1122" s="11" t="str">
        <f t="shared" si="1"/>
        <v>Abrir anúncio ↗</v>
      </c>
      <c r="E1122" s="10" t="s">
        <v>6171</v>
      </c>
      <c r="F1122" s="10" t="s">
        <v>86</v>
      </c>
      <c r="G1122" s="12"/>
    </row>
    <row r="1123" ht="15.75" customHeight="1">
      <c r="A1123" s="10" t="s">
        <v>5984</v>
      </c>
      <c r="B1123" s="12" t="s">
        <v>811</v>
      </c>
      <c r="C1123" s="10" t="s">
        <v>6134</v>
      </c>
      <c r="D1123" s="11" t="str">
        <f t="shared" si="1"/>
        <v>Abrir anúncio ↗</v>
      </c>
      <c r="E1123" s="10" t="s">
        <v>6171</v>
      </c>
      <c r="F1123" s="10" t="s">
        <v>86</v>
      </c>
      <c r="G1123" s="12"/>
    </row>
    <row r="1124" ht="15.75" customHeight="1">
      <c r="A1124" s="10" t="s">
        <v>5984</v>
      </c>
      <c r="B1124" s="12" t="s">
        <v>1038</v>
      </c>
      <c r="C1124" s="10" t="s">
        <v>1036</v>
      </c>
      <c r="D1124" s="11" t="str">
        <f t="shared" si="1"/>
        <v>Abrir anúncio ↗</v>
      </c>
      <c r="E1124" s="10" t="s">
        <v>6171</v>
      </c>
      <c r="F1124" s="10" t="s">
        <v>86</v>
      </c>
      <c r="G1124" s="12"/>
    </row>
    <row r="1125" ht="15.75" customHeight="1">
      <c r="A1125" s="10" t="s">
        <v>5984</v>
      </c>
      <c r="B1125" s="12" t="s">
        <v>1038</v>
      </c>
      <c r="C1125" s="10" t="s">
        <v>6486</v>
      </c>
      <c r="D1125" s="11" t="str">
        <f t="shared" si="1"/>
        <v>Abrir anúncio ↗</v>
      </c>
      <c r="E1125" s="10" t="s">
        <v>6171</v>
      </c>
      <c r="F1125" s="10" t="s">
        <v>86</v>
      </c>
      <c r="G1125" s="12"/>
    </row>
    <row r="1126" ht="15.75" customHeight="1">
      <c r="A1126" s="10" t="s">
        <v>5984</v>
      </c>
      <c r="B1126" s="12" t="s">
        <v>768</v>
      </c>
      <c r="C1126" s="10" t="s">
        <v>765</v>
      </c>
      <c r="D1126" s="11" t="str">
        <f t="shared" si="1"/>
        <v>Abrir anúncio ↗</v>
      </c>
      <c r="E1126" s="10" t="s">
        <v>6171</v>
      </c>
      <c r="F1126" s="10" t="s">
        <v>86</v>
      </c>
      <c r="G1126" s="12"/>
    </row>
    <row r="1127" ht="15.75" customHeight="1">
      <c r="A1127" s="10" t="s">
        <v>5984</v>
      </c>
      <c r="B1127" s="12" t="s">
        <v>768</v>
      </c>
      <c r="C1127" s="10" t="s">
        <v>6137</v>
      </c>
      <c r="D1127" s="11" t="str">
        <f t="shared" si="1"/>
        <v>Abrir anúncio ↗</v>
      </c>
      <c r="E1127" s="10" t="s">
        <v>6171</v>
      </c>
      <c r="F1127" s="10" t="s">
        <v>86</v>
      </c>
      <c r="G1127" s="12"/>
    </row>
    <row r="1128" ht="15.75" customHeight="1">
      <c r="A1128" s="10" t="s">
        <v>5984</v>
      </c>
      <c r="B1128" s="12" t="s">
        <v>4514</v>
      </c>
      <c r="C1128" s="10" t="s">
        <v>5220</v>
      </c>
      <c r="D1128" s="11" t="str">
        <f t="shared" si="1"/>
        <v>Abrir anúncio ↗</v>
      </c>
      <c r="E1128" s="10" t="s">
        <v>6171</v>
      </c>
      <c r="F1128" s="10" t="s">
        <v>86</v>
      </c>
      <c r="G1128" s="12"/>
    </row>
    <row r="1129" ht="15.75" customHeight="1">
      <c r="A1129" s="10" t="s">
        <v>5984</v>
      </c>
      <c r="B1129" s="12" t="s">
        <v>4514</v>
      </c>
      <c r="C1129" s="10" t="s">
        <v>4513</v>
      </c>
      <c r="D1129" s="11" t="str">
        <f t="shared" si="1"/>
        <v>Abrir anúncio ↗</v>
      </c>
      <c r="E1129" s="10" t="s">
        <v>6171</v>
      </c>
      <c r="F1129" s="10" t="s">
        <v>86</v>
      </c>
      <c r="G1129" s="12"/>
    </row>
    <row r="1130" ht="15.75" customHeight="1">
      <c r="A1130" s="10" t="s">
        <v>5984</v>
      </c>
      <c r="B1130" s="12" t="s">
        <v>1208</v>
      </c>
      <c r="C1130" s="10" t="s">
        <v>1204</v>
      </c>
      <c r="D1130" s="11" t="str">
        <f t="shared" si="1"/>
        <v>Abrir anúncio ↗</v>
      </c>
      <c r="E1130" s="10" t="s">
        <v>6179</v>
      </c>
      <c r="F1130" s="10" t="s">
        <v>86</v>
      </c>
      <c r="G1130" s="12"/>
    </row>
    <row r="1131" ht="15.75" customHeight="1">
      <c r="A1131" s="10" t="s">
        <v>5984</v>
      </c>
      <c r="B1131" s="12" t="s">
        <v>1208</v>
      </c>
      <c r="C1131" s="10" t="s">
        <v>4077</v>
      </c>
      <c r="D1131" s="11" t="str">
        <f t="shared" si="1"/>
        <v>Abrir anúncio ↗</v>
      </c>
      <c r="E1131" s="10" t="s">
        <v>6179</v>
      </c>
      <c r="F1131" s="10" t="s">
        <v>86</v>
      </c>
      <c r="G1131" s="12"/>
    </row>
    <row r="1132" ht="15.75" customHeight="1">
      <c r="A1132" s="10" t="s">
        <v>5984</v>
      </c>
      <c r="B1132" s="12" t="s">
        <v>9038</v>
      </c>
      <c r="C1132" s="10" t="s">
        <v>9040</v>
      </c>
      <c r="D1132" s="11" t="str">
        <f t="shared" si="1"/>
        <v>Abrir anúncio ↗</v>
      </c>
      <c r="E1132" s="10" t="s">
        <v>6179</v>
      </c>
      <c r="F1132" s="10" t="s">
        <v>86</v>
      </c>
      <c r="G1132" s="12"/>
    </row>
    <row r="1133" ht="15.75" customHeight="1">
      <c r="A1133" s="10" t="s">
        <v>5984</v>
      </c>
      <c r="B1133" s="12" t="s">
        <v>9038</v>
      </c>
      <c r="C1133" s="10" t="s">
        <v>9042</v>
      </c>
      <c r="D1133" s="11" t="str">
        <f t="shared" si="1"/>
        <v>Abrir anúncio ↗</v>
      </c>
      <c r="E1133" s="10" t="s">
        <v>6179</v>
      </c>
      <c r="F1133" s="10" t="s">
        <v>86</v>
      </c>
      <c r="G1133" s="12"/>
    </row>
    <row r="1134" ht="15.75" customHeight="1">
      <c r="A1134" s="10" t="s">
        <v>5984</v>
      </c>
      <c r="B1134" s="12" t="s">
        <v>4526</v>
      </c>
      <c r="C1134" s="10" t="s">
        <v>4564</v>
      </c>
      <c r="D1134" s="11" t="str">
        <f t="shared" si="1"/>
        <v>Abrir anúncio ↗</v>
      </c>
      <c r="E1134" s="10" t="s">
        <v>6195</v>
      </c>
      <c r="F1134" s="10" t="s">
        <v>86</v>
      </c>
      <c r="G1134" s="12"/>
    </row>
    <row r="1135" ht="15.75" customHeight="1">
      <c r="A1135" s="10" t="s">
        <v>5984</v>
      </c>
      <c r="B1135" s="12" t="s">
        <v>4526</v>
      </c>
      <c r="C1135" s="10" t="s">
        <v>4523</v>
      </c>
      <c r="D1135" s="11" t="str">
        <f t="shared" si="1"/>
        <v>Abrir anúncio ↗</v>
      </c>
      <c r="E1135" s="10" t="s">
        <v>6195</v>
      </c>
      <c r="F1135" s="10" t="s">
        <v>86</v>
      </c>
      <c r="G1135" s="12"/>
    </row>
    <row r="1136" ht="15.75" customHeight="1">
      <c r="A1136" s="10" t="s">
        <v>5984</v>
      </c>
      <c r="B1136" s="12" t="s">
        <v>3344</v>
      </c>
      <c r="C1136" s="10" t="s">
        <v>3341</v>
      </c>
      <c r="D1136" s="11" t="str">
        <f t="shared" si="1"/>
        <v>Abrir anúncio ↗</v>
      </c>
      <c r="E1136" s="10" t="s">
        <v>6179</v>
      </c>
      <c r="F1136" s="10" t="s">
        <v>86</v>
      </c>
      <c r="G1136" s="12"/>
    </row>
    <row r="1137" ht="15.75" customHeight="1">
      <c r="A1137" s="10" t="s">
        <v>5984</v>
      </c>
      <c r="B1137" s="12" t="s">
        <v>3344</v>
      </c>
      <c r="C1137" s="10" t="s">
        <v>9049</v>
      </c>
      <c r="D1137" s="11" t="str">
        <f t="shared" si="1"/>
        <v>Abrir anúncio ↗</v>
      </c>
      <c r="E1137" s="10" t="s">
        <v>6179</v>
      </c>
      <c r="F1137" s="10" t="s">
        <v>86</v>
      </c>
      <c r="G1137" s="12"/>
    </row>
    <row r="1138" ht="15.75" customHeight="1">
      <c r="A1138" s="10" t="s">
        <v>5984</v>
      </c>
      <c r="B1138" s="12" t="s">
        <v>9051</v>
      </c>
      <c r="C1138" s="10" t="s">
        <v>9052</v>
      </c>
      <c r="D1138" s="11" t="str">
        <f t="shared" si="1"/>
        <v>Abrir anúncio ↗</v>
      </c>
      <c r="E1138" s="10" t="s">
        <v>6195</v>
      </c>
      <c r="F1138" s="10" t="s">
        <v>86</v>
      </c>
      <c r="G1138" s="12"/>
    </row>
    <row r="1139" ht="15.75" customHeight="1">
      <c r="A1139" s="10" t="s">
        <v>5984</v>
      </c>
      <c r="B1139" s="12" t="s">
        <v>9051</v>
      </c>
      <c r="C1139" s="10" t="s">
        <v>9054</v>
      </c>
      <c r="D1139" s="11" t="str">
        <f t="shared" si="1"/>
        <v>Abrir anúncio ↗</v>
      </c>
      <c r="E1139" s="10" t="s">
        <v>6195</v>
      </c>
      <c r="F1139" s="10" t="s">
        <v>86</v>
      </c>
      <c r="G1139" s="12"/>
    </row>
    <row r="1140" ht="15.75" customHeight="1">
      <c r="A1140" s="10" t="s">
        <v>5984</v>
      </c>
      <c r="B1140" s="12" t="s">
        <v>4550</v>
      </c>
      <c r="C1140" s="10" t="s">
        <v>4547</v>
      </c>
      <c r="D1140" s="11" t="str">
        <f t="shared" si="1"/>
        <v>Abrir anúncio ↗</v>
      </c>
      <c r="E1140" s="10" t="s">
        <v>6171</v>
      </c>
      <c r="F1140" s="10" t="s">
        <v>86</v>
      </c>
      <c r="G1140" s="12"/>
    </row>
    <row r="1141" ht="15.75" customHeight="1">
      <c r="A1141" s="10" t="s">
        <v>5984</v>
      </c>
      <c r="B1141" s="12" t="s">
        <v>4550</v>
      </c>
      <c r="C1141" s="10" t="s">
        <v>7598</v>
      </c>
      <c r="D1141" s="11" t="str">
        <f t="shared" si="1"/>
        <v>Abrir anúncio ↗</v>
      </c>
      <c r="E1141" s="10" t="s">
        <v>6171</v>
      </c>
      <c r="F1141" s="10" t="s">
        <v>86</v>
      </c>
      <c r="G1141" s="12"/>
    </row>
    <row r="1142" ht="15.75" customHeight="1">
      <c r="A1142" s="10" t="s">
        <v>5984</v>
      </c>
      <c r="B1142" s="12" t="s">
        <v>3930</v>
      </c>
      <c r="C1142" s="10" t="s">
        <v>3929</v>
      </c>
      <c r="D1142" s="11" t="str">
        <f t="shared" si="1"/>
        <v>Abrir anúncio ↗</v>
      </c>
      <c r="E1142" s="10" t="s">
        <v>6157</v>
      </c>
      <c r="F1142" s="10" t="s">
        <v>86</v>
      </c>
      <c r="G1142" s="12"/>
    </row>
    <row r="1143" ht="15.75" customHeight="1">
      <c r="A1143" s="10" t="s">
        <v>5984</v>
      </c>
      <c r="B1143" s="12" t="s">
        <v>3930</v>
      </c>
      <c r="C1143" s="10" t="s">
        <v>7936</v>
      </c>
      <c r="D1143" s="11" t="str">
        <f t="shared" si="1"/>
        <v>Abrir anúncio ↗</v>
      </c>
      <c r="E1143" s="10" t="s">
        <v>6157</v>
      </c>
      <c r="F1143" s="10" t="s">
        <v>86</v>
      </c>
      <c r="G1143" s="12"/>
    </row>
    <row r="1144" ht="15.75" customHeight="1">
      <c r="A1144" s="10" t="s">
        <v>5984</v>
      </c>
      <c r="B1144" s="12" t="s">
        <v>3055</v>
      </c>
      <c r="C1144" s="10" t="s">
        <v>4857</v>
      </c>
      <c r="D1144" s="11" t="str">
        <f t="shared" si="1"/>
        <v>Abrir anúncio ↗</v>
      </c>
      <c r="E1144" s="10" t="s">
        <v>6179</v>
      </c>
      <c r="F1144" s="10" t="s">
        <v>86</v>
      </c>
      <c r="G1144" s="12"/>
    </row>
    <row r="1145" ht="15.75" customHeight="1">
      <c r="A1145" s="10" t="s">
        <v>5984</v>
      </c>
      <c r="B1145" s="12" t="s">
        <v>3055</v>
      </c>
      <c r="C1145" s="10" t="s">
        <v>3053</v>
      </c>
      <c r="D1145" s="11" t="str">
        <f t="shared" si="1"/>
        <v>Abrir anúncio ↗</v>
      </c>
      <c r="E1145" s="10" t="s">
        <v>6179</v>
      </c>
      <c r="F1145" s="10" t="s">
        <v>86</v>
      </c>
      <c r="G1145" s="12"/>
    </row>
    <row r="1146" ht="15.75" customHeight="1">
      <c r="A1146" s="10" t="s">
        <v>5984</v>
      </c>
      <c r="B1146" s="12" t="s">
        <v>4520</v>
      </c>
      <c r="C1146" s="10" t="s">
        <v>5287</v>
      </c>
      <c r="D1146" s="11" t="str">
        <f t="shared" si="1"/>
        <v>Abrir anúncio ↗</v>
      </c>
      <c r="E1146" s="10" t="s">
        <v>6171</v>
      </c>
      <c r="F1146" s="10" t="s">
        <v>86</v>
      </c>
      <c r="G1146" s="12"/>
    </row>
    <row r="1147" ht="15.75" customHeight="1">
      <c r="A1147" s="10" t="s">
        <v>5984</v>
      </c>
      <c r="B1147" s="12" t="s">
        <v>4520</v>
      </c>
      <c r="C1147" s="10" t="s">
        <v>4518</v>
      </c>
      <c r="D1147" s="11" t="str">
        <f t="shared" si="1"/>
        <v>Abrir anúncio ↗</v>
      </c>
      <c r="E1147" s="10" t="s">
        <v>6171</v>
      </c>
      <c r="F1147" s="10" t="s">
        <v>86</v>
      </c>
      <c r="G1147" s="12"/>
    </row>
    <row r="1148" ht="15.75" customHeight="1">
      <c r="A1148" s="10" t="s">
        <v>5984</v>
      </c>
      <c r="B1148" s="12" t="s">
        <v>9061</v>
      </c>
      <c r="C1148" s="10" t="s">
        <v>9062</v>
      </c>
      <c r="D1148" s="11" t="str">
        <f t="shared" si="1"/>
        <v>Abrir anúncio ↗</v>
      </c>
      <c r="E1148" s="10" t="s">
        <v>6157</v>
      </c>
      <c r="F1148" s="10" t="s">
        <v>86</v>
      </c>
      <c r="G1148" s="12"/>
    </row>
    <row r="1149" ht="15.75" customHeight="1">
      <c r="A1149" s="10" t="s">
        <v>5984</v>
      </c>
      <c r="B1149" s="12" t="s">
        <v>9061</v>
      </c>
      <c r="C1149" s="10" t="s">
        <v>9063</v>
      </c>
      <c r="D1149" s="11" t="str">
        <f t="shared" si="1"/>
        <v>Abrir anúncio ↗</v>
      </c>
      <c r="E1149" s="10" t="s">
        <v>6157</v>
      </c>
      <c r="F1149" s="10" t="s">
        <v>86</v>
      </c>
      <c r="G1149" s="12"/>
    </row>
    <row r="1150" ht="15.75" customHeight="1">
      <c r="A1150" s="10" t="s">
        <v>5984</v>
      </c>
      <c r="B1150" s="12" t="s">
        <v>1000</v>
      </c>
      <c r="C1150" s="10" t="s">
        <v>996</v>
      </c>
      <c r="D1150" s="11" t="str">
        <f t="shared" si="1"/>
        <v>Abrir anúncio ↗</v>
      </c>
      <c r="E1150" s="10" t="s">
        <v>6179</v>
      </c>
      <c r="F1150" s="10" t="s">
        <v>86</v>
      </c>
      <c r="G1150" s="12"/>
    </row>
    <row r="1151" ht="15.75" customHeight="1">
      <c r="A1151" s="10" t="s">
        <v>5984</v>
      </c>
      <c r="B1151" s="12" t="s">
        <v>1000</v>
      </c>
      <c r="C1151" s="10" t="s">
        <v>9066</v>
      </c>
      <c r="D1151" s="11" t="str">
        <f t="shared" si="1"/>
        <v>Abrir anúncio ↗</v>
      </c>
      <c r="E1151" s="10" t="s">
        <v>6179</v>
      </c>
      <c r="F1151" s="10" t="s">
        <v>86</v>
      </c>
      <c r="G1151" s="12"/>
    </row>
    <row r="1152" ht="15.75" customHeight="1">
      <c r="A1152" s="10" t="s">
        <v>5984</v>
      </c>
      <c r="B1152" s="12" t="s">
        <v>9068</v>
      </c>
      <c r="C1152" s="10" t="s">
        <v>9069</v>
      </c>
      <c r="D1152" s="11" t="str">
        <f t="shared" si="1"/>
        <v>Abrir anúncio ↗</v>
      </c>
      <c r="E1152" s="10" t="s">
        <v>6179</v>
      </c>
      <c r="F1152" s="10" t="s">
        <v>86</v>
      </c>
      <c r="G1152" s="12"/>
    </row>
    <row r="1153" ht="15.75" customHeight="1">
      <c r="A1153" s="10" t="s">
        <v>5984</v>
      </c>
      <c r="B1153" s="12" t="s">
        <v>9068</v>
      </c>
      <c r="C1153" s="10" t="s">
        <v>9071</v>
      </c>
      <c r="D1153" s="11" t="str">
        <f t="shared" si="1"/>
        <v>Abrir anúncio ↗</v>
      </c>
      <c r="E1153" s="10" t="s">
        <v>6179</v>
      </c>
      <c r="F1153" s="10" t="s">
        <v>86</v>
      </c>
      <c r="G1153" s="12"/>
    </row>
    <row r="1154" ht="15.75" customHeight="1">
      <c r="A1154" s="10" t="s">
        <v>5984</v>
      </c>
      <c r="B1154" s="12" t="s">
        <v>9074</v>
      </c>
      <c r="C1154" s="10" t="s">
        <v>9075</v>
      </c>
      <c r="D1154" s="11" t="str">
        <f t="shared" si="1"/>
        <v>Abrir anúncio ↗</v>
      </c>
      <c r="E1154" s="10" t="s">
        <v>6179</v>
      </c>
      <c r="F1154" s="10" t="s">
        <v>86</v>
      </c>
      <c r="G1154" s="12"/>
    </row>
    <row r="1155" ht="15.75" customHeight="1">
      <c r="A1155" s="10" t="s">
        <v>5984</v>
      </c>
      <c r="B1155" s="12" t="s">
        <v>9074</v>
      </c>
      <c r="C1155" s="10" t="s">
        <v>9077</v>
      </c>
      <c r="D1155" s="11" t="str">
        <f t="shared" si="1"/>
        <v>Abrir anúncio ↗</v>
      </c>
      <c r="E1155" s="10" t="s">
        <v>6179</v>
      </c>
      <c r="F1155" s="10" t="s">
        <v>86</v>
      </c>
      <c r="G1155" s="12"/>
    </row>
    <row r="1156" ht="15.75" customHeight="1">
      <c r="A1156" s="10" t="s">
        <v>5984</v>
      </c>
      <c r="B1156" s="12" t="s">
        <v>108</v>
      </c>
      <c r="C1156" s="10" t="s">
        <v>1081</v>
      </c>
      <c r="D1156" s="11" t="str">
        <f t="shared" si="1"/>
        <v>Abrir anúncio ↗</v>
      </c>
      <c r="E1156" s="10" t="s">
        <v>6171</v>
      </c>
      <c r="F1156" s="10" t="s">
        <v>86</v>
      </c>
      <c r="G1156" s="12"/>
    </row>
    <row r="1157" ht="15.75" customHeight="1">
      <c r="A1157" s="10" t="s">
        <v>5984</v>
      </c>
      <c r="B1157" s="12" t="s">
        <v>108</v>
      </c>
      <c r="C1157" s="10" t="s">
        <v>105</v>
      </c>
      <c r="D1157" s="11" t="str">
        <f t="shared" si="1"/>
        <v>Abrir anúncio ↗</v>
      </c>
      <c r="E1157" s="10" t="s">
        <v>6171</v>
      </c>
      <c r="F1157" s="10" t="s">
        <v>86</v>
      </c>
      <c r="G1157" s="12"/>
    </row>
    <row r="1158" ht="15.75" customHeight="1">
      <c r="A1158" s="10" t="s">
        <v>5984</v>
      </c>
      <c r="B1158" s="12" t="s">
        <v>9081</v>
      </c>
      <c r="C1158" s="10" t="s">
        <v>9083</v>
      </c>
      <c r="D1158" s="11" t="str">
        <f t="shared" si="1"/>
        <v>Abrir anúncio ↗</v>
      </c>
      <c r="E1158" s="10" t="s">
        <v>6179</v>
      </c>
      <c r="F1158" s="10" t="s">
        <v>86</v>
      </c>
      <c r="G1158" s="12"/>
    </row>
    <row r="1159" ht="15.75" customHeight="1">
      <c r="A1159" s="10" t="s">
        <v>5984</v>
      </c>
      <c r="B1159" s="12" t="s">
        <v>9081</v>
      </c>
      <c r="C1159" s="10" t="s">
        <v>9085</v>
      </c>
      <c r="D1159" s="11" t="str">
        <f t="shared" si="1"/>
        <v>Abrir anúncio ↗</v>
      </c>
      <c r="E1159" s="10" t="s">
        <v>6179</v>
      </c>
      <c r="F1159" s="10" t="s">
        <v>86</v>
      </c>
      <c r="G1159" s="12"/>
    </row>
    <row r="1160" ht="15.75" customHeight="1">
      <c r="A1160" s="10" t="s">
        <v>5984</v>
      </c>
      <c r="B1160" s="12" t="s">
        <v>3084</v>
      </c>
      <c r="C1160" s="10" t="s">
        <v>3170</v>
      </c>
      <c r="D1160" s="11" t="str">
        <f t="shared" si="1"/>
        <v>Abrir anúncio ↗</v>
      </c>
      <c r="E1160" s="10" t="s">
        <v>6179</v>
      </c>
      <c r="F1160" s="10" t="s">
        <v>86</v>
      </c>
      <c r="G1160" s="12"/>
    </row>
    <row r="1161" ht="15.75" customHeight="1">
      <c r="A1161" s="10" t="s">
        <v>5984</v>
      </c>
      <c r="B1161" s="12" t="s">
        <v>3084</v>
      </c>
      <c r="C1161" s="10" t="s">
        <v>3081</v>
      </c>
      <c r="D1161" s="11" t="str">
        <f t="shared" si="1"/>
        <v>Abrir anúncio ↗</v>
      </c>
      <c r="E1161" s="10" t="s">
        <v>6179</v>
      </c>
      <c r="F1161" s="10" t="s">
        <v>86</v>
      </c>
      <c r="G1161" s="12"/>
    </row>
    <row r="1162" ht="15.75" customHeight="1">
      <c r="A1162" s="10" t="s">
        <v>5984</v>
      </c>
      <c r="B1162" s="12" t="s">
        <v>9090</v>
      </c>
      <c r="C1162" s="10" t="s">
        <v>9091</v>
      </c>
      <c r="D1162" s="11" t="str">
        <f t="shared" si="1"/>
        <v>Abrir anúncio ↗</v>
      </c>
      <c r="E1162" s="10" t="s">
        <v>6179</v>
      </c>
      <c r="F1162" s="10" t="s">
        <v>86</v>
      </c>
      <c r="G1162" s="12"/>
    </row>
    <row r="1163" ht="15.75" customHeight="1">
      <c r="A1163" s="10" t="s">
        <v>5984</v>
      </c>
      <c r="B1163" s="12" t="s">
        <v>9090</v>
      </c>
      <c r="C1163" s="10" t="s">
        <v>9093</v>
      </c>
      <c r="D1163" s="11" t="str">
        <f t="shared" si="1"/>
        <v>Abrir anúncio ↗</v>
      </c>
      <c r="E1163" s="10" t="s">
        <v>6179</v>
      </c>
      <c r="F1163" s="10" t="s">
        <v>86</v>
      </c>
      <c r="G1163" s="12"/>
    </row>
    <row r="1164" ht="15.75" customHeight="1">
      <c r="A1164" s="10" t="s">
        <v>5984</v>
      </c>
      <c r="B1164" s="12" t="s">
        <v>2271</v>
      </c>
      <c r="C1164" s="10" t="s">
        <v>9095</v>
      </c>
      <c r="D1164" s="11" t="str">
        <f t="shared" si="1"/>
        <v>Abrir anúncio ↗</v>
      </c>
      <c r="E1164" s="10" t="s">
        <v>6179</v>
      </c>
      <c r="F1164" s="10" t="s">
        <v>86</v>
      </c>
      <c r="G1164" s="12"/>
    </row>
    <row r="1165" ht="15.75" customHeight="1">
      <c r="A1165" s="10" t="s">
        <v>5984</v>
      </c>
      <c r="B1165" s="12" t="s">
        <v>2271</v>
      </c>
      <c r="C1165" s="10" t="s">
        <v>2269</v>
      </c>
      <c r="D1165" s="11" t="str">
        <f t="shared" si="1"/>
        <v>Abrir anúncio ↗</v>
      </c>
      <c r="E1165" s="10" t="s">
        <v>6179</v>
      </c>
      <c r="F1165" s="10" t="s">
        <v>86</v>
      </c>
      <c r="G1165" s="12"/>
    </row>
    <row r="1166" ht="15.75" customHeight="1">
      <c r="A1166" s="10" t="s">
        <v>5984</v>
      </c>
      <c r="B1166" s="12" t="s">
        <v>5914</v>
      </c>
      <c r="C1166" s="10" t="s">
        <v>5929</v>
      </c>
      <c r="D1166" s="11" t="str">
        <f t="shared" si="1"/>
        <v>Abrir anúncio ↗</v>
      </c>
      <c r="E1166" s="10" t="s">
        <v>6250</v>
      </c>
      <c r="F1166" s="10" t="s">
        <v>86</v>
      </c>
      <c r="G1166" s="12"/>
    </row>
    <row r="1167" ht="15.75" customHeight="1">
      <c r="A1167" s="10" t="s">
        <v>5984</v>
      </c>
      <c r="B1167" s="12" t="s">
        <v>5914</v>
      </c>
      <c r="C1167" s="10" t="s">
        <v>5913</v>
      </c>
      <c r="D1167" s="11" t="str">
        <f t="shared" si="1"/>
        <v>Abrir anúncio ↗</v>
      </c>
      <c r="E1167" s="10" t="s">
        <v>6250</v>
      </c>
      <c r="F1167" s="10" t="s">
        <v>86</v>
      </c>
      <c r="G1167" s="12"/>
    </row>
    <row r="1168" ht="15.75" customHeight="1">
      <c r="A1168" s="10" t="s">
        <v>5984</v>
      </c>
      <c r="B1168" s="12" t="s">
        <v>9100</v>
      </c>
      <c r="C1168" s="10" t="s">
        <v>9101</v>
      </c>
      <c r="D1168" s="11" t="str">
        <f t="shared" si="1"/>
        <v>Abrir anúncio ↗</v>
      </c>
      <c r="E1168" s="10" t="s">
        <v>6157</v>
      </c>
      <c r="F1168" s="10" t="s">
        <v>86</v>
      </c>
      <c r="G1168" s="12"/>
    </row>
    <row r="1169" ht="15.75" customHeight="1">
      <c r="A1169" s="10" t="s">
        <v>5984</v>
      </c>
      <c r="B1169" s="12" t="s">
        <v>9100</v>
      </c>
      <c r="C1169" s="10" t="s">
        <v>9102</v>
      </c>
      <c r="D1169" s="11" t="str">
        <f t="shared" si="1"/>
        <v>Abrir anúncio ↗</v>
      </c>
      <c r="E1169" s="10" t="s">
        <v>6157</v>
      </c>
      <c r="F1169" s="10" t="s">
        <v>86</v>
      </c>
      <c r="G1169" s="12"/>
    </row>
    <row r="1170" ht="15.75" customHeight="1">
      <c r="A1170" s="10" t="s">
        <v>5984</v>
      </c>
      <c r="B1170" s="12" t="s">
        <v>9105</v>
      </c>
      <c r="C1170" s="10" t="s">
        <v>9106</v>
      </c>
      <c r="D1170" s="11" t="str">
        <f t="shared" si="1"/>
        <v>Abrir anúncio ↗</v>
      </c>
      <c r="E1170" s="10" t="s">
        <v>6179</v>
      </c>
      <c r="F1170" s="10" t="s">
        <v>86</v>
      </c>
      <c r="G1170" s="12"/>
    </row>
    <row r="1171" ht="15.75" customHeight="1">
      <c r="A1171" s="10" t="s">
        <v>5984</v>
      </c>
      <c r="B1171" s="12" t="s">
        <v>9105</v>
      </c>
      <c r="C1171" s="10" t="s">
        <v>9109</v>
      </c>
      <c r="D1171" s="11" t="str">
        <f t="shared" si="1"/>
        <v>Abrir anúncio ↗</v>
      </c>
      <c r="E1171" s="10" t="s">
        <v>6179</v>
      </c>
      <c r="F1171" s="10" t="s">
        <v>86</v>
      </c>
      <c r="G1171" s="12"/>
    </row>
    <row r="1172" ht="15.75" customHeight="1">
      <c r="A1172" s="10" t="s">
        <v>5984</v>
      </c>
      <c r="B1172" s="12" t="s">
        <v>7079</v>
      </c>
      <c r="C1172" s="10" t="s">
        <v>7078</v>
      </c>
      <c r="D1172" s="11" t="str">
        <f t="shared" si="1"/>
        <v>Abrir anúncio ↗</v>
      </c>
      <c r="E1172" s="10" t="s">
        <v>6171</v>
      </c>
      <c r="F1172" s="10" t="s">
        <v>86</v>
      </c>
      <c r="G1172" s="12"/>
    </row>
    <row r="1173" ht="15.75" customHeight="1">
      <c r="A1173" s="10" t="s">
        <v>5984</v>
      </c>
      <c r="B1173" s="12" t="s">
        <v>7079</v>
      </c>
      <c r="C1173" s="10" t="s">
        <v>7615</v>
      </c>
      <c r="D1173" s="11" t="str">
        <f t="shared" si="1"/>
        <v>Abrir anúncio ↗</v>
      </c>
      <c r="E1173" s="10" t="s">
        <v>6171</v>
      </c>
      <c r="F1173" s="10" t="s">
        <v>86</v>
      </c>
      <c r="G1173" s="12"/>
    </row>
    <row r="1174" ht="15.75" customHeight="1">
      <c r="A1174" s="10" t="s">
        <v>5984</v>
      </c>
      <c r="B1174" s="12" t="s">
        <v>7708</v>
      </c>
      <c r="C1174" s="10" t="s">
        <v>7707</v>
      </c>
      <c r="D1174" s="11" t="str">
        <f t="shared" si="1"/>
        <v>Abrir anúncio ↗</v>
      </c>
      <c r="E1174" s="10" t="s">
        <v>6157</v>
      </c>
      <c r="F1174" s="10" t="s">
        <v>86</v>
      </c>
      <c r="G1174" s="12"/>
    </row>
    <row r="1175" ht="15.75" customHeight="1">
      <c r="A1175" s="10" t="s">
        <v>5984</v>
      </c>
      <c r="B1175" s="12" t="s">
        <v>7708</v>
      </c>
      <c r="C1175" s="10" t="s">
        <v>9114</v>
      </c>
      <c r="D1175" s="11" t="str">
        <f t="shared" si="1"/>
        <v>Abrir anúncio ↗</v>
      </c>
      <c r="E1175" s="10" t="s">
        <v>6157</v>
      </c>
      <c r="F1175" s="10" t="s">
        <v>86</v>
      </c>
      <c r="G1175" s="12"/>
    </row>
    <row r="1176" ht="15.75" customHeight="1">
      <c r="A1176" s="10" t="s">
        <v>5984</v>
      </c>
      <c r="B1176" s="12" t="s">
        <v>7713</v>
      </c>
      <c r="C1176" s="10" t="s">
        <v>7737</v>
      </c>
      <c r="D1176" s="11" t="str">
        <f t="shared" si="1"/>
        <v>Abrir anúncio ↗</v>
      </c>
      <c r="E1176" s="10" t="s">
        <v>6171</v>
      </c>
      <c r="F1176" s="10" t="s">
        <v>86</v>
      </c>
      <c r="G1176" s="12"/>
    </row>
    <row r="1177" ht="15.75" customHeight="1">
      <c r="A1177" s="10" t="s">
        <v>5984</v>
      </c>
      <c r="B1177" s="12" t="s">
        <v>7713</v>
      </c>
      <c r="C1177" s="10" t="s">
        <v>7711</v>
      </c>
      <c r="D1177" s="11" t="str">
        <f t="shared" si="1"/>
        <v>Abrir anúncio ↗</v>
      </c>
      <c r="E1177" s="10" t="s">
        <v>6171</v>
      </c>
      <c r="F1177" s="10" t="s">
        <v>86</v>
      </c>
      <c r="G1177" s="12"/>
    </row>
    <row r="1178" ht="15.75" customHeight="1">
      <c r="A1178" s="10" t="s">
        <v>5984</v>
      </c>
      <c r="B1178" s="12" t="s">
        <v>9119</v>
      </c>
      <c r="C1178" s="10" t="s">
        <v>9120</v>
      </c>
      <c r="D1178" s="11" t="str">
        <f t="shared" si="1"/>
        <v>Abrir anúncio ↗</v>
      </c>
      <c r="E1178" s="10" t="s">
        <v>6157</v>
      </c>
      <c r="F1178" s="10" t="s">
        <v>86</v>
      </c>
      <c r="G1178" s="12"/>
    </row>
    <row r="1179" ht="15.75" customHeight="1">
      <c r="A1179" s="10" t="s">
        <v>5984</v>
      </c>
      <c r="B1179" s="12" t="s">
        <v>9119</v>
      </c>
      <c r="C1179" s="10" t="s">
        <v>9123</v>
      </c>
      <c r="D1179" s="11" t="str">
        <f t="shared" si="1"/>
        <v>Abrir anúncio ↗</v>
      </c>
      <c r="E1179" s="10" t="s">
        <v>6157</v>
      </c>
      <c r="F1179" s="10" t="s">
        <v>86</v>
      </c>
      <c r="G1179" s="12"/>
    </row>
    <row r="1180" ht="15.75" customHeight="1">
      <c r="A1180" s="10" t="s">
        <v>5984</v>
      </c>
      <c r="B1180" s="12" t="s">
        <v>9125</v>
      </c>
      <c r="C1180" s="10" t="s">
        <v>9126</v>
      </c>
      <c r="D1180" s="11" t="str">
        <f t="shared" si="1"/>
        <v>Abrir anúncio ↗</v>
      </c>
      <c r="E1180" s="10" t="s">
        <v>6184</v>
      </c>
      <c r="F1180" s="10" t="s">
        <v>86</v>
      </c>
      <c r="G1180" s="12"/>
    </row>
    <row r="1181" ht="15.75" customHeight="1">
      <c r="A1181" s="10" t="s">
        <v>5984</v>
      </c>
      <c r="B1181" s="12" t="s">
        <v>9125</v>
      </c>
      <c r="C1181" s="10" t="s">
        <v>9128</v>
      </c>
      <c r="D1181" s="11" t="str">
        <f t="shared" si="1"/>
        <v>Abrir anúncio ↗</v>
      </c>
      <c r="E1181" s="10" t="s">
        <v>6184</v>
      </c>
      <c r="F1181" s="10" t="s">
        <v>86</v>
      </c>
      <c r="G1181" s="12"/>
    </row>
    <row r="1182" ht="15.75" customHeight="1">
      <c r="A1182" s="10" t="s">
        <v>5984</v>
      </c>
      <c r="B1182" s="12" t="s">
        <v>1828</v>
      </c>
      <c r="C1182" s="10" t="s">
        <v>1827</v>
      </c>
      <c r="D1182" s="11" t="str">
        <f t="shared" si="1"/>
        <v>Abrir anúncio ↗</v>
      </c>
      <c r="E1182" s="10" t="s">
        <v>6179</v>
      </c>
      <c r="F1182" s="10" t="s">
        <v>86</v>
      </c>
      <c r="G1182" s="12"/>
    </row>
    <row r="1183" ht="15.75" customHeight="1">
      <c r="A1183" s="10" t="s">
        <v>5984</v>
      </c>
      <c r="B1183" s="12" t="s">
        <v>1828</v>
      </c>
      <c r="C1183" s="10" t="s">
        <v>9132</v>
      </c>
      <c r="D1183" s="11" t="str">
        <f t="shared" si="1"/>
        <v>Abrir anúncio ↗</v>
      </c>
      <c r="E1183" s="10" t="s">
        <v>6179</v>
      </c>
      <c r="F1183" s="10" t="s">
        <v>86</v>
      </c>
      <c r="G1183" s="12"/>
    </row>
    <row r="1184" ht="15.75" customHeight="1">
      <c r="A1184" s="10" t="s">
        <v>5984</v>
      </c>
      <c r="B1184" s="12" t="s">
        <v>2691</v>
      </c>
      <c r="C1184" s="10" t="s">
        <v>2690</v>
      </c>
      <c r="D1184" s="11" t="str">
        <f t="shared" si="1"/>
        <v>Abrir anúncio ↗</v>
      </c>
      <c r="E1184" s="10" t="s">
        <v>6179</v>
      </c>
      <c r="F1184" s="10" t="s">
        <v>86</v>
      </c>
      <c r="G1184" s="12"/>
    </row>
    <row r="1185" ht="15.75" customHeight="1">
      <c r="A1185" s="10" t="s">
        <v>5984</v>
      </c>
      <c r="B1185" s="12" t="s">
        <v>2691</v>
      </c>
      <c r="C1185" s="10" t="s">
        <v>5225</v>
      </c>
      <c r="D1185" s="11" t="str">
        <f t="shared" si="1"/>
        <v>Abrir anúncio ↗</v>
      </c>
      <c r="E1185" s="10" t="s">
        <v>6179</v>
      </c>
      <c r="F1185" s="10" t="s">
        <v>86</v>
      </c>
      <c r="G1185" s="12"/>
    </row>
    <row r="1186" ht="15.75" customHeight="1">
      <c r="A1186" s="10" t="s">
        <v>5984</v>
      </c>
      <c r="B1186" s="12" t="s">
        <v>1769</v>
      </c>
      <c r="C1186" s="10" t="s">
        <v>1768</v>
      </c>
      <c r="D1186" s="11" t="str">
        <f t="shared" si="1"/>
        <v>Abrir anúncio ↗</v>
      </c>
      <c r="E1186" s="10" t="s">
        <v>6184</v>
      </c>
      <c r="F1186" s="10" t="s">
        <v>86</v>
      </c>
      <c r="G1186" s="12"/>
    </row>
    <row r="1187" ht="15.75" customHeight="1">
      <c r="A1187" s="10" t="s">
        <v>5984</v>
      </c>
      <c r="B1187" s="12" t="s">
        <v>1769</v>
      </c>
      <c r="C1187" s="10" t="s">
        <v>2258</v>
      </c>
      <c r="D1187" s="11" t="str">
        <f t="shared" si="1"/>
        <v>Abrir anúncio ↗</v>
      </c>
      <c r="E1187" s="10" t="s">
        <v>6184</v>
      </c>
      <c r="F1187" s="10" t="s">
        <v>86</v>
      </c>
      <c r="G1187" s="12"/>
    </row>
    <row r="1188" ht="15.75" customHeight="1">
      <c r="A1188" s="10" t="s">
        <v>5984</v>
      </c>
      <c r="B1188" s="12" t="s">
        <v>4902</v>
      </c>
      <c r="C1188" s="10" t="s">
        <v>7603</v>
      </c>
      <c r="D1188" s="11" t="str">
        <f t="shared" si="1"/>
        <v>Abrir anúncio ↗</v>
      </c>
      <c r="E1188" s="10" t="s">
        <v>6171</v>
      </c>
      <c r="F1188" s="10" t="s">
        <v>86</v>
      </c>
      <c r="G1188" s="12"/>
    </row>
    <row r="1189" ht="15.75" customHeight="1">
      <c r="A1189" s="10" t="s">
        <v>5984</v>
      </c>
      <c r="B1189" s="12" t="s">
        <v>4902</v>
      </c>
      <c r="C1189" s="10" t="s">
        <v>4899</v>
      </c>
      <c r="D1189" s="11" t="str">
        <f t="shared" si="1"/>
        <v>Abrir anúncio ↗</v>
      </c>
      <c r="E1189" s="10" t="s">
        <v>6171</v>
      </c>
      <c r="F1189" s="10" t="s">
        <v>86</v>
      </c>
      <c r="G1189" s="12"/>
    </row>
    <row r="1190" ht="15.75" customHeight="1">
      <c r="A1190" s="10" t="s">
        <v>5984</v>
      </c>
      <c r="B1190" s="12" t="s">
        <v>9142</v>
      </c>
      <c r="C1190" s="10" t="s">
        <v>9143</v>
      </c>
      <c r="D1190" s="11" t="str">
        <f t="shared" si="1"/>
        <v>Abrir anúncio ↗</v>
      </c>
      <c r="E1190" s="10" t="s">
        <v>6179</v>
      </c>
      <c r="F1190" s="10" t="s">
        <v>86</v>
      </c>
      <c r="G1190" s="12"/>
    </row>
    <row r="1191" ht="15.75" customHeight="1">
      <c r="A1191" s="10" t="s">
        <v>5984</v>
      </c>
      <c r="B1191" s="12" t="s">
        <v>9142</v>
      </c>
      <c r="C1191" s="10" t="s">
        <v>9145</v>
      </c>
      <c r="D1191" s="11" t="str">
        <f t="shared" si="1"/>
        <v>Abrir anúncio ↗</v>
      </c>
      <c r="E1191" s="10" t="s">
        <v>6179</v>
      </c>
      <c r="F1191" s="10" t="s">
        <v>86</v>
      </c>
      <c r="G1191" s="12"/>
    </row>
    <row r="1192" ht="15.75" customHeight="1">
      <c r="A1192" s="10" t="s">
        <v>5984</v>
      </c>
      <c r="B1192" s="12" t="s">
        <v>4605</v>
      </c>
      <c r="C1192" s="10" t="s">
        <v>4603</v>
      </c>
      <c r="D1192" s="11" t="str">
        <f t="shared" si="1"/>
        <v>Abrir anúncio ↗</v>
      </c>
      <c r="E1192" s="10" t="s">
        <v>6179</v>
      </c>
      <c r="F1192" s="10" t="s">
        <v>86</v>
      </c>
      <c r="G1192" s="12"/>
    </row>
    <row r="1193" ht="15.75" customHeight="1">
      <c r="A1193" s="10" t="s">
        <v>5984</v>
      </c>
      <c r="B1193" s="12" t="s">
        <v>4605</v>
      </c>
      <c r="C1193" s="10" t="s">
        <v>5397</v>
      </c>
      <c r="D1193" s="11" t="str">
        <f t="shared" si="1"/>
        <v>Abrir anúncio ↗</v>
      </c>
      <c r="E1193" s="10" t="s">
        <v>6179</v>
      </c>
      <c r="F1193" s="10" t="s">
        <v>86</v>
      </c>
      <c r="G1193" s="12"/>
    </row>
    <row r="1194" ht="15.75" customHeight="1">
      <c r="A1194" s="10" t="s">
        <v>5984</v>
      </c>
      <c r="B1194" s="12" t="s">
        <v>9149</v>
      </c>
      <c r="C1194" s="10" t="s">
        <v>9151</v>
      </c>
      <c r="D1194" s="11" t="str">
        <f t="shared" si="1"/>
        <v>Abrir anúncio ↗</v>
      </c>
      <c r="E1194" s="10" t="s">
        <v>6195</v>
      </c>
      <c r="F1194" s="10" t="s">
        <v>86</v>
      </c>
      <c r="G1194" s="12"/>
    </row>
    <row r="1195" ht="15.75" customHeight="1">
      <c r="A1195" s="10" t="s">
        <v>5984</v>
      </c>
      <c r="B1195" s="12" t="s">
        <v>9149</v>
      </c>
      <c r="C1195" s="10" t="s">
        <v>9153</v>
      </c>
      <c r="D1195" s="11" t="str">
        <f t="shared" si="1"/>
        <v>Abrir anúncio ↗</v>
      </c>
      <c r="E1195" s="10" t="s">
        <v>6195</v>
      </c>
      <c r="F1195" s="10" t="s">
        <v>86</v>
      </c>
      <c r="G1195" s="12"/>
    </row>
    <row r="1196" ht="15.75" customHeight="1">
      <c r="A1196" s="10" t="s">
        <v>5984</v>
      </c>
      <c r="B1196" s="12" t="s">
        <v>9156</v>
      </c>
      <c r="C1196" s="10" t="s">
        <v>9157</v>
      </c>
      <c r="D1196" s="11" t="str">
        <f t="shared" si="1"/>
        <v>Abrir anúncio ↗</v>
      </c>
      <c r="E1196" s="10" t="s">
        <v>6157</v>
      </c>
      <c r="F1196" s="10" t="s">
        <v>86</v>
      </c>
      <c r="G1196" s="12"/>
    </row>
    <row r="1197" ht="15.75" customHeight="1">
      <c r="A1197" s="10" t="s">
        <v>5984</v>
      </c>
      <c r="B1197" s="12" t="s">
        <v>9156</v>
      </c>
      <c r="C1197" s="10" t="s">
        <v>9160</v>
      </c>
      <c r="D1197" s="11" t="str">
        <f t="shared" si="1"/>
        <v>Abrir anúncio ↗</v>
      </c>
      <c r="E1197" s="10" t="s">
        <v>6157</v>
      </c>
      <c r="F1197" s="10" t="s">
        <v>86</v>
      </c>
      <c r="G1197" s="12"/>
    </row>
    <row r="1198" ht="15.75" customHeight="1">
      <c r="A1198" s="10" t="s">
        <v>5984</v>
      </c>
      <c r="B1198" s="12" t="s">
        <v>1765</v>
      </c>
      <c r="C1198" s="10" t="s">
        <v>1763</v>
      </c>
      <c r="D1198" s="11" t="str">
        <f t="shared" si="1"/>
        <v>Abrir anúncio ↗</v>
      </c>
      <c r="E1198" s="10" t="s">
        <v>6157</v>
      </c>
      <c r="F1198" s="10" t="s">
        <v>86</v>
      </c>
      <c r="G1198" s="12"/>
    </row>
    <row r="1199" ht="15.75" customHeight="1">
      <c r="A1199" s="10" t="s">
        <v>5984</v>
      </c>
      <c r="B1199" s="12" t="s">
        <v>1765</v>
      </c>
      <c r="C1199" s="10" t="s">
        <v>9164</v>
      </c>
      <c r="D1199" s="11" t="str">
        <f t="shared" si="1"/>
        <v>Abrir anúncio ↗</v>
      </c>
      <c r="E1199" s="10" t="s">
        <v>6157</v>
      </c>
      <c r="F1199" s="10" t="s">
        <v>86</v>
      </c>
      <c r="G1199" s="12"/>
    </row>
    <row r="1200" ht="15.75" customHeight="1">
      <c r="A1200" s="10" t="s">
        <v>5984</v>
      </c>
      <c r="B1200" s="12" t="s">
        <v>1905</v>
      </c>
      <c r="C1200" s="10" t="s">
        <v>1901</v>
      </c>
      <c r="D1200" s="11" t="str">
        <f t="shared" si="1"/>
        <v>Abrir anúncio ↗</v>
      </c>
      <c r="E1200" s="10" t="s">
        <v>6157</v>
      </c>
      <c r="F1200" s="10" t="s">
        <v>86</v>
      </c>
      <c r="G1200" s="12"/>
    </row>
    <row r="1201" ht="15.75" customHeight="1">
      <c r="A1201" s="10" t="s">
        <v>5984</v>
      </c>
      <c r="B1201" s="12" t="s">
        <v>1905</v>
      </c>
      <c r="C1201" s="10" t="s">
        <v>2086</v>
      </c>
      <c r="D1201" s="11" t="str">
        <f t="shared" si="1"/>
        <v>Abrir anúncio ↗</v>
      </c>
      <c r="E1201" s="10" t="s">
        <v>6157</v>
      </c>
      <c r="F1201" s="10" t="s">
        <v>86</v>
      </c>
      <c r="G1201" s="12"/>
    </row>
    <row r="1202" ht="15.75" customHeight="1">
      <c r="A1202" s="10" t="s">
        <v>5984</v>
      </c>
      <c r="B1202" s="12" t="s">
        <v>1945</v>
      </c>
      <c r="C1202" s="10" t="s">
        <v>1942</v>
      </c>
      <c r="D1202" s="11" t="str">
        <f t="shared" si="1"/>
        <v>Abrir anúncio ↗</v>
      </c>
      <c r="E1202" s="10" t="s">
        <v>6157</v>
      </c>
      <c r="F1202" s="10" t="s">
        <v>86</v>
      </c>
      <c r="G1202" s="12"/>
    </row>
    <row r="1203" ht="15.75" customHeight="1">
      <c r="A1203" s="10" t="s">
        <v>5984</v>
      </c>
      <c r="B1203" s="12" t="s">
        <v>1945</v>
      </c>
      <c r="C1203" s="10" t="s">
        <v>2063</v>
      </c>
      <c r="D1203" s="11" t="str">
        <f t="shared" si="1"/>
        <v>Abrir anúncio ↗</v>
      </c>
      <c r="E1203" s="10" t="s">
        <v>6157</v>
      </c>
      <c r="F1203" s="10" t="s">
        <v>86</v>
      </c>
      <c r="G1203" s="12"/>
    </row>
    <row r="1204" ht="15.75" customHeight="1">
      <c r="A1204" s="10" t="s">
        <v>5984</v>
      </c>
      <c r="B1204" s="12" t="s">
        <v>310</v>
      </c>
      <c r="C1204" s="10" t="s">
        <v>306</v>
      </c>
      <c r="D1204" s="11" t="str">
        <f t="shared" si="1"/>
        <v>Abrir anúncio ↗</v>
      </c>
      <c r="E1204" s="10" t="s">
        <v>6184</v>
      </c>
      <c r="F1204" s="10" t="s">
        <v>86</v>
      </c>
      <c r="G1204" s="12"/>
    </row>
    <row r="1205" ht="15.75" customHeight="1">
      <c r="A1205" s="10" t="s">
        <v>5984</v>
      </c>
      <c r="B1205" s="12" t="s">
        <v>310</v>
      </c>
      <c r="C1205" s="10" t="s">
        <v>335</v>
      </c>
      <c r="D1205" s="11" t="str">
        <f t="shared" si="1"/>
        <v>Abrir anúncio ↗</v>
      </c>
      <c r="E1205" s="10" t="s">
        <v>6184</v>
      </c>
      <c r="F1205" s="10" t="s">
        <v>86</v>
      </c>
      <c r="G1205" s="12"/>
    </row>
    <row r="1206" ht="15.75" customHeight="1">
      <c r="A1206" s="10" t="s">
        <v>5984</v>
      </c>
      <c r="B1206" s="12" t="s">
        <v>9172</v>
      </c>
      <c r="C1206" s="10" t="s">
        <v>9173</v>
      </c>
      <c r="D1206" s="11" t="str">
        <f t="shared" si="1"/>
        <v>Abrir anúncio ↗</v>
      </c>
      <c r="E1206" s="10" t="s">
        <v>6179</v>
      </c>
      <c r="F1206" s="10" t="s">
        <v>86</v>
      </c>
      <c r="G1206" s="12"/>
    </row>
    <row r="1207" ht="15.75" customHeight="1">
      <c r="A1207" s="10" t="s">
        <v>5984</v>
      </c>
      <c r="B1207" s="12" t="s">
        <v>9172</v>
      </c>
      <c r="C1207" s="10" t="s">
        <v>9174</v>
      </c>
      <c r="D1207" s="11" t="str">
        <f t="shared" si="1"/>
        <v>Abrir anúncio ↗</v>
      </c>
      <c r="E1207" s="10" t="s">
        <v>6179</v>
      </c>
      <c r="F1207" s="10" t="s">
        <v>86</v>
      </c>
      <c r="G1207" s="12"/>
    </row>
    <row r="1208" ht="15.75" customHeight="1">
      <c r="A1208" s="10" t="s">
        <v>5984</v>
      </c>
      <c r="B1208" s="12" t="s">
        <v>9175</v>
      </c>
      <c r="C1208" s="10" t="s">
        <v>9176</v>
      </c>
      <c r="D1208" s="11" t="str">
        <f t="shared" si="1"/>
        <v>Abrir anúncio ↗</v>
      </c>
      <c r="E1208" s="10" t="s">
        <v>6179</v>
      </c>
      <c r="F1208" s="10" t="s">
        <v>86</v>
      </c>
      <c r="G1208" s="12"/>
    </row>
    <row r="1209" ht="15.75" customHeight="1">
      <c r="A1209" s="10" t="s">
        <v>5984</v>
      </c>
      <c r="B1209" s="12" t="s">
        <v>9175</v>
      </c>
      <c r="C1209" s="10" t="s">
        <v>9177</v>
      </c>
      <c r="D1209" s="11" t="str">
        <f t="shared" si="1"/>
        <v>Abrir anúncio ↗</v>
      </c>
      <c r="E1209" s="10" t="s">
        <v>6179</v>
      </c>
      <c r="F1209" s="10" t="s">
        <v>86</v>
      </c>
      <c r="G1209" s="12"/>
    </row>
    <row r="1210" ht="15.75" customHeight="1">
      <c r="A1210" s="10" t="s">
        <v>5984</v>
      </c>
      <c r="B1210" s="12" t="s">
        <v>3160</v>
      </c>
      <c r="C1210" s="10" t="s">
        <v>9179</v>
      </c>
      <c r="D1210" s="11" t="str">
        <f t="shared" si="1"/>
        <v>Abrir anúncio ↗</v>
      </c>
      <c r="E1210" s="10" t="s">
        <v>6179</v>
      </c>
      <c r="F1210" s="10" t="s">
        <v>86</v>
      </c>
      <c r="G1210" s="12"/>
    </row>
    <row r="1211" ht="15.75" customHeight="1">
      <c r="A1211" s="10" t="s">
        <v>5984</v>
      </c>
      <c r="B1211" s="12" t="s">
        <v>3160</v>
      </c>
      <c r="C1211" s="10" t="s">
        <v>3157</v>
      </c>
      <c r="D1211" s="11" t="str">
        <f t="shared" si="1"/>
        <v>Abrir anúncio ↗</v>
      </c>
      <c r="E1211" s="10" t="s">
        <v>6179</v>
      </c>
      <c r="F1211" s="10" t="s">
        <v>86</v>
      </c>
      <c r="G1211" s="12"/>
    </row>
    <row r="1212" ht="15.75" customHeight="1">
      <c r="A1212" s="10" t="s">
        <v>5984</v>
      </c>
      <c r="B1212" s="12" t="s">
        <v>4496</v>
      </c>
      <c r="C1212" s="10" t="s">
        <v>4494</v>
      </c>
      <c r="D1212" s="11" t="str">
        <f t="shared" si="1"/>
        <v>Abrir anúncio ↗</v>
      </c>
      <c r="E1212" s="10" t="s">
        <v>6195</v>
      </c>
      <c r="F1212" s="10" t="s">
        <v>86</v>
      </c>
      <c r="G1212" s="12"/>
    </row>
    <row r="1213" ht="15.75" customHeight="1">
      <c r="A1213" s="10" t="s">
        <v>5984</v>
      </c>
      <c r="B1213" s="12" t="s">
        <v>4496</v>
      </c>
      <c r="C1213" s="10" t="s">
        <v>4580</v>
      </c>
      <c r="D1213" s="11" t="str">
        <f t="shared" si="1"/>
        <v>Abrir anúncio ↗</v>
      </c>
      <c r="E1213" s="10" t="s">
        <v>6195</v>
      </c>
      <c r="F1213" s="10" t="s">
        <v>86</v>
      </c>
      <c r="G1213" s="12"/>
    </row>
    <row r="1214" ht="15.75" customHeight="1">
      <c r="A1214" s="10" t="s">
        <v>5984</v>
      </c>
      <c r="B1214" s="12" t="s">
        <v>9181</v>
      </c>
      <c r="C1214" s="10" t="s">
        <v>9182</v>
      </c>
      <c r="D1214" s="11" t="str">
        <f t="shared" si="1"/>
        <v>Abrir anúncio ↗</v>
      </c>
      <c r="E1214" s="10" t="s">
        <v>6179</v>
      </c>
      <c r="F1214" s="10" t="s">
        <v>86</v>
      </c>
      <c r="G1214" s="12"/>
    </row>
    <row r="1215" ht="15.75" customHeight="1">
      <c r="A1215" s="10" t="s">
        <v>5984</v>
      </c>
      <c r="B1215" s="12" t="s">
        <v>9181</v>
      </c>
      <c r="C1215" s="10" t="s">
        <v>9183</v>
      </c>
      <c r="D1215" s="11" t="str">
        <f t="shared" si="1"/>
        <v>Abrir anúncio ↗</v>
      </c>
      <c r="E1215" s="10" t="s">
        <v>6179</v>
      </c>
      <c r="F1215" s="10" t="s">
        <v>86</v>
      </c>
      <c r="G1215" s="12"/>
    </row>
    <row r="1216" ht="15.75" customHeight="1">
      <c r="A1216" s="10" t="s">
        <v>5984</v>
      </c>
      <c r="B1216" s="12" t="s">
        <v>9184</v>
      </c>
      <c r="C1216" s="10" t="s">
        <v>9185</v>
      </c>
      <c r="D1216" s="11" t="str">
        <f t="shared" si="1"/>
        <v>Abrir anúncio ↗</v>
      </c>
      <c r="E1216" s="10" t="s">
        <v>6179</v>
      </c>
      <c r="F1216" s="10" t="s">
        <v>86</v>
      </c>
      <c r="G1216" s="12"/>
    </row>
    <row r="1217" ht="15.75" customHeight="1">
      <c r="A1217" s="10" t="s">
        <v>5984</v>
      </c>
      <c r="B1217" s="12" t="s">
        <v>9184</v>
      </c>
      <c r="C1217" s="10" t="s">
        <v>9186</v>
      </c>
      <c r="D1217" s="11" t="str">
        <f t="shared" si="1"/>
        <v>Abrir anúncio ↗</v>
      </c>
      <c r="E1217" s="10" t="s">
        <v>6179</v>
      </c>
      <c r="F1217" s="10" t="s">
        <v>86</v>
      </c>
      <c r="G1217" s="12"/>
    </row>
    <row r="1218" ht="15.75" customHeight="1">
      <c r="A1218" s="10" t="s">
        <v>5984</v>
      </c>
      <c r="B1218" s="12" t="s">
        <v>9187</v>
      </c>
      <c r="C1218" s="10" t="s">
        <v>9188</v>
      </c>
      <c r="D1218" s="11" t="str">
        <f t="shared" si="1"/>
        <v>Abrir anúncio ↗</v>
      </c>
      <c r="E1218" s="10" t="s">
        <v>6184</v>
      </c>
      <c r="F1218" s="10" t="s">
        <v>86</v>
      </c>
      <c r="G1218" s="12"/>
    </row>
    <row r="1219" ht="15.75" customHeight="1">
      <c r="A1219" s="10" t="s">
        <v>5984</v>
      </c>
      <c r="B1219" s="12" t="s">
        <v>9187</v>
      </c>
      <c r="C1219" s="10" t="s">
        <v>9189</v>
      </c>
      <c r="D1219" s="11" t="str">
        <f t="shared" si="1"/>
        <v>Abrir anúncio ↗</v>
      </c>
      <c r="E1219" s="10" t="s">
        <v>6184</v>
      </c>
      <c r="F1219" s="10" t="s">
        <v>86</v>
      </c>
      <c r="G1219" s="12"/>
    </row>
    <row r="1220" ht="15.75" customHeight="1">
      <c r="A1220" s="10" t="s">
        <v>5984</v>
      </c>
      <c r="B1220" s="12" t="s">
        <v>1499</v>
      </c>
      <c r="C1220" s="10" t="s">
        <v>1497</v>
      </c>
      <c r="D1220" s="11" t="str">
        <f t="shared" si="1"/>
        <v>Abrir anúncio ↗</v>
      </c>
      <c r="E1220" s="10" t="s">
        <v>6179</v>
      </c>
      <c r="F1220" s="10" t="s">
        <v>86</v>
      </c>
      <c r="G1220" s="12"/>
    </row>
    <row r="1221" ht="15.75" customHeight="1">
      <c r="A1221" s="10" t="s">
        <v>5984</v>
      </c>
      <c r="B1221" s="12" t="s">
        <v>1499</v>
      </c>
      <c r="C1221" s="10" t="s">
        <v>9190</v>
      </c>
      <c r="D1221" s="11" t="str">
        <f t="shared" si="1"/>
        <v>Abrir anúncio ↗</v>
      </c>
      <c r="E1221" s="10" t="s">
        <v>6179</v>
      </c>
      <c r="F1221" s="10" t="s">
        <v>86</v>
      </c>
      <c r="G1221" s="12"/>
    </row>
    <row r="1222" ht="15.75" customHeight="1">
      <c r="A1222" s="10" t="s">
        <v>5984</v>
      </c>
      <c r="B1222" s="12" t="s">
        <v>6560</v>
      </c>
      <c r="C1222" s="10" t="s">
        <v>6559</v>
      </c>
      <c r="D1222" s="11" t="str">
        <f t="shared" si="1"/>
        <v>Abrir anúncio ↗</v>
      </c>
      <c r="E1222" s="10" t="s">
        <v>6171</v>
      </c>
      <c r="F1222" s="10" t="s">
        <v>86</v>
      </c>
      <c r="G1222" s="12"/>
    </row>
    <row r="1223" ht="15.75" customHeight="1">
      <c r="A1223" s="10" t="s">
        <v>5984</v>
      </c>
      <c r="B1223" s="12" t="s">
        <v>6560</v>
      </c>
      <c r="C1223" s="10" t="s">
        <v>7531</v>
      </c>
      <c r="D1223" s="11" t="str">
        <f t="shared" si="1"/>
        <v>Abrir anúncio ↗</v>
      </c>
      <c r="E1223" s="10" t="s">
        <v>6171</v>
      </c>
      <c r="F1223" s="10" t="s">
        <v>86</v>
      </c>
      <c r="G1223" s="12"/>
    </row>
    <row r="1224" ht="15.75" customHeight="1">
      <c r="A1224" s="10" t="s">
        <v>5984</v>
      </c>
      <c r="B1224" s="12" t="s">
        <v>6644</v>
      </c>
      <c r="C1224" s="10" t="s">
        <v>6642</v>
      </c>
      <c r="D1224" s="11" t="str">
        <f t="shared" si="1"/>
        <v>Abrir anúncio ↗</v>
      </c>
      <c r="E1224" s="10" t="s">
        <v>6171</v>
      </c>
      <c r="F1224" s="10" t="s">
        <v>86</v>
      </c>
      <c r="G1224" s="12"/>
    </row>
    <row r="1225" ht="15.75" customHeight="1">
      <c r="A1225" s="10" t="s">
        <v>5984</v>
      </c>
      <c r="B1225" s="12" t="s">
        <v>6644</v>
      </c>
      <c r="C1225" s="10" t="s">
        <v>6726</v>
      </c>
      <c r="D1225" s="11" t="str">
        <f t="shared" si="1"/>
        <v>Abrir anúncio ↗</v>
      </c>
      <c r="E1225" s="10" t="s">
        <v>6171</v>
      </c>
      <c r="F1225" s="10" t="s">
        <v>86</v>
      </c>
      <c r="G1225" s="12"/>
    </row>
    <row r="1226" ht="15.75" customHeight="1">
      <c r="A1226" s="10" t="s">
        <v>5984</v>
      </c>
      <c r="B1226" s="12" t="s">
        <v>6654</v>
      </c>
      <c r="C1226" s="10" t="s">
        <v>6653</v>
      </c>
      <c r="D1226" s="11" t="str">
        <f t="shared" si="1"/>
        <v>Abrir anúncio ↗</v>
      </c>
      <c r="E1226" s="10" t="s">
        <v>6171</v>
      </c>
      <c r="F1226" s="10" t="s">
        <v>86</v>
      </c>
      <c r="G1226" s="12"/>
    </row>
    <row r="1227" ht="15.75" customHeight="1">
      <c r="A1227" s="10" t="s">
        <v>5984</v>
      </c>
      <c r="B1227" s="12" t="s">
        <v>6654</v>
      </c>
      <c r="C1227" s="10" t="s">
        <v>7607</v>
      </c>
      <c r="D1227" s="11" t="str">
        <f t="shared" si="1"/>
        <v>Abrir anúncio ↗</v>
      </c>
      <c r="E1227" s="10" t="s">
        <v>6171</v>
      </c>
      <c r="F1227" s="10" t="s">
        <v>86</v>
      </c>
      <c r="G1227" s="12"/>
    </row>
    <row r="1228" ht="15.75" customHeight="1">
      <c r="A1228" s="10" t="s">
        <v>5984</v>
      </c>
      <c r="B1228" s="12" t="s">
        <v>4047</v>
      </c>
      <c r="C1228" s="10" t="s">
        <v>4045</v>
      </c>
      <c r="D1228" s="11" t="str">
        <f t="shared" si="1"/>
        <v>Abrir anúncio ↗</v>
      </c>
      <c r="E1228" s="10" t="s">
        <v>6157</v>
      </c>
      <c r="F1228" s="10" t="s">
        <v>86</v>
      </c>
      <c r="G1228" s="12"/>
    </row>
    <row r="1229" ht="15.75" customHeight="1">
      <c r="A1229" s="10" t="s">
        <v>5984</v>
      </c>
      <c r="B1229" s="12" t="s">
        <v>4047</v>
      </c>
      <c r="C1229" s="10" t="s">
        <v>4729</v>
      </c>
      <c r="D1229" s="11" t="str">
        <f t="shared" si="1"/>
        <v>Abrir anúncio ↗</v>
      </c>
      <c r="E1229" s="10" t="s">
        <v>6157</v>
      </c>
      <c r="F1229" s="10" t="s">
        <v>86</v>
      </c>
      <c r="G1229" s="12"/>
    </row>
    <row r="1230" ht="15.75" customHeight="1">
      <c r="A1230" s="10" t="s">
        <v>5984</v>
      </c>
      <c r="B1230" s="12" t="s">
        <v>4130</v>
      </c>
      <c r="C1230" s="10" t="s">
        <v>4127</v>
      </c>
      <c r="D1230" s="11" t="str">
        <f t="shared" si="1"/>
        <v>Abrir anúncio ↗</v>
      </c>
      <c r="E1230" s="10" t="s">
        <v>6157</v>
      </c>
      <c r="F1230" s="10" t="s">
        <v>86</v>
      </c>
      <c r="G1230" s="12"/>
    </row>
    <row r="1231" ht="15.75" customHeight="1">
      <c r="A1231" s="10" t="s">
        <v>5984</v>
      </c>
      <c r="B1231" s="12" t="s">
        <v>4130</v>
      </c>
      <c r="C1231" s="10" t="s">
        <v>7740</v>
      </c>
      <c r="D1231" s="11" t="str">
        <f t="shared" si="1"/>
        <v>Abrir anúncio ↗</v>
      </c>
      <c r="E1231" s="10" t="s">
        <v>6157</v>
      </c>
      <c r="F1231" s="10" t="s">
        <v>86</v>
      </c>
      <c r="G1231" s="12"/>
    </row>
    <row r="1232" ht="15.75" customHeight="1">
      <c r="A1232" s="10" t="s">
        <v>5984</v>
      </c>
      <c r="B1232" s="12" t="s">
        <v>626</v>
      </c>
      <c r="C1232" s="10" t="s">
        <v>625</v>
      </c>
      <c r="D1232" s="11" t="str">
        <f t="shared" si="1"/>
        <v>Abrir anúncio ↗</v>
      </c>
      <c r="E1232" s="10" t="s">
        <v>6184</v>
      </c>
      <c r="F1232" s="10" t="s">
        <v>86</v>
      </c>
      <c r="G1232" s="12"/>
    </row>
    <row r="1233" ht="15.75" customHeight="1">
      <c r="A1233" s="10" t="s">
        <v>5984</v>
      </c>
      <c r="B1233" s="12" t="s">
        <v>626</v>
      </c>
      <c r="C1233" s="10" t="s">
        <v>9197</v>
      </c>
      <c r="D1233" s="11" t="str">
        <f t="shared" si="1"/>
        <v>Abrir anúncio ↗</v>
      </c>
      <c r="E1233" s="10" t="s">
        <v>6184</v>
      </c>
      <c r="F1233" s="10" t="s">
        <v>86</v>
      </c>
      <c r="G1233" s="12"/>
    </row>
    <row r="1234" ht="15.75" customHeight="1">
      <c r="A1234" s="10" t="s">
        <v>5984</v>
      </c>
      <c r="B1234" s="12" t="s">
        <v>9200</v>
      </c>
      <c r="C1234" s="10" t="s">
        <v>9201</v>
      </c>
      <c r="D1234" s="11" t="str">
        <f t="shared" si="1"/>
        <v>Abrir anúncio ↗</v>
      </c>
      <c r="E1234" s="10" t="s">
        <v>6179</v>
      </c>
      <c r="F1234" s="10" t="s">
        <v>86</v>
      </c>
      <c r="G1234" s="12"/>
    </row>
    <row r="1235" ht="15.75" customHeight="1">
      <c r="A1235" s="10" t="s">
        <v>5984</v>
      </c>
      <c r="B1235" s="12" t="s">
        <v>9200</v>
      </c>
      <c r="C1235" s="10" t="s">
        <v>9202</v>
      </c>
      <c r="D1235" s="11" t="str">
        <f t="shared" si="1"/>
        <v>Abrir anúncio ↗</v>
      </c>
      <c r="E1235" s="10" t="s">
        <v>6179</v>
      </c>
      <c r="F1235" s="10" t="s">
        <v>86</v>
      </c>
      <c r="G1235" s="12"/>
    </row>
    <row r="1236" ht="15.75" customHeight="1">
      <c r="A1236" s="10" t="s">
        <v>5984</v>
      </c>
      <c r="B1236" s="12" t="s">
        <v>1439</v>
      </c>
      <c r="C1236" s="10" t="s">
        <v>1437</v>
      </c>
      <c r="D1236" s="11" t="str">
        <f t="shared" si="1"/>
        <v>Abrir anúncio ↗</v>
      </c>
      <c r="E1236" s="10" t="s">
        <v>6184</v>
      </c>
      <c r="F1236" s="10" t="s">
        <v>86</v>
      </c>
      <c r="G1236" s="12"/>
    </row>
    <row r="1237" ht="15.75" customHeight="1">
      <c r="A1237" s="10" t="s">
        <v>5984</v>
      </c>
      <c r="B1237" s="12" t="s">
        <v>1439</v>
      </c>
      <c r="C1237" s="10" t="s">
        <v>1940</v>
      </c>
      <c r="D1237" s="11" t="str">
        <f t="shared" si="1"/>
        <v>Abrir anúncio ↗</v>
      </c>
      <c r="E1237" s="10" t="s">
        <v>6184</v>
      </c>
      <c r="F1237" s="10" t="s">
        <v>86</v>
      </c>
      <c r="G1237" s="12"/>
    </row>
    <row r="1238" ht="15.75" customHeight="1">
      <c r="A1238" s="10" t="s">
        <v>5984</v>
      </c>
      <c r="B1238" s="12" t="s">
        <v>9203</v>
      </c>
      <c r="C1238" s="10" t="s">
        <v>9204</v>
      </c>
      <c r="D1238" s="11" t="str">
        <f t="shared" si="1"/>
        <v>Abrir anúncio ↗</v>
      </c>
      <c r="E1238" s="10" t="s">
        <v>6179</v>
      </c>
      <c r="F1238" s="10" t="s">
        <v>86</v>
      </c>
      <c r="G1238" s="12"/>
    </row>
    <row r="1239" ht="15.75" customHeight="1">
      <c r="A1239" s="10" t="s">
        <v>5984</v>
      </c>
      <c r="B1239" s="12" t="s">
        <v>9203</v>
      </c>
      <c r="C1239" s="10" t="s">
        <v>9205</v>
      </c>
      <c r="D1239" s="11" t="str">
        <f t="shared" si="1"/>
        <v>Abrir anúncio ↗</v>
      </c>
      <c r="E1239" s="10" t="s">
        <v>6179</v>
      </c>
      <c r="F1239" s="10" t="s">
        <v>86</v>
      </c>
      <c r="G1239" s="12"/>
    </row>
    <row r="1240" ht="15.75" customHeight="1">
      <c r="A1240" s="10" t="s">
        <v>5984</v>
      </c>
      <c r="B1240" s="12" t="s">
        <v>3065</v>
      </c>
      <c r="C1240" s="10" t="s">
        <v>3063</v>
      </c>
      <c r="D1240" s="11" t="str">
        <f t="shared" si="1"/>
        <v>Abrir anúncio ↗</v>
      </c>
      <c r="E1240" s="10" t="s">
        <v>6179</v>
      </c>
      <c r="F1240" s="10" t="s">
        <v>86</v>
      </c>
      <c r="G1240" s="12"/>
    </row>
    <row r="1241" ht="15.75" customHeight="1">
      <c r="A1241" s="10" t="s">
        <v>5984</v>
      </c>
      <c r="B1241" s="12" t="s">
        <v>3065</v>
      </c>
      <c r="C1241" s="10" t="s">
        <v>3178</v>
      </c>
      <c r="D1241" s="11" t="str">
        <f t="shared" si="1"/>
        <v>Abrir anúncio ↗</v>
      </c>
      <c r="E1241" s="10" t="s">
        <v>6179</v>
      </c>
      <c r="F1241" s="10" t="s">
        <v>86</v>
      </c>
      <c r="G1241" s="12"/>
    </row>
    <row r="1242" ht="15.75" customHeight="1">
      <c r="A1242" s="10" t="s">
        <v>5984</v>
      </c>
      <c r="B1242" s="12" t="s">
        <v>3281</v>
      </c>
      <c r="C1242" s="10" t="s">
        <v>3279</v>
      </c>
      <c r="D1242" s="11" t="str">
        <f t="shared" si="1"/>
        <v>Abrir anúncio ↗</v>
      </c>
      <c r="E1242" s="10" t="s">
        <v>6179</v>
      </c>
      <c r="F1242" s="10" t="s">
        <v>86</v>
      </c>
      <c r="G1242" s="12"/>
    </row>
    <row r="1243" ht="15.75" customHeight="1">
      <c r="A1243" s="10" t="s">
        <v>5984</v>
      </c>
      <c r="B1243" s="12" t="s">
        <v>3281</v>
      </c>
      <c r="C1243" s="10" t="s">
        <v>5388</v>
      </c>
      <c r="D1243" s="11" t="str">
        <f t="shared" si="1"/>
        <v>Abrir anúncio ↗</v>
      </c>
      <c r="E1243" s="10" t="s">
        <v>6179</v>
      </c>
      <c r="F1243" s="10" t="s">
        <v>86</v>
      </c>
      <c r="G1243" s="12"/>
    </row>
    <row r="1244" ht="15.75" customHeight="1">
      <c r="A1244" s="10" t="s">
        <v>5984</v>
      </c>
      <c r="B1244" s="12" t="s">
        <v>7730</v>
      </c>
      <c r="C1244" s="10" t="s">
        <v>7729</v>
      </c>
      <c r="D1244" s="11" t="str">
        <f t="shared" si="1"/>
        <v>Abrir anúncio ↗</v>
      </c>
      <c r="E1244" s="10" t="s">
        <v>6171</v>
      </c>
      <c r="F1244" s="10" t="s">
        <v>86</v>
      </c>
      <c r="G1244" s="12"/>
    </row>
    <row r="1245" ht="15.75" customHeight="1">
      <c r="A1245" s="10" t="s">
        <v>5984</v>
      </c>
      <c r="B1245" s="12" t="s">
        <v>7730</v>
      </c>
      <c r="C1245" s="10" t="s">
        <v>7732</v>
      </c>
      <c r="D1245" s="11" t="str">
        <f t="shared" si="1"/>
        <v>Abrir anúncio ↗</v>
      </c>
      <c r="E1245" s="10" t="s">
        <v>6171</v>
      </c>
      <c r="F1245" s="10" t="s">
        <v>86</v>
      </c>
      <c r="G1245" s="12"/>
    </row>
    <row r="1246" ht="15.75" customHeight="1"/>
    <row r="1247" ht="30.0" customHeight="1">
      <c r="A1247" s="51" t="s">
        <v>9213</v>
      </c>
    </row>
  </sheetData>
  <autoFilter ref="$A$1:$G$1245"/>
  <mergeCells count="1">
    <mergeCell ref="A1247:G1247"/>
  </mergeCells>
  <conditionalFormatting sqref="A2:G1245">
    <cfRule type="expression" dxfId="9" priority="1">
      <formula>$A2="Sim"</formula>
    </cfRule>
  </conditionalFormatting>
  <dataValidations>
    <dataValidation type="list" allowBlank="1" sqref="A2:A1245">
      <formula1>"Sim,Não"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0"/>
    <col customWidth="1" min="2" max="2" width="22.0"/>
    <col customWidth="1" min="3" max="5" width="10.0"/>
    <col customWidth="1" min="6" max="6" width="14.0"/>
    <col customWidth="1" min="7" max="26" width="8.71"/>
  </cols>
  <sheetData>
    <row r="1" ht="30.0" customHeight="1">
      <c r="A1" s="1" t="s">
        <v>6146</v>
      </c>
      <c r="B1" s="1" t="s">
        <v>6148</v>
      </c>
      <c r="C1" s="1" t="s">
        <v>6151</v>
      </c>
      <c r="D1" s="1" t="s">
        <v>6153</v>
      </c>
      <c r="E1" s="1" t="s">
        <v>260</v>
      </c>
      <c r="F1" s="1" t="s">
        <v>6156</v>
      </c>
    </row>
    <row r="2">
      <c r="A2" s="46" t="s">
        <v>6157</v>
      </c>
      <c r="B2" s="46" t="s">
        <v>6160</v>
      </c>
      <c r="C2" s="46">
        <v>2746.0</v>
      </c>
      <c r="D2" s="46">
        <v>392.0</v>
      </c>
      <c r="E2" s="46">
        <f t="shared" ref="E2:E24" si="1">C2+D2</f>
        <v>3138</v>
      </c>
      <c r="F2" s="47">
        <f t="shared" ref="F2:F24" si="2">E2/6549</f>
        <v>0.4791571232</v>
      </c>
    </row>
    <row r="3">
      <c r="A3" s="46" t="s">
        <v>6171</v>
      </c>
      <c r="B3" s="46" t="s">
        <v>6160</v>
      </c>
      <c r="C3" s="46">
        <v>1439.0</v>
      </c>
      <c r="D3" s="46">
        <v>93.0</v>
      </c>
      <c r="E3" s="46">
        <f t="shared" si="1"/>
        <v>1532</v>
      </c>
      <c r="F3" s="47">
        <f t="shared" si="2"/>
        <v>0.2339288441</v>
      </c>
    </row>
    <row r="4">
      <c r="A4" s="46" t="s">
        <v>6179</v>
      </c>
      <c r="B4" s="46" t="s">
        <v>6180</v>
      </c>
      <c r="C4" s="46">
        <v>152.0</v>
      </c>
      <c r="D4" s="46">
        <v>716.0</v>
      </c>
      <c r="E4" s="46">
        <f t="shared" si="1"/>
        <v>868</v>
      </c>
      <c r="F4" s="47">
        <f t="shared" si="2"/>
        <v>0.132539319</v>
      </c>
    </row>
    <row r="5">
      <c r="A5" s="46" t="s">
        <v>6184</v>
      </c>
      <c r="B5" s="46" t="s">
        <v>6180</v>
      </c>
      <c r="C5" s="46">
        <v>98.0</v>
      </c>
      <c r="D5" s="46">
        <v>690.0</v>
      </c>
      <c r="E5" s="46">
        <f t="shared" si="1"/>
        <v>788</v>
      </c>
      <c r="F5" s="47">
        <f t="shared" si="2"/>
        <v>0.1203237135</v>
      </c>
    </row>
    <row r="6">
      <c r="A6" s="46" t="s">
        <v>6189</v>
      </c>
      <c r="B6" s="46" t="s">
        <v>6160</v>
      </c>
      <c r="C6" s="46">
        <v>44.0</v>
      </c>
      <c r="D6" s="46">
        <v>3.0</v>
      </c>
      <c r="E6" s="46">
        <f t="shared" si="1"/>
        <v>47</v>
      </c>
      <c r="F6" s="47">
        <f t="shared" si="2"/>
        <v>0.007176668194</v>
      </c>
    </row>
    <row r="7">
      <c r="A7" s="46" t="s">
        <v>6195</v>
      </c>
      <c r="B7" s="46" t="s">
        <v>6180</v>
      </c>
      <c r="C7" s="46">
        <v>6.0</v>
      </c>
      <c r="D7" s="46">
        <v>35.0</v>
      </c>
      <c r="E7" s="46">
        <f t="shared" si="1"/>
        <v>41</v>
      </c>
      <c r="F7" s="47">
        <f t="shared" si="2"/>
        <v>0.006260497786</v>
      </c>
    </row>
    <row r="8">
      <c r="A8" s="46" t="s">
        <v>6198</v>
      </c>
      <c r="B8" s="46" t="s">
        <v>6160</v>
      </c>
      <c r="C8" s="46">
        <v>5.0</v>
      </c>
      <c r="D8" s="46">
        <v>32.0</v>
      </c>
      <c r="E8" s="46">
        <f t="shared" si="1"/>
        <v>37</v>
      </c>
      <c r="F8" s="47">
        <f t="shared" si="2"/>
        <v>0.005649717514</v>
      </c>
    </row>
    <row r="9">
      <c r="A9" s="46" t="s">
        <v>6203</v>
      </c>
      <c r="B9" s="46" t="s">
        <v>6160</v>
      </c>
      <c r="C9" s="46">
        <v>5.0</v>
      </c>
      <c r="D9" s="46">
        <v>8.0</v>
      </c>
      <c r="E9" s="46">
        <f t="shared" si="1"/>
        <v>13</v>
      </c>
      <c r="F9" s="47">
        <f t="shared" si="2"/>
        <v>0.001985035883</v>
      </c>
    </row>
    <row r="10">
      <c r="A10" s="46" t="s">
        <v>6210</v>
      </c>
      <c r="B10" s="46" t="s">
        <v>6160</v>
      </c>
      <c r="C10" s="46">
        <v>0.0</v>
      </c>
      <c r="D10" s="46">
        <v>13.0</v>
      </c>
      <c r="E10" s="46">
        <f t="shared" si="1"/>
        <v>13</v>
      </c>
      <c r="F10" s="47">
        <f t="shared" si="2"/>
        <v>0.001985035883</v>
      </c>
    </row>
    <row r="11">
      <c r="A11" s="46" t="s">
        <v>6214</v>
      </c>
      <c r="B11" s="46" t="s">
        <v>6180</v>
      </c>
      <c r="C11" s="46">
        <v>8.0</v>
      </c>
      <c r="D11" s="46">
        <v>5.0</v>
      </c>
      <c r="E11" s="46">
        <f t="shared" si="1"/>
        <v>13</v>
      </c>
      <c r="F11" s="47">
        <f t="shared" si="2"/>
        <v>0.001985035883</v>
      </c>
    </row>
    <row r="12">
      <c r="A12" s="46" t="s">
        <v>6222</v>
      </c>
      <c r="B12" s="46" t="s">
        <v>6180</v>
      </c>
      <c r="C12" s="46">
        <v>0.0</v>
      </c>
      <c r="D12" s="46">
        <v>12.0</v>
      </c>
      <c r="E12" s="46">
        <f t="shared" si="1"/>
        <v>12</v>
      </c>
      <c r="F12" s="47">
        <f t="shared" si="2"/>
        <v>0.001832340815</v>
      </c>
    </row>
    <row r="13">
      <c r="A13" s="46" t="s">
        <v>6228</v>
      </c>
      <c r="B13" s="46" t="s">
        <v>6180</v>
      </c>
      <c r="C13" s="46">
        <v>5.0</v>
      </c>
      <c r="D13" s="46">
        <v>6.0</v>
      </c>
      <c r="E13" s="46">
        <f t="shared" si="1"/>
        <v>11</v>
      </c>
      <c r="F13" s="47">
        <f t="shared" si="2"/>
        <v>0.001679645747</v>
      </c>
    </row>
    <row r="14">
      <c r="A14" s="46" t="s">
        <v>6234</v>
      </c>
      <c r="B14" s="46" t="s">
        <v>6160</v>
      </c>
      <c r="C14" s="46">
        <v>2.0</v>
      </c>
      <c r="D14" s="46">
        <v>5.0</v>
      </c>
      <c r="E14" s="46">
        <f t="shared" si="1"/>
        <v>7</v>
      </c>
      <c r="F14" s="47">
        <f t="shared" si="2"/>
        <v>0.001068865476</v>
      </c>
    </row>
    <row r="15">
      <c r="A15" s="46" t="s">
        <v>6239</v>
      </c>
      <c r="B15" s="46" t="s">
        <v>6160</v>
      </c>
      <c r="C15" s="46">
        <v>6.0</v>
      </c>
      <c r="D15" s="46">
        <v>0.0</v>
      </c>
      <c r="E15" s="46">
        <f t="shared" si="1"/>
        <v>6</v>
      </c>
      <c r="F15" s="47">
        <f t="shared" si="2"/>
        <v>0.0009161704077</v>
      </c>
    </row>
    <row r="16">
      <c r="A16" s="46" t="s">
        <v>6243</v>
      </c>
      <c r="B16" s="46" t="s">
        <v>6180</v>
      </c>
      <c r="C16" s="46">
        <v>5.0</v>
      </c>
      <c r="D16" s="46">
        <v>0.0</v>
      </c>
      <c r="E16" s="46">
        <f t="shared" si="1"/>
        <v>5</v>
      </c>
      <c r="F16" s="47">
        <f t="shared" si="2"/>
        <v>0.0007634753397</v>
      </c>
    </row>
    <row r="17">
      <c r="A17" s="46" t="s">
        <v>6250</v>
      </c>
      <c r="B17" s="46" t="s">
        <v>6160</v>
      </c>
      <c r="C17" s="46">
        <v>2.0</v>
      </c>
      <c r="D17" s="46">
        <v>2.0</v>
      </c>
      <c r="E17" s="46">
        <f t="shared" si="1"/>
        <v>4</v>
      </c>
      <c r="F17" s="47">
        <f t="shared" si="2"/>
        <v>0.0006107802718</v>
      </c>
    </row>
    <row r="18">
      <c r="A18" s="48" t="s">
        <v>6052</v>
      </c>
      <c r="B18" s="48" t="s">
        <v>6261</v>
      </c>
      <c r="C18" s="48">
        <v>0.0</v>
      </c>
      <c r="D18" s="48">
        <v>3.0</v>
      </c>
      <c r="E18" s="48">
        <f t="shared" si="1"/>
        <v>3</v>
      </c>
      <c r="F18" s="49">
        <f t="shared" si="2"/>
        <v>0.0004580852038</v>
      </c>
    </row>
    <row r="19">
      <c r="A19" s="48" t="s">
        <v>6022</v>
      </c>
      <c r="B19" s="48" t="s">
        <v>6261</v>
      </c>
      <c r="C19" s="48">
        <v>0.0</v>
      </c>
      <c r="D19" s="48">
        <v>3.0</v>
      </c>
      <c r="E19" s="48">
        <f t="shared" si="1"/>
        <v>3</v>
      </c>
      <c r="F19" s="49">
        <f t="shared" si="2"/>
        <v>0.0004580852038</v>
      </c>
    </row>
    <row r="20">
      <c r="A20" s="48" t="s">
        <v>6008</v>
      </c>
      <c r="B20" s="48" t="s">
        <v>6261</v>
      </c>
      <c r="C20" s="48">
        <v>0.0</v>
      </c>
      <c r="D20" s="48">
        <v>2.0</v>
      </c>
      <c r="E20" s="48">
        <f t="shared" si="1"/>
        <v>2</v>
      </c>
      <c r="F20" s="49">
        <f t="shared" si="2"/>
        <v>0.0003053901359</v>
      </c>
    </row>
    <row r="21" ht="15.75" customHeight="1">
      <c r="A21" s="46" t="s">
        <v>6278</v>
      </c>
      <c r="B21" s="46" t="s">
        <v>6160</v>
      </c>
      <c r="C21" s="46">
        <v>2.0</v>
      </c>
      <c r="D21" s="46">
        <v>0.0</v>
      </c>
      <c r="E21" s="46">
        <f t="shared" si="1"/>
        <v>2</v>
      </c>
      <c r="F21" s="47">
        <f t="shared" si="2"/>
        <v>0.0003053901359</v>
      </c>
    </row>
    <row r="22" ht="15.75" customHeight="1">
      <c r="A22" s="48" t="s">
        <v>6078</v>
      </c>
      <c r="B22" s="48" t="s">
        <v>6261</v>
      </c>
      <c r="C22" s="48">
        <v>0.0</v>
      </c>
      <c r="D22" s="48">
        <v>2.0</v>
      </c>
      <c r="E22" s="48">
        <f t="shared" si="1"/>
        <v>2</v>
      </c>
      <c r="F22" s="49">
        <f t="shared" si="2"/>
        <v>0.0003053901359</v>
      </c>
    </row>
    <row r="23" ht="15.75" customHeight="1">
      <c r="A23" s="48" t="s">
        <v>6000</v>
      </c>
      <c r="B23" s="48" t="s">
        <v>6261</v>
      </c>
      <c r="C23" s="48">
        <v>0.0</v>
      </c>
      <c r="D23" s="48">
        <v>1.0</v>
      </c>
      <c r="E23" s="48">
        <f t="shared" si="1"/>
        <v>1</v>
      </c>
      <c r="F23" s="49">
        <f t="shared" si="2"/>
        <v>0.0001526950679</v>
      </c>
    </row>
    <row r="24" ht="15.75" customHeight="1">
      <c r="A24" s="48" t="s">
        <v>5990</v>
      </c>
      <c r="B24" s="48" t="s">
        <v>6261</v>
      </c>
      <c r="C24" s="48">
        <v>0.0</v>
      </c>
      <c r="D24" s="48">
        <v>1.0</v>
      </c>
      <c r="E24" s="48">
        <f t="shared" si="1"/>
        <v>1</v>
      </c>
      <c r="F24" s="49">
        <f t="shared" si="2"/>
        <v>0.0001526950679</v>
      </c>
    </row>
    <row r="25" ht="15.75" customHeight="1">
      <c r="A25" s="50" t="s">
        <v>6299</v>
      </c>
      <c r="C25" s="50">
        <f t="shared" ref="C25:E25" si="3">SUM(C2:C24)</f>
        <v>4525</v>
      </c>
      <c r="D25" s="50">
        <f t="shared" si="3"/>
        <v>2024</v>
      </c>
      <c r="E25" s="50">
        <f t="shared" si="3"/>
        <v>6549</v>
      </c>
    </row>
    <row r="26" ht="15.75" customHeight="1"/>
    <row r="27" ht="15.75" customHeight="1">
      <c r="A27" s="51" t="s">
        <v>6305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F$24"/>
  <mergeCells count="1">
    <mergeCell ref="A27:F27"/>
  </mergeCells>
  <printOptions/>
  <pageMargins bottom="1.0" footer="0.0" header="0.0" left="0.75" right="0.75" top="1.0"/>
  <pageSetup orientation="landscape"/>
  <drawing r:id="rId1"/>
</worksheet>
</file>